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icks\Desktop\Temp\TempEPASaltmarsh\"/>
    </mc:Choice>
  </mc:AlternateContent>
  <xr:revisionPtr revIDLastSave="0" documentId="13_ncr:1_{FC6B7D83-CCF0-4846-805A-FA853F56D914}" xr6:coauthVersionLast="47" xr6:coauthVersionMax="47" xr10:uidLastSave="{00000000-0000-0000-0000-000000000000}"/>
  <bookViews>
    <workbookView xWindow="-110" yWindow="-110" windowWidth="19420" windowHeight="11620" activeTab="2" xr2:uid="{7CE74874-3FD2-4D03-B706-52B683867D81}"/>
  </bookViews>
  <sheets>
    <sheet name="wellfleet29sept2019_revised" sheetId="1" r:id="rId1"/>
    <sheet name="Line" sheetId="2" r:id="rId2"/>
    <sheet name="MU" sheetId="3" r:id="rId3"/>
    <sheet name="Poly" sheetId="4" r:id="rId4"/>
  </sheets>
  <definedNames>
    <definedName name="_xlnm._FilterDatabase" localSheetId="0" hidden="1">wellfleet29sept2019_revised!$A$1:$N$127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7" i="1" l="1"/>
  <c r="I127" i="1" s="1"/>
  <c r="H126" i="1"/>
  <c r="I126" i="1" s="1"/>
  <c r="H125" i="1"/>
  <c r="I125" i="1" s="1"/>
  <c r="H124" i="1"/>
  <c r="I124" i="1" s="1"/>
  <c r="H123" i="1"/>
  <c r="I123" i="1" s="1"/>
  <c r="H122" i="1"/>
  <c r="I122" i="1" s="1"/>
  <c r="H121" i="1"/>
  <c r="I121" i="1" s="1"/>
  <c r="H120" i="1"/>
  <c r="I120" i="1" s="1"/>
  <c r="H119" i="1"/>
  <c r="I119" i="1" s="1"/>
  <c r="H118" i="1"/>
  <c r="I118" i="1" s="1"/>
  <c r="H117" i="1"/>
  <c r="I117" i="1" s="1"/>
  <c r="H116" i="1"/>
  <c r="I116" i="1" s="1"/>
  <c r="H115" i="1"/>
  <c r="I115" i="1" s="1"/>
  <c r="H114" i="1"/>
  <c r="I114" i="1" s="1"/>
  <c r="H113" i="1"/>
  <c r="I113" i="1" s="1"/>
  <c r="H112" i="1"/>
  <c r="I112" i="1" s="1"/>
  <c r="H111" i="1"/>
  <c r="I111" i="1" s="1"/>
  <c r="H110" i="1"/>
  <c r="I110" i="1" s="1"/>
  <c r="H109" i="1"/>
  <c r="I109" i="1" s="1"/>
  <c r="H108" i="1"/>
  <c r="I108" i="1" s="1"/>
  <c r="H107" i="1"/>
  <c r="I107" i="1" s="1"/>
  <c r="H106" i="1"/>
  <c r="I106" i="1" s="1"/>
  <c r="H105" i="1"/>
  <c r="I105" i="1" s="1"/>
  <c r="H104" i="1"/>
  <c r="I104" i="1" s="1"/>
  <c r="H103" i="1"/>
  <c r="I103" i="1" s="1"/>
  <c r="H102" i="1"/>
  <c r="I102" i="1" s="1"/>
  <c r="H101" i="1"/>
  <c r="I101" i="1" s="1"/>
  <c r="H100" i="1"/>
  <c r="I100" i="1" s="1"/>
  <c r="H99" i="1"/>
  <c r="I99" i="1" s="1"/>
  <c r="H98" i="1"/>
  <c r="I98" i="1" s="1"/>
  <c r="H97" i="1"/>
  <c r="I97" i="1" s="1"/>
  <c r="H96" i="1"/>
  <c r="I96" i="1" s="1"/>
  <c r="H95" i="1"/>
  <c r="I95" i="1" s="1"/>
  <c r="H94" i="1"/>
  <c r="I94" i="1" s="1"/>
  <c r="H93" i="1"/>
  <c r="I93" i="1" s="1"/>
  <c r="H92" i="1"/>
  <c r="I92" i="1" s="1"/>
  <c r="H91" i="1"/>
  <c r="I91" i="1" s="1"/>
  <c r="H90" i="1"/>
  <c r="I90" i="1" s="1"/>
  <c r="H89" i="1"/>
  <c r="I89" i="1" s="1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J42" i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H2" i="1"/>
  <c r="I2" i="1" s="1"/>
  <c r="E99" i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J127" i="1" s="1"/>
  <c r="E65" i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51" i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J62" i="1" s="1"/>
  <c r="E44" i="1"/>
  <c r="E45" i="1" s="1"/>
  <c r="E46" i="1" s="1"/>
  <c r="E47" i="1" s="1"/>
  <c r="E48" i="1" s="1"/>
  <c r="E49" i="1" s="1"/>
  <c r="J49" i="1" s="1"/>
  <c r="E34" i="1"/>
  <c r="E35" i="1" s="1"/>
  <c r="E36" i="1" s="1"/>
  <c r="E37" i="1" s="1"/>
  <c r="E38" i="1" s="1"/>
  <c r="E39" i="1" s="1"/>
  <c r="E40" i="1" s="1"/>
  <c r="J40" i="1" s="1"/>
  <c r="E26" i="1"/>
  <c r="E27" i="1" s="1"/>
  <c r="E28" i="1" s="1"/>
  <c r="E29" i="1" s="1"/>
  <c r="E30" i="1" s="1"/>
  <c r="E31" i="1" s="1"/>
  <c r="E32" i="1" s="1"/>
  <c r="J32" i="1" s="1"/>
  <c r="E3" i="1"/>
  <c r="E4" i="1" s="1"/>
  <c r="J43" i="1" l="1"/>
  <c r="J57" i="1"/>
  <c r="J34" i="1"/>
  <c r="J41" i="1"/>
  <c r="J56" i="1"/>
  <c r="J47" i="1"/>
  <c r="J37" i="1"/>
  <c r="J48" i="1"/>
  <c r="J33" i="1"/>
  <c r="J58" i="1"/>
  <c r="J28" i="1"/>
  <c r="J39" i="1"/>
  <c r="J50" i="1"/>
  <c r="J51" i="1"/>
  <c r="J63" i="1"/>
  <c r="J99" i="1"/>
  <c r="J105" i="1"/>
  <c r="J120" i="1"/>
  <c r="J35" i="1"/>
  <c r="J54" i="1"/>
  <c r="J26" i="1"/>
  <c r="J36" i="1"/>
  <c r="J55" i="1"/>
  <c r="J27" i="1"/>
  <c r="E5" i="1"/>
  <c r="J4" i="1" s="1"/>
  <c r="J3" i="1"/>
  <c r="J29" i="1"/>
  <c r="J44" i="1"/>
  <c r="J52" i="1"/>
  <c r="J59" i="1"/>
  <c r="J30" i="1"/>
  <c r="J45" i="1"/>
  <c r="J60" i="1"/>
  <c r="J38" i="1"/>
  <c r="J53" i="1"/>
  <c r="J113" i="1"/>
  <c r="J31" i="1"/>
  <c r="J46" i="1"/>
  <c r="J61" i="1"/>
  <c r="J121" i="1"/>
  <c r="J122" i="1"/>
  <c r="J123" i="1"/>
  <c r="J101" i="1"/>
  <c r="J109" i="1"/>
  <c r="J124" i="1"/>
  <c r="J106" i="1"/>
  <c r="J115" i="1"/>
  <c r="J117" i="1"/>
  <c r="J110" i="1"/>
  <c r="J125" i="1"/>
  <c r="J102" i="1"/>
  <c r="J103" i="1"/>
  <c r="J118" i="1"/>
  <c r="J114" i="1"/>
  <c r="J107" i="1"/>
  <c r="J108" i="1"/>
  <c r="J111" i="1"/>
  <c r="J126" i="1"/>
  <c r="J100" i="1"/>
  <c r="J116" i="1"/>
  <c r="J104" i="1"/>
  <c r="J119" i="1"/>
  <c r="J112" i="1"/>
  <c r="E88" i="1"/>
  <c r="J76" i="1"/>
  <c r="J84" i="1"/>
  <c r="J83" i="1"/>
  <c r="J77" i="1"/>
  <c r="J86" i="1"/>
  <c r="J72" i="1"/>
  <c r="J68" i="1"/>
  <c r="J78" i="1"/>
  <c r="J71" i="1"/>
  <c r="J65" i="1"/>
  <c r="J80" i="1"/>
  <c r="J64" i="1"/>
  <c r="J79" i="1"/>
  <c r="J66" i="1"/>
  <c r="J73" i="1"/>
  <c r="J81" i="1"/>
  <c r="J75" i="1"/>
  <c r="J70" i="1"/>
  <c r="J69" i="1"/>
  <c r="J85" i="1"/>
  <c r="J67" i="1"/>
  <c r="J74" i="1"/>
  <c r="J82" i="1"/>
  <c r="E6" i="1" l="1"/>
  <c r="J5" i="1" s="1"/>
  <c r="E89" i="1"/>
  <c r="J88" i="1"/>
  <c r="J87" i="1"/>
  <c r="E7" i="1" l="1"/>
  <c r="J6" i="1"/>
  <c r="E90" i="1"/>
  <c r="J89" i="1" s="1"/>
  <c r="E8" i="1" l="1"/>
  <c r="J7" i="1" s="1"/>
  <c r="E91" i="1"/>
  <c r="J90" i="1" s="1"/>
  <c r="E9" i="1" l="1"/>
  <c r="J8" i="1"/>
  <c r="E92" i="1"/>
  <c r="J91" i="1" s="1"/>
  <c r="E10" i="1" l="1"/>
  <c r="J9" i="1" s="1"/>
  <c r="E93" i="1"/>
  <c r="J92" i="1" s="1"/>
  <c r="E11" i="1" l="1"/>
  <c r="J10" i="1" s="1"/>
  <c r="E94" i="1"/>
  <c r="J93" i="1" s="1"/>
  <c r="E12" i="1" l="1"/>
  <c r="J11" i="1" s="1"/>
  <c r="E95" i="1"/>
  <c r="J94" i="1" s="1"/>
  <c r="E13" i="1" l="1"/>
  <c r="J12" i="1"/>
  <c r="E96" i="1"/>
  <c r="E14" i="1" l="1"/>
  <c r="J13" i="1" s="1"/>
  <c r="E97" i="1"/>
  <c r="J96" i="1"/>
  <c r="J95" i="1"/>
  <c r="E15" i="1" l="1"/>
  <c r="J14" i="1" s="1"/>
  <c r="J97" i="1"/>
  <c r="J98" i="1"/>
  <c r="E16" i="1" l="1"/>
  <c r="J15" i="1"/>
  <c r="E17" i="1" l="1"/>
  <c r="J16" i="1" s="1"/>
  <c r="E18" i="1" l="1"/>
  <c r="J17" i="1"/>
  <c r="E19" i="1" l="1"/>
  <c r="J18" i="1"/>
  <c r="E20" i="1" l="1"/>
  <c r="J19" i="1" s="1"/>
  <c r="E21" i="1" l="1"/>
  <c r="J20" i="1"/>
  <c r="E22" i="1" l="1"/>
  <c r="J21" i="1" s="1"/>
  <c r="E23" i="1" l="1"/>
  <c r="J22" i="1"/>
  <c r="E24" i="1" l="1"/>
  <c r="J23" i="1" s="1"/>
  <c r="J25" i="1" l="1"/>
  <c r="J24" i="1"/>
</calcChain>
</file>

<file path=xl/sharedStrings.xml><?xml version="1.0" encoding="utf-8"?>
<sst xmlns="http://schemas.openxmlformats.org/spreadsheetml/2006/main" count="1109" uniqueCount="80">
  <si>
    <t>Subclass</t>
  </si>
  <si>
    <t>Northing</t>
  </si>
  <si>
    <t>Easting</t>
  </si>
  <si>
    <t>Notes</t>
  </si>
  <si>
    <t>12a</t>
  </si>
  <si>
    <t>32e</t>
  </si>
  <si>
    <t>02aj</t>
  </si>
  <si>
    <t>significant water - reason for J</t>
  </si>
  <si>
    <t>01be</t>
  </si>
  <si>
    <t>not flowering = B, some wrack</t>
  </si>
  <si>
    <t>found burrows under wrack</t>
  </si>
  <si>
    <t>09ae</t>
  </si>
  <si>
    <t>1 mu</t>
  </si>
  <si>
    <t>11a</t>
  </si>
  <si>
    <t>11aef</t>
  </si>
  <si>
    <t>03b</t>
  </si>
  <si>
    <t>03a</t>
  </si>
  <si>
    <t>25% bare spot, 1 mu</t>
  </si>
  <si>
    <t>10a</t>
  </si>
  <si>
    <t>mix w/ssa, water @ low</t>
  </si>
  <si>
    <t>06a</t>
  </si>
  <si>
    <t>water present, 1 mu</t>
  </si>
  <si>
    <t>10aj</t>
  </si>
  <si>
    <t>32j</t>
  </si>
  <si>
    <t>04a</t>
  </si>
  <si>
    <t>salicornia present</t>
  </si>
  <si>
    <t>01a</t>
  </si>
  <si>
    <t>03afj</t>
  </si>
  <si>
    <t>02ae</t>
  </si>
  <si>
    <t>01aefg</t>
  </si>
  <si>
    <t>flowering</t>
  </si>
  <si>
    <t>TSA on stream edge</t>
  </si>
  <si>
    <t>33efg</t>
  </si>
  <si>
    <t>01befg</t>
  </si>
  <si>
    <t>02a</t>
  </si>
  <si>
    <t>02aef</t>
  </si>
  <si>
    <t>01aef</t>
  </si>
  <si>
    <t>06afj</t>
  </si>
  <si>
    <t>started in new area</t>
  </si>
  <si>
    <t>burrows present</t>
  </si>
  <si>
    <t>06ae</t>
  </si>
  <si>
    <t>10ae</t>
  </si>
  <si>
    <t>06be</t>
  </si>
  <si>
    <t>07ae</t>
  </si>
  <si>
    <t>33ef</t>
  </si>
  <si>
    <t>m shells throughout</t>
  </si>
  <si>
    <t>01ace</t>
  </si>
  <si>
    <t>03ae</t>
  </si>
  <si>
    <t>03bc</t>
  </si>
  <si>
    <t>purple marsh crabs in burrows</t>
  </si>
  <si>
    <t>Site</t>
  </si>
  <si>
    <t>Day</t>
  </si>
  <si>
    <t>Month</t>
  </si>
  <si>
    <t>Year</t>
  </si>
  <si>
    <t>PolygonNum</t>
  </si>
  <si>
    <t>PointNum</t>
  </si>
  <si>
    <t>Sub&amp;Att</t>
  </si>
  <si>
    <t>Attributes</t>
  </si>
  <si>
    <t>SampFormat</t>
  </si>
  <si>
    <t>Altitude</t>
  </si>
  <si>
    <t>WEL</t>
  </si>
  <si>
    <t>Sept</t>
  </si>
  <si>
    <t>MU</t>
  </si>
  <si>
    <t>e</t>
  </si>
  <si>
    <t>Line</t>
  </si>
  <si>
    <t>aj</t>
  </si>
  <si>
    <t>be</t>
  </si>
  <si>
    <t>a</t>
  </si>
  <si>
    <t/>
  </si>
  <si>
    <t>aefg</t>
  </si>
  <si>
    <t>ae</t>
  </si>
  <si>
    <t>afj</t>
  </si>
  <si>
    <t>ef</t>
  </si>
  <si>
    <t>ace</t>
  </si>
  <si>
    <t>efg</t>
  </si>
  <si>
    <t>aef</t>
  </si>
  <si>
    <t>b</t>
  </si>
  <si>
    <t>j</t>
  </si>
  <si>
    <t>befg</t>
  </si>
  <si>
    <t>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</si>
</sst>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2525-4A68-4DD7-B55B-2CFD5A44ED45}">
  <sheetPr filterMode="1"/>
  <dimension ref="A1:N127"/>
  <sheetViews>
    <sheetView workbookViewId="0">
      <selection activeCell="H45" sqref="H45"/>
    </sheetView>
  </sheetViews>
  <sheetFormatPr defaultRowHeight="14.5" x14ac:dyDescent="0.35"/>
  <sheetData>
    <row r="1" spans="1:14" x14ac:dyDescent="0.3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0</v>
      </c>
      <c r="I1" t="s">
        <v>57</v>
      </c>
      <c r="J1" t="s">
        <v>58</v>
      </c>
      <c r="K1" t="s">
        <v>1</v>
      </c>
      <c r="L1" t="s">
        <v>2</v>
      </c>
      <c r="M1" t="s">
        <v>59</v>
      </c>
      <c r="N1" t="s">
        <v>3</v>
      </c>
    </row>
    <row r="2" spans="1:14" x14ac:dyDescent="0.35">
      <c r="A2" t="s">
        <v>60</v>
      </c>
      <c r="B2">
        <v>29</v>
      </c>
      <c r="C2" t="s">
        <v>61</v>
      </c>
      <c r="D2">
        <v>2019</v>
      </c>
      <c r="E2">
        <v>34</v>
      </c>
      <c r="F2">
        <v>160</v>
      </c>
      <c r="G2" t="s">
        <v>4</v>
      </c>
      <c r="H2" t="str">
        <f t="shared" ref="H2" si="0">LEFT(G2,2)</f>
        <v>12</v>
      </c>
      <c r="I2" t="str">
        <f t="shared" ref="I2" si="1">RIGHT(G2,LEN(G2)-LEN(H2))</f>
        <v>a</v>
      </c>
      <c r="J2" t="s">
        <v>62</v>
      </c>
      <c r="K2">
        <v>4637418.233</v>
      </c>
      <c r="L2">
        <v>417313.74300000002</v>
      </c>
      <c r="M2">
        <v>1.6619999999999999</v>
      </c>
    </row>
    <row r="3" spans="1:14" hidden="1" x14ac:dyDescent="0.35">
      <c r="A3" t="s">
        <v>60</v>
      </c>
      <c r="B3">
        <v>29</v>
      </c>
      <c r="C3" t="s">
        <v>61</v>
      </c>
      <c r="D3">
        <v>2019</v>
      </c>
      <c r="E3">
        <f t="shared" ref="E3:E40" si="2">IF(G3=G2,E2,E2+1)</f>
        <v>35</v>
      </c>
      <c r="F3">
        <v>161</v>
      </c>
      <c r="G3" t="s">
        <v>5</v>
      </c>
      <c r="H3" t="str">
        <f t="shared" ref="H3:H66" si="3">LEFT(G3,2)</f>
        <v>32</v>
      </c>
      <c r="I3" t="str">
        <f t="shared" ref="I3:I66" si="4">RIGHT(G3,LEN(G3)-LEN(H3))</f>
        <v>e</v>
      </c>
      <c r="J3" t="str">
        <f t="shared" ref="J3:J66" si="5">IF(OR((E3=E4),(E3=E2)),"Line","MU")</f>
        <v>Line</v>
      </c>
      <c r="K3">
        <v>4637418.0130000003</v>
      </c>
      <c r="L3">
        <v>417311.99200000003</v>
      </c>
      <c r="M3">
        <v>1.54</v>
      </c>
    </row>
    <row r="4" spans="1:14" hidden="1" x14ac:dyDescent="0.35">
      <c r="A4" t="s">
        <v>60</v>
      </c>
      <c r="B4">
        <v>29</v>
      </c>
      <c r="C4" t="s">
        <v>61</v>
      </c>
      <c r="D4">
        <v>2019</v>
      </c>
      <c r="E4">
        <f t="shared" si="2"/>
        <v>35</v>
      </c>
      <c r="F4">
        <v>162</v>
      </c>
      <c r="G4" t="s">
        <v>5</v>
      </c>
      <c r="H4" t="str">
        <f t="shared" si="3"/>
        <v>32</v>
      </c>
      <c r="I4" t="str">
        <f t="shared" si="4"/>
        <v>e</v>
      </c>
      <c r="J4" t="str">
        <f t="shared" si="5"/>
        <v>Line</v>
      </c>
      <c r="K4">
        <v>4637417.37</v>
      </c>
      <c r="L4">
        <v>417309.66899999999</v>
      </c>
      <c r="M4">
        <v>1.42</v>
      </c>
    </row>
    <row r="5" spans="1:14" hidden="1" x14ac:dyDescent="0.35">
      <c r="A5" t="s">
        <v>60</v>
      </c>
      <c r="B5">
        <v>29</v>
      </c>
      <c r="C5" t="s">
        <v>61</v>
      </c>
      <c r="D5">
        <v>2019</v>
      </c>
      <c r="E5">
        <f t="shared" si="2"/>
        <v>36</v>
      </c>
      <c r="F5">
        <v>163</v>
      </c>
      <c r="G5" t="s">
        <v>6</v>
      </c>
      <c r="H5" t="str">
        <f t="shared" si="3"/>
        <v>02</v>
      </c>
      <c r="I5" t="str">
        <f t="shared" si="4"/>
        <v>aj</v>
      </c>
      <c r="J5" t="str">
        <f t="shared" si="5"/>
        <v>Line</v>
      </c>
      <c r="K5">
        <v>4637416.8530000001</v>
      </c>
      <c r="L5">
        <v>417307.81800000003</v>
      </c>
      <c r="M5">
        <v>1.349</v>
      </c>
      <c r="N5" t="s">
        <v>7</v>
      </c>
    </row>
    <row r="6" spans="1:14" hidden="1" x14ac:dyDescent="0.35">
      <c r="A6" t="s">
        <v>60</v>
      </c>
      <c r="B6">
        <v>29</v>
      </c>
      <c r="C6" t="s">
        <v>61</v>
      </c>
      <c r="D6">
        <v>2019</v>
      </c>
      <c r="E6">
        <f t="shared" si="2"/>
        <v>36</v>
      </c>
      <c r="F6">
        <v>163</v>
      </c>
      <c r="G6" t="s">
        <v>6</v>
      </c>
      <c r="H6" t="str">
        <f t="shared" si="3"/>
        <v>02</v>
      </c>
      <c r="I6" t="str">
        <f t="shared" si="4"/>
        <v>aj</v>
      </c>
      <c r="J6" t="str">
        <f t="shared" si="5"/>
        <v>Line</v>
      </c>
      <c r="K6">
        <v>4637416.8530000001</v>
      </c>
      <c r="L6">
        <v>417307.81800000003</v>
      </c>
      <c r="M6">
        <v>1.349</v>
      </c>
      <c r="N6" t="s">
        <v>7</v>
      </c>
    </row>
    <row r="7" spans="1:14" hidden="1" x14ac:dyDescent="0.35">
      <c r="A7" t="s">
        <v>60</v>
      </c>
      <c r="B7">
        <v>29</v>
      </c>
      <c r="C7" t="s">
        <v>61</v>
      </c>
      <c r="D7">
        <v>2019</v>
      </c>
      <c r="E7">
        <f t="shared" si="2"/>
        <v>36</v>
      </c>
      <c r="F7">
        <v>164</v>
      </c>
      <c r="G7" t="s">
        <v>6</v>
      </c>
      <c r="H7" t="str">
        <f t="shared" si="3"/>
        <v>02</v>
      </c>
      <c r="I7" t="str">
        <f t="shared" si="4"/>
        <v>aj</v>
      </c>
      <c r="J7" t="str">
        <f t="shared" si="5"/>
        <v>Line</v>
      </c>
      <c r="K7">
        <v>4637414.1550000003</v>
      </c>
      <c r="L7">
        <v>417308.65</v>
      </c>
      <c r="M7">
        <v>1.369</v>
      </c>
    </row>
    <row r="8" spans="1:14" hidden="1" x14ac:dyDescent="0.35">
      <c r="A8" t="s">
        <v>60</v>
      </c>
      <c r="B8">
        <v>29</v>
      </c>
      <c r="C8" t="s">
        <v>61</v>
      </c>
      <c r="D8">
        <v>2019</v>
      </c>
      <c r="E8">
        <f t="shared" si="2"/>
        <v>36</v>
      </c>
      <c r="F8">
        <v>164</v>
      </c>
      <c r="G8" t="s">
        <v>6</v>
      </c>
      <c r="H8" t="str">
        <f t="shared" si="3"/>
        <v>02</v>
      </c>
      <c r="I8" t="str">
        <f t="shared" si="4"/>
        <v>aj</v>
      </c>
      <c r="J8" t="str">
        <f t="shared" si="5"/>
        <v>Line</v>
      </c>
      <c r="K8">
        <v>4637414.1550000003</v>
      </c>
      <c r="L8">
        <v>417308.65</v>
      </c>
      <c r="M8">
        <v>1.369</v>
      </c>
      <c r="N8" t="s">
        <v>9</v>
      </c>
    </row>
    <row r="9" spans="1:14" hidden="1" x14ac:dyDescent="0.35">
      <c r="A9" t="s">
        <v>60</v>
      </c>
      <c r="B9">
        <v>29</v>
      </c>
      <c r="C9" t="s">
        <v>61</v>
      </c>
      <c r="D9">
        <v>2019</v>
      </c>
      <c r="E9">
        <f t="shared" si="2"/>
        <v>37</v>
      </c>
      <c r="F9">
        <v>165</v>
      </c>
      <c r="G9" t="s">
        <v>8</v>
      </c>
      <c r="H9" t="str">
        <f t="shared" si="3"/>
        <v>01</v>
      </c>
      <c r="I9" t="str">
        <f t="shared" si="4"/>
        <v>be</v>
      </c>
      <c r="J9" t="str">
        <f t="shared" si="5"/>
        <v>Line</v>
      </c>
      <c r="K9">
        <v>4637414.5410000002</v>
      </c>
      <c r="L9">
        <v>417310.54100000003</v>
      </c>
      <c r="M9">
        <v>1.425</v>
      </c>
    </row>
    <row r="10" spans="1:14" hidden="1" x14ac:dyDescent="0.35">
      <c r="A10" t="s">
        <v>60</v>
      </c>
      <c r="B10">
        <v>29</v>
      </c>
      <c r="C10" t="s">
        <v>61</v>
      </c>
      <c r="D10">
        <v>2019</v>
      </c>
      <c r="E10">
        <f t="shared" si="2"/>
        <v>37</v>
      </c>
      <c r="F10">
        <v>166</v>
      </c>
      <c r="G10" t="s">
        <v>8</v>
      </c>
      <c r="H10" t="str">
        <f t="shared" si="3"/>
        <v>01</v>
      </c>
      <c r="I10" t="str">
        <f t="shared" si="4"/>
        <v>be</v>
      </c>
      <c r="J10" t="str">
        <f t="shared" si="5"/>
        <v>Line</v>
      </c>
      <c r="K10">
        <v>4637414.9620000003</v>
      </c>
      <c r="L10">
        <v>417312.69699999999</v>
      </c>
      <c r="M10">
        <v>1.5489999999999999</v>
      </c>
    </row>
    <row r="11" spans="1:14" hidden="1" x14ac:dyDescent="0.35">
      <c r="A11" t="s">
        <v>60</v>
      </c>
      <c r="B11">
        <v>29</v>
      </c>
      <c r="C11" t="s">
        <v>61</v>
      </c>
      <c r="D11">
        <v>2019</v>
      </c>
      <c r="E11">
        <f t="shared" si="2"/>
        <v>38</v>
      </c>
      <c r="F11">
        <v>167</v>
      </c>
      <c r="G11" t="s">
        <v>4</v>
      </c>
      <c r="H11" t="str">
        <f t="shared" si="3"/>
        <v>12</v>
      </c>
      <c r="I11" t="str">
        <f t="shared" si="4"/>
        <v>a</v>
      </c>
      <c r="J11" t="str">
        <f t="shared" si="5"/>
        <v>Line</v>
      </c>
      <c r="K11">
        <v>4637415.29</v>
      </c>
      <c r="L11">
        <v>417314.77600000001</v>
      </c>
      <c r="M11">
        <v>1.722</v>
      </c>
    </row>
    <row r="12" spans="1:14" hidden="1" x14ac:dyDescent="0.35">
      <c r="A12" t="s">
        <v>60</v>
      </c>
      <c r="B12">
        <v>29</v>
      </c>
      <c r="C12" t="s">
        <v>61</v>
      </c>
      <c r="D12">
        <v>2019</v>
      </c>
      <c r="E12">
        <f t="shared" si="2"/>
        <v>38</v>
      </c>
      <c r="F12">
        <v>168</v>
      </c>
      <c r="G12" t="s">
        <v>4</v>
      </c>
      <c r="H12" t="str">
        <f t="shared" si="3"/>
        <v>12</v>
      </c>
      <c r="I12" t="str">
        <f t="shared" si="4"/>
        <v>a</v>
      </c>
      <c r="J12" t="str">
        <f t="shared" si="5"/>
        <v>Line</v>
      </c>
      <c r="K12">
        <v>4637396.1960000005</v>
      </c>
      <c r="L12">
        <v>417318.36900000001</v>
      </c>
      <c r="M12">
        <v>1.7689999999999999</v>
      </c>
      <c r="N12" t="s">
        <v>10</v>
      </c>
    </row>
    <row r="13" spans="1:14" hidden="1" x14ac:dyDescent="0.35">
      <c r="A13" t="s">
        <v>60</v>
      </c>
      <c r="B13">
        <v>29</v>
      </c>
      <c r="C13" t="s">
        <v>61</v>
      </c>
      <c r="D13">
        <v>2019</v>
      </c>
      <c r="E13">
        <f t="shared" si="2"/>
        <v>38</v>
      </c>
      <c r="F13">
        <v>168</v>
      </c>
      <c r="G13" t="s">
        <v>4</v>
      </c>
      <c r="H13" t="str">
        <f t="shared" si="3"/>
        <v>12</v>
      </c>
      <c r="I13" t="str">
        <f t="shared" si="4"/>
        <v>a</v>
      </c>
      <c r="J13" t="str">
        <f t="shared" si="5"/>
        <v>Line</v>
      </c>
      <c r="K13">
        <v>4637396.1960000005</v>
      </c>
      <c r="L13">
        <v>417318.36900000001</v>
      </c>
      <c r="M13">
        <v>1.7689999999999999</v>
      </c>
      <c r="N13" t="s">
        <v>10</v>
      </c>
    </row>
    <row r="14" spans="1:14" hidden="1" x14ac:dyDescent="0.35">
      <c r="A14" t="s">
        <v>60</v>
      </c>
      <c r="B14">
        <v>29</v>
      </c>
      <c r="C14" t="s">
        <v>61</v>
      </c>
      <c r="D14">
        <v>2019</v>
      </c>
      <c r="E14">
        <f t="shared" si="2"/>
        <v>39</v>
      </c>
      <c r="F14">
        <v>169</v>
      </c>
      <c r="G14" t="s">
        <v>5</v>
      </c>
      <c r="H14" t="str">
        <f t="shared" si="3"/>
        <v>32</v>
      </c>
      <c r="I14" t="str">
        <f t="shared" si="4"/>
        <v>e</v>
      </c>
      <c r="J14" t="str">
        <f t="shared" si="5"/>
        <v>Line</v>
      </c>
      <c r="K14">
        <v>4637394.1050000004</v>
      </c>
      <c r="L14">
        <v>417318.62400000001</v>
      </c>
      <c r="M14">
        <v>1.75</v>
      </c>
    </row>
    <row r="15" spans="1:14" hidden="1" x14ac:dyDescent="0.35">
      <c r="A15" t="s">
        <v>60</v>
      </c>
      <c r="B15">
        <v>29</v>
      </c>
      <c r="C15" t="s">
        <v>61</v>
      </c>
      <c r="D15">
        <v>2019</v>
      </c>
      <c r="E15">
        <f t="shared" si="2"/>
        <v>39</v>
      </c>
      <c r="F15">
        <v>170</v>
      </c>
      <c r="G15" t="s">
        <v>5</v>
      </c>
      <c r="H15" t="str">
        <f t="shared" si="3"/>
        <v>32</v>
      </c>
      <c r="I15" t="str">
        <f t="shared" si="4"/>
        <v>e</v>
      </c>
      <c r="J15" t="str">
        <f t="shared" si="5"/>
        <v>Line</v>
      </c>
      <c r="K15">
        <v>4637388.233</v>
      </c>
      <c r="L15">
        <v>417318.32799999998</v>
      </c>
      <c r="M15">
        <v>1.8660000000000001</v>
      </c>
    </row>
    <row r="16" spans="1:14" x14ac:dyDescent="0.35">
      <c r="A16" t="s">
        <v>60</v>
      </c>
      <c r="B16">
        <v>29</v>
      </c>
      <c r="C16" t="s">
        <v>61</v>
      </c>
      <c r="D16">
        <v>2019</v>
      </c>
      <c r="E16">
        <f t="shared" si="2"/>
        <v>40</v>
      </c>
      <c r="F16">
        <v>171</v>
      </c>
      <c r="G16" t="s">
        <v>11</v>
      </c>
      <c r="H16" t="str">
        <f t="shared" si="3"/>
        <v>09</v>
      </c>
      <c r="I16" t="str">
        <f t="shared" si="4"/>
        <v>ae</v>
      </c>
      <c r="J16" t="str">
        <f t="shared" si="5"/>
        <v>MU</v>
      </c>
      <c r="K16">
        <v>4637372.3459999999</v>
      </c>
      <c r="L16">
        <v>417314.08</v>
      </c>
      <c r="M16">
        <v>1.8919999999999999</v>
      </c>
      <c r="N16" t="s">
        <v>12</v>
      </c>
    </row>
    <row r="17" spans="1:14" x14ac:dyDescent="0.35">
      <c r="A17" t="s">
        <v>60</v>
      </c>
      <c r="B17">
        <v>29</v>
      </c>
      <c r="C17" t="s">
        <v>61</v>
      </c>
      <c r="D17">
        <v>2019</v>
      </c>
      <c r="E17">
        <f t="shared" si="2"/>
        <v>41</v>
      </c>
      <c r="F17">
        <v>172</v>
      </c>
      <c r="G17" t="s">
        <v>5</v>
      </c>
      <c r="H17" t="str">
        <f t="shared" si="3"/>
        <v>32</v>
      </c>
      <c r="I17" t="str">
        <f t="shared" si="4"/>
        <v>e</v>
      </c>
      <c r="J17" t="str">
        <f t="shared" si="5"/>
        <v>MU</v>
      </c>
      <c r="K17">
        <v>4637372.72</v>
      </c>
      <c r="L17">
        <v>417312.46</v>
      </c>
      <c r="M17">
        <v>1.7729999999999999</v>
      </c>
    </row>
    <row r="18" spans="1:14" hidden="1" x14ac:dyDescent="0.35">
      <c r="A18" t="s">
        <v>60</v>
      </c>
      <c r="B18">
        <v>29</v>
      </c>
      <c r="C18" t="s">
        <v>61</v>
      </c>
      <c r="D18">
        <v>2019</v>
      </c>
      <c r="E18">
        <f t="shared" si="2"/>
        <v>42</v>
      </c>
      <c r="F18">
        <v>173</v>
      </c>
      <c r="G18" t="s">
        <v>13</v>
      </c>
      <c r="H18" t="str">
        <f t="shared" si="3"/>
        <v>11</v>
      </c>
      <c r="I18" t="str">
        <f t="shared" si="4"/>
        <v>a</v>
      </c>
      <c r="J18" t="str">
        <f t="shared" si="5"/>
        <v>Line</v>
      </c>
      <c r="K18">
        <v>4637372.693</v>
      </c>
      <c r="L18">
        <v>417309.88199999998</v>
      </c>
      <c r="M18">
        <v>1.6950000000000001</v>
      </c>
    </row>
    <row r="19" spans="1:14" hidden="1" x14ac:dyDescent="0.35">
      <c r="A19" t="s">
        <v>60</v>
      </c>
      <c r="B19">
        <v>29</v>
      </c>
      <c r="C19" t="s">
        <v>61</v>
      </c>
      <c r="D19">
        <v>2019</v>
      </c>
      <c r="E19">
        <f t="shared" si="2"/>
        <v>42</v>
      </c>
      <c r="F19">
        <v>174</v>
      </c>
      <c r="G19" t="s">
        <v>13</v>
      </c>
      <c r="H19" t="str">
        <f t="shared" si="3"/>
        <v>11</v>
      </c>
      <c r="I19" t="str">
        <f t="shared" si="4"/>
        <v>a</v>
      </c>
      <c r="J19" t="str">
        <f t="shared" si="5"/>
        <v>Line</v>
      </c>
      <c r="K19">
        <v>4637390.8930000002</v>
      </c>
      <c r="L19">
        <v>417314.36</v>
      </c>
      <c r="M19">
        <v>1.661</v>
      </c>
    </row>
    <row r="20" spans="1:14" hidden="1" x14ac:dyDescent="0.35">
      <c r="A20" t="s">
        <v>60</v>
      </c>
      <c r="B20">
        <v>29</v>
      </c>
      <c r="C20" t="s">
        <v>61</v>
      </c>
      <c r="D20">
        <v>2019</v>
      </c>
      <c r="E20">
        <f t="shared" si="2"/>
        <v>42</v>
      </c>
      <c r="F20">
        <v>174</v>
      </c>
      <c r="G20" t="s">
        <v>13</v>
      </c>
      <c r="H20" t="str">
        <f t="shared" si="3"/>
        <v>11</v>
      </c>
      <c r="I20" t="str">
        <f t="shared" si="4"/>
        <v>a</v>
      </c>
      <c r="J20" t="str">
        <f t="shared" si="5"/>
        <v>Line</v>
      </c>
      <c r="K20">
        <v>4637390.8930000002</v>
      </c>
      <c r="L20">
        <v>417314.36</v>
      </c>
      <c r="M20">
        <v>1.661</v>
      </c>
    </row>
    <row r="21" spans="1:14" x14ac:dyDescent="0.35">
      <c r="A21" t="s">
        <v>60</v>
      </c>
      <c r="B21">
        <v>29</v>
      </c>
      <c r="C21" t="s">
        <v>61</v>
      </c>
      <c r="D21">
        <v>2019</v>
      </c>
      <c r="E21">
        <f t="shared" si="2"/>
        <v>43</v>
      </c>
      <c r="F21">
        <v>175</v>
      </c>
      <c r="G21" t="s">
        <v>5</v>
      </c>
      <c r="H21" t="str">
        <f t="shared" si="3"/>
        <v>32</v>
      </c>
      <c r="I21" t="str">
        <f t="shared" si="4"/>
        <v>e</v>
      </c>
      <c r="J21" t="str">
        <f t="shared" si="5"/>
        <v>MU</v>
      </c>
      <c r="K21">
        <v>4637391.1940000001</v>
      </c>
      <c r="L21">
        <v>417312.88099999999</v>
      </c>
      <c r="M21">
        <v>1.579</v>
      </c>
    </row>
    <row r="22" spans="1:14" x14ac:dyDescent="0.35">
      <c r="A22" t="s">
        <v>60</v>
      </c>
      <c r="B22">
        <v>29</v>
      </c>
      <c r="C22" t="s">
        <v>61</v>
      </c>
      <c r="D22">
        <v>2019</v>
      </c>
      <c r="E22">
        <f t="shared" si="2"/>
        <v>44</v>
      </c>
      <c r="F22">
        <v>176</v>
      </c>
      <c r="G22" t="s">
        <v>14</v>
      </c>
      <c r="H22" t="str">
        <f t="shared" si="3"/>
        <v>11</v>
      </c>
      <c r="I22" t="str">
        <f t="shared" si="4"/>
        <v>aef</v>
      </c>
      <c r="J22" t="str">
        <f t="shared" si="5"/>
        <v>MU</v>
      </c>
      <c r="K22">
        <v>4637391.7850000001</v>
      </c>
      <c r="L22">
        <v>417311.17700000003</v>
      </c>
      <c r="M22">
        <v>1.4570000000000001</v>
      </c>
    </row>
    <row r="23" spans="1:14" x14ac:dyDescent="0.35">
      <c r="A23" t="s">
        <v>60</v>
      </c>
      <c r="B23">
        <v>29</v>
      </c>
      <c r="C23" t="s">
        <v>61</v>
      </c>
      <c r="D23">
        <v>2019</v>
      </c>
      <c r="E23">
        <f t="shared" si="2"/>
        <v>45</v>
      </c>
      <c r="F23">
        <v>177</v>
      </c>
      <c r="G23" t="s">
        <v>13</v>
      </c>
      <c r="H23" t="str">
        <f t="shared" si="3"/>
        <v>11</v>
      </c>
      <c r="I23" t="str">
        <f t="shared" si="4"/>
        <v>a</v>
      </c>
      <c r="J23" t="str">
        <f t="shared" si="5"/>
        <v>MU</v>
      </c>
      <c r="K23">
        <v>4637353.9129999997</v>
      </c>
      <c r="L23">
        <v>417301.74800000002</v>
      </c>
      <c r="M23">
        <v>1.7230000000000001</v>
      </c>
    </row>
    <row r="24" spans="1:14" x14ac:dyDescent="0.35">
      <c r="A24" t="s">
        <v>60</v>
      </c>
      <c r="B24">
        <v>29</v>
      </c>
      <c r="C24" t="s">
        <v>61</v>
      </c>
      <c r="D24">
        <v>2019</v>
      </c>
      <c r="E24">
        <f t="shared" si="2"/>
        <v>46</v>
      </c>
      <c r="F24">
        <v>178</v>
      </c>
      <c r="G24" t="s">
        <v>4</v>
      </c>
      <c r="H24" t="str">
        <f t="shared" si="3"/>
        <v>12</v>
      </c>
      <c r="I24" t="str">
        <f t="shared" si="4"/>
        <v>a</v>
      </c>
      <c r="J24" t="str">
        <f t="shared" si="5"/>
        <v>MU</v>
      </c>
      <c r="K24">
        <v>4637352.0810000002</v>
      </c>
      <c r="L24">
        <v>417301.35</v>
      </c>
      <c r="M24">
        <v>1.663</v>
      </c>
    </row>
    <row r="25" spans="1:14" x14ac:dyDescent="0.35">
      <c r="A25" t="s">
        <v>60</v>
      </c>
      <c r="B25">
        <v>29</v>
      </c>
      <c r="C25" t="s">
        <v>61</v>
      </c>
      <c r="D25">
        <v>2019</v>
      </c>
      <c r="E25">
        <v>47</v>
      </c>
      <c r="F25">
        <v>179</v>
      </c>
      <c r="G25" t="s">
        <v>4</v>
      </c>
      <c r="H25" t="str">
        <f t="shared" si="3"/>
        <v>12</v>
      </c>
      <c r="I25" t="str">
        <f t="shared" si="4"/>
        <v>a</v>
      </c>
      <c r="J25" t="str">
        <f t="shared" si="5"/>
        <v>MU</v>
      </c>
      <c r="K25">
        <v>4637328.5539999995</v>
      </c>
      <c r="L25">
        <v>417299.935</v>
      </c>
      <c r="M25">
        <v>1.722</v>
      </c>
      <c r="N25" t="s">
        <v>12</v>
      </c>
    </row>
    <row r="26" spans="1:14" hidden="1" x14ac:dyDescent="0.35">
      <c r="A26" t="s">
        <v>60</v>
      </c>
      <c r="B26">
        <v>29</v>
      </c>
      <c r="C26" t="s">
        <v>61</v>
      </c>
      <c r="D26">
        <v>2019</v>
      </c>
      <c r="E26">
        <f t="shared" si="2"/>
        <v>48</v>
      </c>
      <c r="F26">
        <v>180</v>
      </c>
      <c r="G26">
        <v>32</v>
      </c>
      <c r="H26" t="str">
        <f t="shared" si="3"/>
        <v>32</v>
      </c>
      <c r="I26" t="str">
        <f t="shared" si="4"/>
        <v/>
      </c>
      <c r="J26" t="str">
        <f t="shared" si="5"/>
        <v>Line</v>
      </c>
      <c r="K26">
        <v>4637327.1030000001</v>
      </c>
      <c r="L26">
        <v>417298.96500000003</v>
      </c>
      <c r="M26">
        <v>1.6619999999999999</v>
      </c>
    </row>
    <row r="27" spans="1:14" hidden="1" x14ac:dyDescent="0.35">
      <c r="A27" t="s">
        <v>60</v>
      </c>
      <c r="B27">
        <v>29</v>
      </c>
      <c r="C27" t="s">
        <v>61</v>
      </c>
      <c r="D27">
        <v>2019</v>
      </c>
      <c r="E27">
        <f t="shared" si="2"/>
        <v>48</v>
      </c>
      <c r="F27">
        <v>181</v>
      </c>
      <c r="G27">
        <v>32</v>
      </c>
      <c r="H27" t="str">
        <f t="shared" si="3"/>
        <v>32</v>
      </c>
      <c r="I27" t="str">
        <f t="shared" si="4"/>
        <v/>
      </c>
      <c r="J27" t="str">
        <f t="shared" si="5"/>
        <v>Line</v>
      </c>
      <c r="K27">
        <v>4637315.0159999998</v>
      </c>
      <c r="L27">
        <v>417302.31599999999</v>
      </c>
      <c r="M27">
        <v>1.681</v>
      </c>
    </row>
    <row r="28" spans="1:14" x14ac:dyDescent="0.35">
      <c r="A28" t="s">
        <v>60</v>
      </c>
      <c r="B28">
        <v>29</v>
      </c>
      <c r="C28" t="s">
        <v>61</v>
      </c>
      <c r="D28">
        <v>2019</v>
      </c>
      <c r="E28">
        <f t="shared" si="2"/>
        <v>49</v>
      </c>
      <c r="F28">
        <v>182</v>
      </c>
      <c r="G28" t="s">
        <v>15</v>
      </c>
      <c r="H28" t="str">
        <f t="shared" si="3"/>
        <v>03</v>
      </c>
      <c r="I28" t="str">
        <f t="shared" si="4"/>
        <v>b</v>
      </c>
      <c r="J28" t="str">
        <f t="shared" si="5"/>
        <v>MU</v>
      </c>
      <c r="K28">
        <v>4637313.6380000003</v>
      </c>
      <c r="L28">
        <v>417302.76</v>
      </c>
      <c r="M28">
        <v>1.7010000000000001</v>
      </c>
      <c r="N28" t="s">
        <v>17</v>
      </c>
    </row>
    <row r="29" spans="1:14" hidden="1" x14ac:dyDescent="0.35">
      <c r="A29" t="s">
        <v>60</v>
      </c>
      <c r="B29">
        <v>29</v>
      </c>
      <c r="C29" t="s">
        <v>61</v>
      </c>
      <c r="D29">
        <v>2019</v>
      </c>
      <c r="E29">
        <f t="shared" si="2"/>
        <v>50</v>
      </c>
      <c r="F29">
        <v>183</v>
      </c>
      <c r="G29">
        <v>32</v>
      </c>
      <c r="H29" t="str">
        <f t="shared" si="3"/>
        <v>32</v>
      </c>
      <c r="I29" t="str">
        <f t="shared" si="4"/>
        <v/>
      </c>
      <c r="J29" t="str">
        <f t="shared" si="5"/>
        <v>Line</v>
      </c>
      <c r="K29">
        <v>4637311.8150000004</v>
      </c>
      <c r="L29">
        <v>417302.97499999998</v>
      </c>
      <c r="M29">
        <v>1.65</v>
      </c>
      <c r="N29" t="s">
        <v>19</v>
      </c>
    </row>
    <row r="30" spans="1:14" hidden="1" x14ac:dyDescent="0.35">
      <c r="A30" t="s">
        <v>60</v>
      </c>
      <c r="B30">
        <v>29</v>
      </c>
      <c r="C30" t="s">
        <v>61</v>
      </c>
      <c r="D30">
        <v>2019</v>
      </c>
      <c r="E30">
        <f t="shared" si="2"/>
        <v>50</v>
      </c>
      <c r="F30">
        <v>184</v>
      </c>
      <c r="G30">
        <v>32</v>
      </c>
      <c r="H30" t="str">
        <f t="shared" si="3"/>
        <v>32</v>
      </c>
      <c r="I30" t="str">
        <f t="shared" si="4"/>
        <v/>
      </c>
      <c r="J30" t="str">
        <f t="shared" si="5"/>
        <v>Line</v>
      </c>
      <c r="K30">
        <v>4637311.4179999996</v>
      </c>
      <c r="L30">
        <v>417301.49400000001</v>
      </c>
      <c r="M30">
        <v>1.6539999999999999</v>
      </c>
    </row>
    <row r="31" spans="1:14" x14ac:dyDescent="0.35">
      <c r="A31" t="s">
        <v>60</v>
      </c>
      <c r="B31">
        <v>29</v>
      </c>
      <c r="C31" t="s">
        <v>61</v>
      </c>
      <c r="D31">
        <v>2019</v>
      </c>
      <c r="E31">
        <f t="shared" si="2"/>
        <v>51</v>
      </c>
      <c r="F31">
        <v>185</v>
      </c>
      <c r="G31" t="s">
        <v>16</v>
      </c>
      <c r="H31" t="str">
        <f t="shared" si="3"/>
        <v>03</v>
      </c>
      <c r="I31" t="str">
        <f t="shared" si="4"/>
        <v>a</v>
      </c>
      <c r="J31" t="str">
        <f t="shared" si="5"/>
        <v>MU</v>
      </c>
      <c r="K31">
        <v>4637310.8430000003</v>
      </c>
      <c r="L31">
        <v>417299.54800000001</v>
      </c>
      <c r="M31">
        <v>1.6339999999999999</v>
      </c>
    </row>
    <row r="32" spans="1:14" x14ac:dyDescent="0.35">
      <c r="A32" t="s">
        <v>60</v>
      </c>
      <c r="B32">
        <v>29</v>
      </c>
      <c r="C32" t="s">
        <v>61</v>
      </c>
      <c r="D32">
        <v>2019</v>
      </c>
      <c r="E32">
        <f t="shared" si="2"/>
        <v>52</v>
      </c>
      <c r="F32">
        <v>186</v>
      </c>
      <c r="G32" t="s">
        <v>18</v>
      </c>
      <c r="H32" t="str">
        <f t="shared" si="3"/>
        <v>10</v>
      </c>
      <c r="I32" t="str">
        <f t="shared" si="4"/>
        <v>a</v>
      </c>
      <c r="J32" t="str">
        <f t="shared" si="5"/>
        <v>MU</v>
      </c>
      <c r="K32">
        <v>4637310.78</v>
      </c>
      <c r="L32">
        <v>417297.46600000001</v>
      </c>
      <c r="M32">
        <v>1.627</v>
      </c>
    </row>
    <row r="33" spans="1:14" x14ac:dyDescent="0.35">
      <c r="A33" t="s">
        <v>60</v>
      </c>
      <c r="B33">
        <v>29</v>
      </c>
      <c r="C33" t="s">
        <v>61</v>
      </c>
      <c r="D33">
        <v>2019</v>
      </c>
      <c r="E33">
        <v>53</v>
      </c>
      <c r="F33">
        <v>187</v>
      </c>
      <c r="G33" t="s">
        <v>18</v>
      </c>
      <c r="H33" t="str">
        <f t="shared" si="3"/>
        <v>10</v>
      </c>
      <c r="I33" t="str">
        <f t="shared" si="4"/>
        <v>a</v>
      </c>
      <c r="J33" t="str">
        <f t="shared" si="5"/>
        <v>MU</v>
      </c>
      <c r="K33">
        <v>4637304.4369999999</v>
      </c>
      <c r="L33">
        <v>417297.06900000002</v>
      </c>
      <c r="M33">
        <v>1.625</v>
      </c>
      <c r="N33" t="s">
        <v>21</v>
      </c>
    </row>
    <row r="34" spans="1:14" hidden="1" x14ac:dyDescent="0.35">
      <c r="A34" t="s">
        <v>60</v>
      </c>
      <c r="B34">
        <v>29</v>
      </c>
      <c r="C34" t="s">
        <v>61</v>
      </c>
      <c r="D34">
        <v>2019</v>
      </c>
      <c r="E34">
        <f t="shared" si="2"/>
        <v>54</v>
      </c>
      <c r="F34">
        <v>188</v>
      </c>
      <c r="G34" t="s">
        <v>16</v>
      </c>
      <c r="H34" t="str">
        <f t="shared" si="3"/>
        <v>03</v>
      </c>
      <c r="I34" t="str">
        <f t="shared" si="4"/>
        <v>a</v>
      </c>
      <c r="J34" t="str">
        <f t="shared" si="5"/>
        <v>Line</v>
      </c>
      <c r="K34">
        <v>4637302.1789999995</v>
      </c>
      <c r="L34">
        <v>417297.05699999997</v>
      </c>
      <c r="M34">
        <v>1.631</v>
      </c>
    </row>
    <row r="35" spans="1:14" hidden="1" x14ac:dyDescent="0.35">
      <c r="A35" t="s">
        <v>60</v>
      </c>
      <c r="B35">
        <v>29</v>
      </c>
      <c r="C35" t="s">
        <v>61</v>
      </c>
      <c r="D35">
        <v>2019</v>
      </c>
      <c r="E35">
        <f t="shared" si="2"/>
        <v>54</v>
      </c>
      <c r="F35">
        <v>189</v>
      </c>
      <c r="G35" t="s">
        <v>16</v>
      </c>
      <c r="H35" t="str">
        <f t="shared" si="3"/>
        <v>03</v>
      </c>
      <c r="I35" t="str">
        <f t="shared" si="4"/>
        <v>a</v>
      </c>
      <c r="J35" t="str">
        <f t="shared" si="5"/>
        <v>Line</v>
      </c>
      <c r="K35">
        <v>4637299.1849999996</v>
      </c>
      <c r="L35">
        <v>417296.88699999999</v>
      </c>
      <c r="M35">
        <v>1.62</v>
      </c>
    </row>
    <row r="36" spans="1:14" x14ac:dyDescent="0.35">
      <c r="A36" t="s">
        <v>60</v>
      </c>
      <c r="B36">
        <v>29</v>
      </c>
      <c r="C36" t="s">
        <v>61</v>
      </c>
      <c r="D36">
        <v>2019</v>
      </c>
      <c r="E36">
        <f t="shared" si="2"/>
        <v>55</v>
      </c>
      <c r="F36">
        <v>190</v>
      </c>
      <c r="G36" t="s">
        <v>20</v>
      </c>
      <c r="H36" t="str">
        <f t="shared" si="3"/>
        <v>06</v>
      </c>
      <c r="I36" t="str">
        <f t="shared" si="4"/>
        <v>a</v>
      </c>
      <c r="J36" t="str">
        <f t="shared" si="5"/>
        <v>MU</v>
      </c>
      <c r="K36">
        <v>4637299.0240000002</v>
      </c>
      <c r="L36">
        <v>417298.85600000003</v>
      </c>
      <c r="M36">
        <v>1.653</v>
      </c>
    </row>
    <row r="37" spans="1:14" hidden="1" x14ac:dyDescent="0.35">
      <c r="A37" t="s">
        <v>60</v>
      </c>
      <c r="B37">
        <v>29</v>
      </c>
      <c r="C37" t="s">
        <v>61</v>
      </c>
      <c r="D37">
        <v>2019</v>
      </c>
      <c r="E37">
        <f t="shared" si="2"/>
        <v>56</v>
      </c>
      <c r="F37">
        <v>191</v>
      </c>
      <c r="G37" t="s">
        <v>22</v>
      </c>
      <c r="H37" t="str">
        <f t="shared" si="3"/>
        <v>10</v>
      </c>
      <c r="I37" t="str">
        <f t="shared" si="4"/>
        <v>aj</v>
      </c>
      <c r="J37" t="str">
        <f t="shared" si="5"/>
        <v>Line</v>
      </c>
      <c r="K37">
        <v>4637299.08</v>
      </c>
      <c r="L37">
        <v>417300.99300000002</v>
      </c>
      <c r="M37">
        <v>1.6719999999999999</v>
      </c>
    </row>
    <row r="38" spans="1:14" hidden="1" x14ac:dyDescent="0.35">
      <c r="A38" t="s">
        <v>60</v>
      </c>
      <c r="B38">
        <v>29</v>
      </c>
      <c r="C38" t="s">
        <v>61</v>
      </c>
      <c r="D38">
        <v>2019</v>
      </c>
      <c r="E38">
        <f t="shared" si="2"/>
        <v>56</v>
      </c>
      <c r="F38">
        <v>192</v>
      </c>
      <c r="G38" t="s">
        <v>22</v>
      </c>
      <c r="H38" t="str">
        <f t="shared" si="3"/>
        <v>10</v>
      </c>
      <c r="I38" t="str">
        <f t="shared" si="4"/>
        <v>aj</v>
      </c>
      <c r="J38" t="str">
        <f t="shared" si="5"/>
        <v>Line</v>
      </c>
      <c r="K38">
        <v>4637301.0429999996</v>
      </c>
      <c r="L38">
        <v>417300.99699999997</v>
      </c>
      <c r="M38">
        <v>1.663</v>
      </c>
    </row>
    <row r="39" spans="1:14" hidden="1" x14ac:dyDescent="0.35">
      <c r="A39" t="s">
        <v>60</v>
      </c>
      <c r="B39">
        <v>29</v>
      </c>
      <c r="C39" t="s">
        <v>61</v>
      </c>
      <c r="D39">
        <v>2019</v>
      </c>
      <c r="E39">
        <f t="shared" si="2"/>
        <v>56</v>
      </c>
      <c r="F39">
        <v>193</v>
      </c>
      <c r="G39" t="s">
        <v>22</v>
      </c>
      <c r="H39" t="str">
        <f t="shared" si="3"/>
        <v>10</v>
      </c>
      <c r="I39" t="str">
        <f t="shared" si="4"/>
        <v>aj</v>
      </c>
      <c r="J39" t="str">
        <f t="shared" si="5"/>
        <v>Line</v>
      </c>
      <c r="K39">
        <v>4637302.5360000003</v>
      </c>
      <c r="L39">
        <v>417300.81199999998</v>
      </c>
      <c r="M39">
        <v>1.6539999999999999</v>
      </c>
    </row>
    <row r="40" spans="1:14" hidden="1" x14ac:dyDescent="0.35">
      <c r="A40" t="s">
        <v>60</v>
      </c>
      <c r="B40">
        <v>29</v>
      </c>
      <c r="C40" t="s">
        <v>61</v>
      </c>
      <c r="D40">
        <v>2019</v>
      </c>
      <c r="E40">
        <f t="shared" si="2"/>
        <v>56</v>
      </c>
      <c r="F40">
        <v>194</v>
      </c>
      <c r="G40" t="s">
        <v>22</v>
      </c>
      <c r="H40" t="str">
        <f t="shared" si="3"/>
        <v>10</v>
      </c>
      <c r="I40" t="str">
        <f t="shared" si="4"/>
        <v>aj</v>
      </c>
      <c r="J40" t="str">
        <f t="shared" si="5"/>
        <v>Line</v>
      </c>
      <c r="K40">
        <v>4637302.591</v>
      </c>
      <c r="L40">
        <v>417302.79</v>
      </c>
      <c r="M40">
        <v>1.6870000000000001</v>
      </c>
    </row>
    <row r="41" spans="1:14" x14ac:dyDescent="0.35">
      <c r="A41" t="s">
        <v>60</v>
      </c>
      <c r="B41">
        <v>29</v>
      </c>
      <c r="C41" t="s">
        <v>61</v>
      </c>
      <c r="D41">
        <v>2019</v>
      </c>
      <c r="E41">
        <v>57</v>
      </c>
      <c r="F41">
        <v>195</v>
      </c>
      <c r="G41" t="s">
        <v>23</v>
      </c>
      <c r="H41" t="str">
        <f t="shared" si="3"/>
        <v>32</v>
      </c>
      <c r="I41" t="str">
        <f t="shared" si="4"/>
        <v>j</v>
      </c>
      <c r="J41" t="str">
        <f t="shared" si="5"/>
        <v>MU</v>
      </c>
      <c r="K41">
        <v>4637302.9819999998</v>
      </c>
      <c r="L41">
        <v>417305.092</v>
      </c>
      <c r="M41">
        <v>1.718</v>
      </c>
      <c r="N41" t="s">
        <v>12</v>
      </c>
    </row>
    <row r="42" spans="1:14" x14ac:dyDescent="0.35">
      <c r="A42" t="s">
        <v>60</v>
      </c>
      <c r="B42">
        <v>29</v>
      </c>
      <c r="C42" t="s">
        <v>61</v>
      </c>
      <c r="D42">
        <v>2019</v>
      </c>
      <c r="E42">
        <v>58</v>
      </c>
      <c r="F42">
        <v>196</v>
      </c>
      <c r="G42" t="s">
        <v>23</v>
      </c>
      <c r="H42" t="str">
        <f t="shared" si="3"/>
        <v>32</v>
      </c>
      <c r="I42" t="str">
        <f t="shared" si="4"/>
        <v>j</v>
      </c>
      <c r="J42" t="str">
        <f t="shared" si="5"/>
        <v>MU</v>
      </c>
      <c r="K42">
        <v>4637303.6610000003</v>
      </c>
      <c r="L42">
        <v>417307.90299999999</v>
      </c>
      <c r="M42">
        <v>1.7410000000000001</v>
      </c>
      <c r="N42" t="s">
        <v>12</v>
      </c>
    </row>
    <row r="43" spans="1:14" x14ac:dyDescent="0.35">
      <c r="A43" t="s">
        <v>60</v>
      </c>
      <c r="B43">
        <v>29</v>
      </c>
      <c r="C43" t="s">
        <v>61</v>
      </c>
      <c r="D43">
        <v>2019</v>
      </c>
      <c r="E43">
        <v>59</v>
      </c>
      <c r="F43">
        <v>197</v>
      </c>
      <c r="G43" t="s">
        <v>4</v>
      </c>
      <c r="H43" t="str">
        <f t="shared" si="3"/>
        <v>12</v>
      </c>
      <c r="I43" t="str">
        <f t="shared" si="4"/>
        <v>a</v>
      </c>
      <c r="J43" t="str">
        <f t="shared" si="5"/>
        <v>MU</v>
      </c>
      <c r="K43">
        <v>4637303.9019999998</v>
      </c>
      <c r="L43">
        <v>417309.76199999999</v>
      </c>
      <c r="M43">
        <v>1.728</v>
      </c>
      <c r="N43" t="s">
        <v>12</v>
      </c>
    </row>
    <row r="44" spans="1:14" x14ac:dyDescent="0.35">
      <c r="A44" t="s">
        <v>60</v>
      </c>
      <c r="B44">
        <v>29</v>
      </c>
      <c r="C44" t="s">
        <v>61</v>
      </c>
      <c r="D44">
        <v>2019</v>
      </c>
      <c r="E44">
        <f t="shared" ref="E44:E107" si="6">IF(G44=G43,E43,E43+1)</f>
        <v>60</v>
      </c>
      <c r="F44">
        <v>198</v>
      </c>
      <c r="G44">
        <v>33</v>
      </c>
      <c r="H44" t="str">
        <f t="shared" si="3"/>
        <v>33</v>
      </c>
      <c r="I44" t="str">
        <f t="shared" si="4"/>
        <v/>
      </c>
      <c r="J44" t="str">
        <f t="shared" si="5"/>
        <v>MU</v>
      </c>
      <c r="K44">
        <v>4637226.26</v>
      </c>
      <c r="L44">
        <v>417297.25400000002</v>
      </c>
      <c r="M44">
        <v>1.7070000000000001</v>
      </c>
      <c r="N44" t="s">
        <v>25</v>
      </c>
    </row>
    <row r="45" spans="1:14" x14ac:dyDescent="0.35">
      <c r="A45" t="s">
        <v>60</v>
      </c>
      <c r="B45">
        <v>29</v>
      </c>
      <c r="C45" t="s">
        <v>61</v>
      </c>
      <c r="D45">
        <v>2019</v>
      </c>
      <c r="E45">
        <f t="shared" si="6"/>
        <v>61</v>
      </c>
      <c r="F45">
        <v>199</v>
      </c>
      <c r="G45" t="s">
        <v>16</v>
      </c>
      <c r="H45" t="str">
        <f t="shared" si="3"/>
        <v>03</v>
      </c>
      <c r="I45" t="str">
        <f t="shared" si="4"/>
        <v>a</v>
      </c>
      <c r="J45" t="str">
        <f t="shared" si="5"/>
        <v>MU</v>
      </c>
      <c r="K45">
        <v>4637226.8329999996</v>
      </c>
      <c r="L45">
        <v>417295.31900000002</v>
      </c>
      <c r="M45">
        <v>1.6759999999999999</v>
      </c>
    </row>
    <row r="46" spans="1:14" x14ac:dyDescent="0.35">
      <c r="A46" t="s">
        <v>60</v>
      </c>
      <c r="B46">
        <v>29</v>
      </c>
      <c r="C46" t="s">
        <v>61</v>
      </c>
      <c r="D46">
        <v>2019</v>
      </c>
      <c r="E46">
        <f t="shared" si="6"/>
        <v>62</v>
      </c>
      <c r="F46">
        <v>200</v>
      </c>
      <c r="G46" t="s">
        <v>24</v>
      </c>
      <c r="H46" t="str">
        <f t="shared" si="3"/>
        <v>04</v>
      </c>
      <c r="I46" t="str">
        <f t="shared" si="4"/>
        <v>a</v>
      </c>
      <c r="J46" t="str">
        <f t="shared" si="5"/>
        <v>MU</v>
      </c>
      <c r="K46">
        <v>4637227.7960000001</v>
      </c>
      <c r="L46">
        <v>417293.61900000001</v>
      </c>
      <c r="M46">
        <v>1.651</v>
      </c>
    </row>
    <row r="47" spans="1:14" hidden="1" x14ac:dyDescent="0.35">
      <c r="A47" t="s">
        <v>60</v>
      </c>
      <c r="B47">
        <v>29</v>
      </c>
      <c r="C47" t="s">
        <v>61</v>
      </c>
      <c r="D47">
        <v>2019</v>
      </c>
      <c r="E47">
        <f t="shared" si="6"/>
        <v>63</v>
      </c>
      <c r="F47">
        <v>201</v>
      </c>
      <c r="G47" t="s">
        <v>20</v>
      </c>
      <c r="H47" t="str">
        <f t="shared" si="3"/>
        <v>06</v>
      </c>
      <c r="I47" t="str">
        <f t="shared" si="4"/>
        <v>a</v>
      </c>
      <c r="J47" t="str">
        <f t="shared" si="5"/>
        <v>Line</v>
      </c>
      <c r="K47">
        <v>4637228.9529999997</v>
      </c>
      <c r="L47">
        <v>417291.83</v>
      </c>
      <c r="M47">
        <v>1.63</v>
      </c>
    </row>
    <row r="48" spans="1:14" hidden="1" x14ac:dyDescent="0.35">
      <c r="A48" t="s">
        <v>60</v>
      </c>
      <c r="B48">
        <v>29</v>
      </c>
      <c r="C48" t="s">
        <v>61</v>
      </c>
      <c r="D48">
        <v>2019</v>
      </c>
      <c r="E48">
        <f t="shared" si="6"/>
        <v>63</v>
      </c>
      <c r="F48">
        <v>202</v>
      </c>
      <c r="G48" t="s">
        <v>20</v>
      </c>
      <c r="H48" t="str">
        <f t="shared" si="3"/>
        <v>06</v>
      </c>
      <c r="I48" t="str">
        <f t="shared" si="4"/>
        <v>a</v>
      </c>
      <c r="J48" t="str">
        <f t="shared" si="5"/>
        <v>Line</v>
      </c>
      <c r="K48">
        <v>4637230.9910000004</v>
      </c>
      <c r="L48">
        <v>417288.21899999998</v>
      </c>
      <c r="M48">
        <v>1.5609999999999999</v>
      </c>
    </row>
    <row r="49" spans="1:14" x14ac:dyDescent="0.35">
      <c r="A49" t="s">
        <v>60</v>
      </c>
      <c r="B49">
        <v>29</v>
      </c>
      <c r="C49" t="s">
        <v>61</v>
      </c>
      <c r="D49">
        <v>2019</v>
      </c>
      <c r="E49">
        <f t="shared" si="6"/>
        <v>64</v>
      </c>
      <c r="F49">
        <v>203</v>
      </c>
      <c r="G49" t="s">
        <v>26</v>
      </c>
      <c r="H49" t="str">
        <f t="shared" si="3"/>
        <v>01</v>
      </c>
      <c r="I49" t="str">
        <f t="shared" si="4"/>
        <v>a</v>
      </c>
      <c r="J49" t="str">
        <f t="shared" si="5"/>
        <v>MU</v>
      </c>
      <c r="K49">
        <v>4637231.8600000003</v>
      </c>
      <c r="L49">
        <v>417286.53100000002</v>
      </c>
      <c r="M49">
        <v>1.5609999999999999</v>
      </c>
    </row>
    <row r="50" spans="1:14" x14ac:dyDescent="0.35">
      <c r="A50" t="s">
        <v>60</v>
      </c>
      <c r="B50">
        <v>29</v>
      </c>
      <c r="C50" t="s">
        <v>61</v>
      </c>
      <c r="D50">
        <v>2019</v>
      </c>
      <c r="E50">
        <v>65</v>
      </c>
      <c r="F50">
        <v>204</v>
      </c>
      <c r="G50" t="s">
        <v>26</v>
      </c>
      <c r="H50" t="str">
        <f t="shared" si="3"/>
        <v>01</v>
      </c>
      <c r="I50" t="str">
        <f t="shared" si="4"/>
        <v>a</v>
      </c>
      <c r="J50" t="str">
        <f t="shared" si="5"/>
        <v>MU</v>
      </c>
      <c r="K50">
        <v>4637232.2470000004</v>
      </c>
      <c r="L50">
        <v>417285.402</v>
      </c>
      <c r="M50">
        <v>1.5229999999999999</v>
      </c>
      <c r="N50" t="s">
        <v>12</v>
      </c>
    </row>
    <row r="51" spans="1:14" x14ac:dyDescent="0.35">
      <c r="A51" t="s">
        <v>60</v>
      </c>
      <c r="B51">
        <v>29</v>
      </c>
      <c r="C51" t="s">
        <v>61</v>
      </c>
      <c r="D51">
        <v>2019</v>
      </c>
      <c r="E51">
        <f t="shared" si="6"/>
        <v>66</v>
      </c>
      <c r="F51">
        <v>205</v>
      </c>
      <c r="G51" t="s">
        <v>27</v>
      </c>
      <c r="H51" t="str">
        <f t="shared" si="3"/>
        <v>03</v>
      </c>
      <c r="I51" t="str">
        <f t="shared" si="4"/>
        <v>afj</v>
      </c>
      <c r="J51" t="str">
        <f t="shared" si="5"/>
        <v>MU</v>
      </c>
      <c r="K51">
        <v>4637233.2470000004</v>
      </c>
      <c r="L51">
        <v>417283.33100000001</v>
      </c>
      <c r="M51">
        <v>1.528</v>
      </c>
      <c r="N51" t="s">
        <v>30</v>
      </c>
    </row>
    <row r="52" spans="1:14" x14ac:dyDescent="0.35">
      <c r="A52" t="s">
        <v>60</v>
      </c>
      <c r="B52">
        <v>29</v>
      </c>
      <c r="C52" t="s">
        <v>61</v>
      </c>
      <c r="D52">
        <v>2019</v>
      </c>
      <c r="E52">
        <f t="shared" si="6"/>
        <v>67</v>
      </c>
      <c r="F52">
        <v>206</v>
      </c>
      <c r="G52" t="s">
        <v>16</v>
      </c>
      <c r="H52" t="str">
        <f t="shared" si="3"/>
        <v>03</v>
      </c>
      <c r="I52" t="str">
        <f t="shared" si="4"/>
        <v>a</v>
      </c>
      <c r="J52" t="str">
        <f t="shared" si="5"/>
        <v>MU</v>
      </c>
      <c r="K52">
        <v>4637236.3859999999</v>
      </c>
      <c r="L52">
        <v>417274.89399999997</v>
      </c>
      <c r="M52">
        <v>1.4490000000000001</v>
      </c>
    </row>
    <row r="53" spans="1:14" x14ac:dyDescent="0.35">
      <c r="A53" t="s">
        <v>60</v>
      </c>
      <c r="B53">
        <v>29</v>
      </c>
      <c r="C53" t="s">
        <v>61</v>
      </c>
      <c r="D53">
        <v>2019</v>
      </c>
      <c r="E53">
        <f t="shared" si="6"/>
        <v>68</v>
      </c>
      <c r="F53">
        <v>207</v>
      </c>
      <c r="G53" t="s">
        <v>28</v>
      </c>
      <c r="H53" t="str">
        <f t="shared" si="3"/>
        <v>02</v>
      </c>
      <c r="I53" t="str">
        <f t="shared" si="4"/>
        <v>ae</v>
      </c>
      <c r="J53" t="str">
        <f t="shared" si="5"/>
        <v>MU</v>
      </c>
      <c r="K53">
        <v>4637237.4800000004</v>
      </c>
      <c r="L53">
        <v>417273.23599999998</v>
      </c>
      <c r="M53">
        <v>1.3660000000000001</v>
      </c>
    </row>
    <row r="54" spans="1:14" hidden="1" x14ac:dyDescent="0.35">
      <c r="A54" t="s">
        <v>60</v>
      </c>
      <c r="B54">
        <v>29</v>
      </c>
      <c r="C54" t="s">
        <v>61</v>
      </c>
      <c r="D54">
        <v>2019</v>
      </c>
      <c r="E54">
        <f t="shared" si="6"/>
        <v>69</v>
      </c>
      <c r="F54">
        <v>208</v>
      </c>
      <c r="G54" t="s">
        <v>29</v>
      </c>
      <c r="H54" t="str">
        <f t="shared" si="3"/>
        <v>01</v>
      </c>
      <c r="I54" t="str">
        <f t="shared" si="4"/>
        <v>aefg</v>
      </c>
      <c r="J54" t="str">
        <f t="shared" si="5"/>
        <v>Line</v>
      </c>
      <c r="K54">
        <v>4637238.523</v>
      </c>
      <c r="L54">
        <v>417271.48100000003</v>
      </c>
      <c r="M54">
        <v>1.262</v>
      </c>
      <c r="N54" t="s">
        <v>31</v>
      </c>
    </row>
    <row r="55" spans="1:14" hidden="1" x14ac:dyDescent="0.35">
      <c r="A55" t="s">
        <v>60</v>
      </c>
      <c r="B55">
        <v>29</v>
      </c>
      <c r="C55" t="s">
        <v>61</v>
      </c>
      <c r="D55">
        <v>2019</v>
      </c>
      <c r="E55">
        <f t="shared" si="6"/>
        <v>69</v>
      </c>
      <c r="F55">
        <v>209</v>
      </c>
      <c r="G55" t="s">
        <v>29</v>
      </c>
      <c r="H55" t="str">
        <f t="shared" si="3"/>
        <v>01</v>
      </c>
      <c r="I55" t="str">
        <f t="shared" si="4"/>
        <v>aefg</v>
      </c>
      <c r="J55" t="str">
        <f t="shared" si="5"/>
        <v>Line</v>
      </c>
      <c r="K55">
        <v>4637239.9170000004</v>
      </c>
      <c r="L55">
        <v>417269.03</v>
      </c>
      <c r="M55">
        <v>0.90800000000000003</v>
      </c>
    </row>
    <row r="56" spans="1:14" hidden="1" x14ac:dyDescent="0.35">
      <c r="A56" t="s">
        <v>60</v>
      </c>
      <c r="B56">
        <v>29</v>
      </c>
      <c r="C56" t="s">
        <v>61</v>
      </c>
      <c r="D56">
        <v>2019</v>
      </c>
      <c r="E56">
        <f t="shared" si="6"/>
        <v>69</v>
      </c>
      <c r="F56">
        <v>210</v>
      </c>
      <c r="G56" t="s">
        <v>29</v>
      </c>
      <c r="H56" t="str">
        <f t="shared" si="3"/>
        <v>01</v>
      </c>
      <c r="I56" t="str">
        <f t="shared" si="4"/>
        <v>aefg</v>
      </c>
      <c r="J56" t="str">
        <f t="shared" si="5"/>
        <v>Line</v>
      </c>
      <c r="K56">
        <v>4637247.0489999996</v>
      </c>
      <c r="L56">
        <v>417277.64799999999</v>
      </c>
      <c r="M56">
        <v>0.99099999999999999</v>
      </c>
    </row>
    <row r="57" spans="1:14" hidden="1" x14ac:dyDescent="0.35">
      <c r="A57" t="s">
        <v>60</v>
      </c>
      <c r="B57">
        <v>29</v>
      </c>
      <c r="C57" t="s">
        <v>61</v>
      </c>
      <c r="D57">
        <v>2019</v>
      </c>
      <c r="E57">
        <f t="shared" si="6"/>
        <v>69</v>
      </c>
      <c r="F57">
        <v>211</v>
      </c>
      <c r="G57" t="s">
        <v>29</v>
      </c>
      <c r="H57" t="str">
        <f t="shared" si="3"/>
        <v>01</v>
      </c>
      <c r="I57" t="str">
        <f t="shared" si="4"/>
        <v>aefg</v>
      </c>
      <c r="J57" t="str">
        <f t="shared" si="5"/>
        <v>Line</v>
      </c>
      <c r="K57">
        <v>4637250.3739999998</v>
      </c>
      <c r="L57">
        <v>417274.72399999999</v>
      </c>
      <c r="M57">
        <v>1.198</v>
      </c>
    </row>
    <row r="58" spans="1:14" hidden="1" x14ac:dyDescent="0.35">
      <c r="A58" t="s">
        <v>60</v>
      </c>
      <c r="B58">
        <v>29</v>
      </c>
      <c r="C58" t="s">
        <v>61</v>
      </c>
      <c r="D58">
        <v>2019</v>
      </c>
      <c r="E58">
        <f t="shared" si="6"/>
        <v>69</v>
      </c>
      <c r="F58">
        <v>212</v>
      </c>
      <c r="G58" t="s">
        <v>29</v>
      </c>
      <c r="H58" t="str">
        <f t="shared" si="3"/>
        <v>01</v>
      </c>
      <c r="I58" t="str">
        <f t="shared" si="4"/>
        <v>aefg</v>
      </c>
      <c r="J58" t="str">
        <f t="shared" si="5"/>
        <v>Line</v>
      </c>
      <c r="K58">
        <v>4637253.25</v>
      </c>
      <c r="L58">
        <v>417274.09600000002</v>
      </c>
      <c r="M58">
        <v>0.92200000000000004</v>
      </c>
    </row>
    <row r="59" spans="1:14" hidden="1" x14ac:dyDescent="0.35">
      <c r="A59" t="s">
        <v>60</v>
      </c>
      <c r="B59">
        <v>29</v>
      </c>
      <c r="C59" t="s">
        <v>61</v>
      </c>
      <c r="D59">
        <v>2019</v>
      </c>
      <c r="E59">
        <f t="shared" si="6"/>
        <v>69</v>
      </c>
      <c r="F59">
        <v>213</v>
      </c>
      <c r="G59" t="s">
        <v>29</v>
      </c>
      <c r="H59" t="str">
        <f t="shared" si="3"/>
        <v>01</v>
      </c>
      <c r="I59" t="str">
        <f t="shared" si="4"/>
        <v>aefg</v>
      </c>
      <c r="J59" t="str">
        <f t="shared" si="5"/>
        <v>Line</v>
      </c>
      <c r="K59">
        <v>4637258.1050000004</v>
      </c>
      <c r="L59">
        <v>417280.33399999997</v>
      </c>
      <c r="M59">
        <v>1.089</v>
      </c>
    </row>
    <row r="60" spans="1:14" hidden="1" x14ac:dyDescent="0.35">
      <c r="A60" t="s">
        <v>60</v>
      </c>
      <c r="B60">
        <v>29</v>
      </c>
      <c r="C60" t="s">
        <v>61</v>
      </c>
      <c r="D60">
        <v>2019</v>
      </c>
      <c r="E60">
        <f t="shared" si="6"/>
        <v>69</v>
      </c>
      <c r="F60">
        <v>214</v>
      </c>
      <c r="G60" t="s">
        <v>29</v>
      </c>
      <c r="H60" t="str">
        <f t="shared" si="3"/>
        <v>01</v>
      </c>
      <c r="I60" t="str">
        <f t="shared" si="4"/>
        <v>aefg</v>
      </c>
      <c r="J60" t="str">
        <f t="shared" si="5"/>
        <v>Line</v>
      </c>
      <c r="K60">
        <v>4637266.102</v>
      </c>
      <c r="L60">
        <v>417280.61499999999</v>
      </c>
      <c r="M60">
        <v>1.304</v>
      </c>
    </row>
    <row r="61" spans="1:14" hidden="1" x14ac:dyDescent="0.35">
      <c r="A61" t="s">
        <v>60</v>
      </c>
      <c r="B61">
        <v>29</v>
      </c>
      <c r="C61" t="s">
        <v>61</v>
      </c>
      <c r="D61">
        <v>2019</v>
      </c>
      <c r="E61">
        <f t="shared" si="6"/>
        <v>69</v>
      </c>
      <c r="F61">
        <v>215</v>
      </c>
      <c r="G61" t="s">
        <v>29</v>
      </c>
      <c r="H61" t="str">
        <f t="shared" si="3"/>
        <v>01</v>
      </c>
      <c r="I61" t="str">
        <f t="shared" si="4"/>
        <v>aefg</v>
      </c>
      <c r="J61" t="str">
        <f t="shared" si="5"/>
        <v>Line</v>
      </c>
      <c r="K61">
        <v>4637269.34</v>
      </c>
      <c r="L61">
        <v>417275.78</v>
      </c>
      <c r="M61">
        <v>1.2350000000000001</v>
      </c>
    </row>
    <row r="62" spans="1:14" hidden="1" x14ac:dyDescent="0.35">
      <c r="A62" t="s">
        <v>60</v>
      </c>
      <c r="B62">
        <v>29</v>
      </c>
      <c r="C62" t="s">
        <v>61</v>
      </c>
      <c r="D62">
        <v>2019</v>
      </c>
      <c r="E62">
        <f t="shared" si="6"/>
        <v>69</v>
      </c>
      <c r="F62">
        <v>216</v>
      </c>
      <c r="G62" t="s">
        <v>29</v>
      </c>
      <c r="H62" t="str">
        <f t="shared" si="3"/>
        <v>01</v>
      </c>
      <c r="I62" t="str">
        <f t="shared" si="4"/>
        <v>aefg</v>
      </c>
      <c r="J62" t="str">
        <f t="shared" si="5"/>
        <v>Line</v>
      </c>
      <c r="K62">
        <v>4637271.5089999996</v>
      </c>
      <c r="L62">
        <v>417273.06</v>
      </c>
      <c r="M62">
        <v>1.1220000000000001</v>
      </c>
    </row>
    <row r="63" spans="1:14" x14ac:dyDescent="0.35">
      <c r="A63" t="s">
        <v>60</v>
      </c>
      <c r="B63">
        <v>29</v>
      </c>
      <c r="C63" t="s">
        <v>61</v>
      </c>
      <c r="D63">
        <v>2019</v>
      </c>
      <c r="E63">
        <v>70</v>
      </c>
      <c r="F63">
        <v>217</v>
      </c>
      <c r="G63" t="s">
        <v>32</v>
      </c>
      <c r="H63" t="str">
        <f t="shared" si="3"/>
        <v>33</v>
      </c>
      <c r="I63" t="str">
        <f t="shared" si="4"/>
        <v>efg</v>
      </c>
      <c r="J63" t="str">
        <f t="shared" si="5"/>
        <v>MU</v>
      </c>
      <c r="K63">
        <v>4637270.7240000004</v>
      </c>
      <c r="L63">
        <v>417271.255</v>
      </c>
      <c r="M63">
        <v>1.2350000000000001</v>
      </c>
      <c r="N63" t="s">
        <v>12</v>
      </c>
    </row>
    <row r="64" spans="1:14" x14ac:dyDescent="0.35">
      <c r="A64" t="s">
        <v>60</v>
      </c>
      <c r="B64">
        <v>29</v>
      </c>
      <c r="C64" t="s">
        <v>61</v>
      </c>
      <c r="D64">
        <v>2019</v>
      </c>
      <c r="E64">
        <v>71</v>
      </c>
      <c r="F64">
        <v>218</v>
      </c>
      <c r="G64" t="s">
        <v>32</v>
      </c>
      <c r="H64" t="str">
        <f t="shared" si="3"/>
        <v>33</v>
      </c>
      <c r="I64" t="str">
        <f t="shared" si="4"/>
        <v>efg</v>
      </c>
      <c r="J64" t="str">
        <f t="shared" si="5"/>
        <v>MU</v>
      </c>
      <c r="K64">
        <v>4637268.1260000002</v>
      </c>
      <c r="L64">
        <v>417269.66</v>
      </c>
      <c r="M64">
        <v>1.264</v>
      </c>
    </row>
    <row r="65" spans="1:13" x14ac:dyDescent="0.35">
      <c r="A65" t="s">
        <v>60</v>
      </c>
      <c r="B65">
        <v>29</v>
      </c>
      <c r="C65" t="s">
        <v>61</v>
      </c>
      <c r="D65">
        <v>2019</v>
      </c>
      <c r="E65">
        <f t="shared" si="6"/>
        <v>72</v>
      </c>
      <c r="F65">
        <v>219</v>
      </c>
      <c r="G65" t="s">
        <v>33</v>
      </c>
      <c r="H65" t="str">
        <f t="shared" si="3"/>
        <v>01</v>
      </c>
      <c r="I65" t="str">
        <f t="shared" si="4"/>
        <v>befg</v>
      </c>
      <c r="J65" t="str">
        <f t="shared" si="5"/>
        <v>MU</v>
      </c>
      <c r="K65">
        <v>4637267.4720000001</v>
      </c>
      <c r="L65">
        <v>417267.99900000001</v>
      </c>
      <c r="M65">
        <v>1.371</v>
      </c>
    </row>
    <row r="66" spans="1:13" x14ac:dyDescent="0.35">
      <c r="A66" t="s">
        <v>60</v>
      </c>
      <c r="B66">
        <v>29</v>
      </c>
      <c r="C66" t="s">
        <v>61</v>
      </c>
      <c r="D66">
        <v>2019</v>
      </c>
      <c r="E66">
        <f t="shared" si="6"/>
        <v>73</v>
      </c>
      <c r="F66">
        <v>220</v>
      </c>
      <c r="G66" t="s">
        <v>32</v>
      </c>
      <c r="H66" t="str">
        <f t="shared" si="3"/>
        <v>33</v>
      </c>
      <c r="I66" t="str">
        <f t="shared" si="4"/>
        <v>efg</v>
      </c>
      <c r="J66" t="str">
        <f t="shared" si="5"/>
        <v>MU</v>
      </c>
      <c r="K66">
        <v>4637265.5619999999</v>
      </c>
      <c r="L66">
        <v>417268.79499999998</v>
      </c>
      <c r="M66">
        <v>1.3260000000000001</v>
      </c>
    </row>
    <row r="67" spans="1:13" hidden="1" x14ac:dyDescent="0.35">
      <c r="A67" t="s">
        <v>60</v>
      </c>
      <c r="B67">
        <v>29</v>
      </c>
      <c r="C67" t="s">
        <v>61</v>
      </c>
      <c r="D67">
        <v>2019</v>
      </c>
      <c r="E67">
        <f t="shared" si="6"/>
        <v>74</v>
      </c>
      <c r="F67">
        <v>221</v>
      </c>
      <c r="G67" t="s">
        <v>29</v>
      </c>
      <c r="H67" t="str">
        <f t="shared" ref="H67:H127" si="7">LEFT(G67,2)</f>
        <v>01</v>
      </c>
      <c r="I67" t="str">
        <f t="shared" ref="I67:I127" si="8">RIGHT(G67,LEN(G67)-LEN(H67))</f>
        <v>aefg</v>
      </c>
      <c r="J67" t="str">
        <f t="shared" ref="J67:J127" si="9">IF(OR((E67=E68),(E67=E66)),"Line","MU")</f>
        <v>Line</v>
      </c>
      <c r="K67">
        <v>4637264.2929999996</v>
      </c>
      <c r="L67">
        <v>417268.984</v>
      </c>
      <c r="M67">
        <v>1.1479999999999999</v>
      </c>
    </row>
    <row r="68" spans="1:13" hidden="1" x14ac:dyDescent="0.35">
      <c r="A68" t="s">
        <v>60</v>
      </c>
      <c r="B68">
        <v>29</v>
      </c>
      <c r="C68" t="s">
        <v>61</v>
      </c>
      <c r="D68">
        <v>2019</v>
      </c>
      <c r="E68">
        <f t="shared" si="6"/>
        <v>74</v>
      </c>
      <c r="F68">
        <v>222</v>
      </c>
      <c r="G68" t="s">
        <v>29</v>
      </c>
      <c r="H68" t="str">
        <f t="shared" si="7"/>
        <v>01</v>
      </c>
      <c r="I68" t="str">
        <f t="shared" si="8"/>
        <v>aefg</v>
      </c>
      <c r="J68" t="str">
        <f t="shared" si="9"/>
        <v>Line</v>
      </c>
      <c r="K68">
        <v>4637262.0640000002</v>
      </c>
      <c r="L68">
        <v>417269.04</v>
      </c>
      <c r="M68">
        <v>1.0169999999999999</v>
      </c>
    </row>
    <row r="69" spans="1:13" x14ac:dyDescent="0.35">
      <c r="A69" t="s">
        <v>60</v>
      </c>
      <c r="B69">
        <v>29</v>
      </c>
      <c r="C69" t="s">
        <v>61</v>
      </c>
      <c r="D69">
        <v>2019</v>
      </c>
      <c r="E69">
        <f t="shared" si="6"/>
        <v>75</v>
      </c>
      <c r="F69">
        <v>223</v>
      </c>
      <c r="G69" t="s">
        <v>32</v>
      </c>
      <c r="H69" t="str">
        <f t="shared" si="7"/>
        <v>33</v>
      </c>
      <c r="I69" t="str">
        <f t="shared" si="8"/>
        <v>efg</v>
      </c>
      <c r="J69" t="str">
        <f t="shared" si="9"/>
        <v>MU</v>
      </c>
      <c r="K69">
        <v>4637262.3870000001</v>
      </c>
      <c r="L69">
        <v>417267.75900000002</v>
      </c>
      <c r="M69">
        <v>1.224</v>
      </c>
    </row>
    <row r="70" spans="1:13" x14ac:dyDescent="0.35">
      <c r="A70" t="s">
        <v>60</v>
      </c>
      <c r="B70">
        <v>29</v>
      </c>
      <c r="C70" t="s">
        <v>61</v>
      </c>
      <c r="D70">
        <v>2019</v>
      </c>
      <c r="E70">
        <f t="shared" si="6"/>
        <v>76</v>
      </c>
      <c r="F70">
        <v>224</v>
      </c>
      <c r="G70" t="s">
        <v>34</v>
      </c>
      <c r="H70" t="str">
        <f t="shared" si="7"/>
        <v>02</v>
      </c>
      <c r="I70" t="str">
        <f t="shared" si="8"/>
        <v>a</v>
      </c>
      <c r="J70" t="str">
        <f t="shared" si="9"/>
        <v>MU</v>
      </c>
      <c r="K70">
        <v>4637262.9050000003</v>
      </c>
      <c r="L70">
        <v>417266.00199999998</v>
      </c>
      <c r="M70">
        <v>1.337</v>
      </c>
    </row>
    <row r="71" spans="1:13" x14ac:dyDescent="0.35">
      <c r="A71" t="s">
        <v>60</v>
      </c>
      <c r="B71">
        <v>29</v>
      </c>
      <c r="C71" t="s">
        <v>61</v>
      </c>
      <c r="D71">
        <v>2019</v>
      </c>
      <c r="E71">
        <f t="shared" si="6"/>
        <v>77</v>
      </c>
      <c r="F71">
        <v>225</v>
      </c>
      <c r="G71" t="s">
        <v>32</v>
      </c>
      <c r="H71" t="str">
        <f t="shared" si="7"/>
        <v>33</v>
      </c>
      <c r="I71" t="str">
        <f t="shared" si="8"/>
        <v>efg</v>
      </c>
      <c r="J71" t="str">
        <f t="shared" si="9"/>
        <v>MU</v>
      </c>
      <c r="K71">
        <v>4637258.5619999999</v>
      </c>
      <c r="L71">
        <v>417263.74400000001</v>
      </c>
      <c r="M71">
        <v>1.224</v>
      </c>
    </row>
    <row r="72" spans="1:13" x14ac:dyDescent="0.35">
      <c r="A72" t="s">
        <v>60</v>
      </c>
      <c r="B72">
        <v>29</v>
      </c>
      <c r="C72" t="s">
        <v>61</v>
      </c>
      <c r="D72">
        <v>2019</v>
      </c>
      <c r="E72">
        <f t="shared" si="6"/>
        <v>78</v>
      </c>
      <c r="F72">
        <v>226</v>
      </c>
      <c r="G72" t="s">
        <v>34</v>
      </c>
      <c r="H72" t="str">
        <f t="shared" si="7"/>
        <v>02</v>
      </c>
      <c r="I72" t="str">
        <f t="shared" si="8"/>
        <v>a</v>
      </c>
      <c r="J72" t="str">
        <f t="shared" si="9"/>
        <v>MU</v>
      </c>
      <c r="K72">
        <v>4637259.7580000004</v>
      </c>
      <c r="L72">
        <v>417263.07500000001</v>
      </c>
      <c r="M72">
        <v>1.3680000000000001</v>
      </c>
    </row>
    <row r="73" spans="1:13" x14ac:dyDescent="0.35">
      <c r="A73" t="s">
        <v>60</v>
      </c>
      <c r="B73">
        <v>29</v>
      </c>
      <c r="C73" t="s">
        <v>61</v>
      </c>
      <c r="D73">
        <v>2019</v>
      </c>
      <c r="E73">
        <f t="shared" si="6"/>
        <v>79</v>
      </c>
      <c r="F73">
        <v>227</v>
      </c>
      <c r="G73" t="s">
        <v>35</v>
      </c>
      <c r="H73" t="str">
        <f t="shared" si="7"/>
        <v>02</v>
      </c>
      <c r="I73" t="str">
        <f t="shared" si="8"/>
        <v>aef</v>
      </c>
      <c r="J73" t="str">
        <f t="shared" si="9"/>
        <v>MU</v>
      </c>
      <c r="K73">
        <v>4637263.4369999999</v>
      </c>
      <c r="L73">
        <v>417259.478</v>
      </c>
      <c r="M73">
        <v>1.4</v>
      </c>
    </row>
    <row r="74" spans="1:13" x14ac:dyDescent="0.35">
      <c r="A74" t="s">
        <v>60</v>
      </c>
      <c r="B74">
        <v>29</v>
      </c>
      <c r="C74" t="s">
        <v>61</v>
      </c>
      <c r="D74">
        <v>2019</v>
      </c>
      <c r="E74">
        <f t="shared" si="6"/>
        <v>80</v>
      </c>
      <c r="F74">
        <v>228</v>
      </c>
      <c r="G74" t="s">
        <v>36</v>
      </c>
      <c r="H74" t="str">
        <f t="shared" si="7"/>
        <v>01</v>
      </c>
      <c r="I74" t="str">
        <f t="shared" si="8"/>
        <v>aef</v>
      </c>
      <c r="J74" t="str">
        <f t="shared" si="9"/>
        <v>MU</v>
      </c>
      <c r="K74">
        <v>4637262.4340000004</v>
      </c>
      <c r="L74">
        <v>417257.29700000002</v>
      </c>
      <c r="M74">
        <v>1.1519999999999999</v>
      </c>
    </row>
    <row r="75" spans="1:13" hidden="1" x14ac:dyDescent="0.35">
      <c r="A75" t="s">
        <v>60</v>
      </c>
      <c r="B75">
        <v>29</v>
      </c>
      <c r="C75" t="s">
        <v>61</v>
      </c>
      <c r="D75">
        <v>2019</v>
      </c>
      <c r="E75">
        <f t="shared" si="6"/>
        <v>81</v>
      </c>
      <c r="F75">
        <v>229</v>
      </c>
      <c r="G75" t="s">
        <v>29</v>
      </c>
      <c r="H75" t="str">
        <f t="shared" si="7"/>
        <v>01</v>
      </c>
      <c r="I75" t="str">
        <f t="shared" si="8"/>
        <v>aefg</v>
      </c>
      <c r="J75" t="str">
        <f t="shared" si="9"/>
        <v>Line</v>
      </c>
      <c r="K75">
        <v>4637261.7180000003</v>
      </c>
      <c r="L75">
        <v>417256.09</v>
      </c>
      <c r="M75">
        <v>0.98899999999999999</v>
      </c>
    </row>
    <row r="76" spans="1:13" hidden="1" x14ac:dyDescent="0.35">
      <c r="A76" t="s">
        <v>60</v>
      </c>
      <c r="B76">
        <v>29</v>
      </c>
      <c r="C76" t="s">
        <v>61</v>
      </c>
      <c r="D76">
        <v>2019</v>
      </c>
      <c r="E76">
        <f t="shared" si="6"/>
        <v>81</v>
      </c>
      <c r="F76">
        <v>230</v>
      </c>
      <c r="G76" t="s">
        <v>29</v>
      </c>
      <c r="H76" t="str">
        <f t="shared" si="7"/>
        <v>01</v>
      </c>
      <c r="I76" t="str">
        <f t="shared" si="8"/>
        <v>aefg</v>
      </c>
      <c r="J76" t="str">
        <f t="shared" si="9"/>
        <v>Line</v>
      </c>
      <c r="K76">
        <v>4637262.66</v>
      </c>
      <c r="L76">
        <v>417255.375</v>
      </c>
      <c r="M76">
        <v>1.194</v>
      </c>
    </row>
    <row r="77" spans="1:13" hidden="1" x14ac:dyDescent="0.35">
      <c r="A77" t="s">
        <v>60</v>
      </c>
      <c r="B77">
        <v>29</v>
      </c>
      <c r="C77" t="s">
        <v>61</v>
      </c>
      <c r="D77">
        <v>2019</v>
      </c>
      <c r="E77">
        <f t="shared" si="6"/>
        <v>81</v>
      </c>
      <c r="F77">
        <v>231</v>
      </c>
      <c r="G77" t="s">
        <v>29</v>
      </c>
      <c r="H77" t="str">
        <f t="shared" si="7"/>
        <v>01</v>
      </c>
      <c r="I77" t="str">
        <f t="shared" si="8"/>
        <v>aefg</v>
      </c>
      <c r="J77" t="str">
        <f t="shared" si="9"/>
        <v>Line</v>
      </c>
      <c r="K77">
        <v>4637262.1289999997</v>
      </c>
      <c r="L77">
        <v>417253.61900000001</v>
      </c>
      <c r="M77">
        <v>1.3049999999999999</v>
      </c>
    </row>
    <row r="78" spans="1:13" hidden="1" x14ac:dyDescent="0.35">
      <c r="A78" t="s">
        <v>60</v>
      </c>
      <c r="B78">
        <v>29</v>
      </c>
      <c r="C78" t="s">
        <v>61</v>
      </c>
      <c r="D78">
        <v>2019</v>
      </c>
      <c r="E78">
        <f t="shared" si="6"/>
        <v>82</v>
      </c>
      <c r="F78">
        <v>232</v>
      </c>
      <c r="G78" t="s">
        <v>28</v>
      </c>
      <c r="H78" t="str">
        <f t="shared" si="7"/>
        <v>02</v>
      </c>
      <c r="I78" t="str">
        <f t="shared" si="8"/>
        <v>ae</v>
      </c>
      <c r="J78" t="str">
        <f t="shared" si="9"/>
        <v>Line</v>
      </c>
      <c r="K78">
        <v>4637263.0640000002</v>
      </c>
      <c r="L78">
        <v>417253.04200000002</v>
      </c>
      <c r="M78">
        <v>1.45</v>
      </c>
    </row>
    <row r="79" spans="1:13" hidden="1" x14ac:dyDescent="0.35">
      <c r="A79" t="s">
        <v>60</v>
      </c>
      <c r="B79">
        <v>29</v>
      </c>
      <c r="C79" t="s">
        <v>61</v>
      </c>
      <c r="D79">
        <v>2019</v>
      </c>
      <c r="E79">
        <f t="shared" si="6"/>
        <v>82</v>
      </c>
      <c r="F79">
        <v>233</v>
      </c>
      <c r="G79" t="s">
        <v>28</v>
      </c>
      <c r="H79" t="str">
        <f t="shared" si="7"/>
        <v>02</v>
      </c>
      <c r="I79" t="str">
        <f t="shared" si="8"/>
        <v>ae</v>
      </c>
      <c r="J79" t="str">
        <f t="shared" si="9"/>
        <v>Line</v>
      </c>
      <c r="K79">
        <v>4637266.9349999996</v>
      </c>
      <c r="L79">
        <v>417254.29300000001</v>
      </c>
      <c r="M79">
        <v>1.5089999999999999</v>
      </c>
    </row>
    <row r="80" spans="1:13" x14ac:dyDescent="0.35">
      <c r="A80" t="s">
        <v>60</v>
      </c>
      <c r="B80">
        <v>29</v>
      </c>
      <c r="C80" t="s">
        <v>61</v>
      </c>
      <c r="D80">
        <v>2019</v>
      </c>
      <c r="E80">
        <f t="shared" si="6"/>
        <v>83</v>
      </c>
      <c r="F80">
        <v>234</v>
      </c>
      <c r="G80" t="s">
        <v>20</v>
      </c>
      <c r="H80" t="str">
        <f t="shared" si="7"/>
        <v>06</v>
      </c>
      <c r="I80" t="str">
        <f t="shared" si="8"/>
        <v>a</v>
      </c>
      <c r="J80" t="str">
        <f t="shared" si="9"/>
        <v>MU</v>
      </c>
      <c r="K80">
        <v>4637268.4809999997</v>
      </c>
      <c r="L80">
        <v>417254.36900000001</v>
      </c>
      <c r="M80">
        <v>1.4319999999999999</v>
      </c>
    </row>
    <row r="81" spans="1:14" x14ac:dyDescent="0.35">
      <c r="A81" t="s">
        <v>60</v>
      </c>
      <c r="B81">
        <v>29</v>
      </c>
      <c r="C81" t="s">
        <v>61</v>
      </c>
      <c r="D81">
        <v>2019</v>
      </c>
      <c r="E81">
        <f t="shared" si="6"/>
        <v>84</v>
      </c>
      <c r="F81">
        <v>235</v>
      </c>
      <c r="G81" t="s">
        <v>16</v>
      </c>
      <c r="H81" t="str">
        <f t="shared" si="7"/>
        <v>03</v>
      </c>
      <c r="I81" t="str">
        <f t="shared" si="8"/>
        <v>a</v>
      </c>
      <c r="J81" t="str">
        <f t="shared" si="9"/>
        <v>MU</v>
      </c>
      <c r="K81">
        <v>4637270.2410000004</v>
      </c>
      <c r="L81">
        <v>417254.64899999998</v>
      </c>
      <c r="M81">
        <v>1.524</v>
      </c>
    </row>
    <row r="82" spans="1:14" x14ac:dyDescent="0.35">
      <c r="A82" t="s">
        <v>60</v>
      </c>
      <c r="B82">
        <v>29</v>
      </c>
      <c r="C82" t="s">
        <v>61</v>
      </c>
      <c r="D82">
        <v>2019</v>
      </c>
      <c r="E82">
        <f t="shared" si="6"/>
        <v>85</v>
      </c>
      <c r="F82">
        <v>236</v>
      </c>
      <c r="G82" t="s">
        <v>27</v>
      </c>
      <c r="H82" t="str">
        <f t="shared" si="7"/>
        <v>03</v>
      </c>
      <c r="I82" t="str">
        <f t="shared" si="8"/>
        <v>afj</v>
      </c>
      <c r="J82" t="str">
        <f t="shared" si="9"/>
        <v>MU</v>
      </c>
      <c r="K82">
        <v>4637273.1540000001</v>
      </c>
      <c r="L82">
        <v>417255.88699999999</v>
      </c>
      <c r="M82">
        <v>1.4650000000000001</v>
      </c>
    </row>
    <row r="83" spans="1:14" hidden="1" x14ac:dyDescent="0.35">
      <c r="A83" t="s">
        <v>60</v>
      </c>
      <c r="B83">
        <v>29</v>
      </c>
      <c r="C83" t="s">
        <v>61</v>
      </c>
      <c r="D83">
        <v>2019</v>
      </c>
      <c r="E83">
        <f t="shared" si="6"/>
        <v>86</v>
      </c>
      <c r="F83">
        <v>237</v>
      </c>
      <c r="G83" t="s">
        <v>37</v>
      </c>
      <c r="H83" t="str">
        <f t="shared" si="7"/>
        <v>06</v>
      </c>
      <c r="I83" t="str">
        <f t="shared" si="8"/>
        <v>afj</v>
      </c>
      <c r="J83" t="str">
        <f t="shared" si="9"/>
        <v>Line</v>
      </c>
      <c r="K83">
        <v>4637274.7249999996</v>
      </c>
      <c r="L83">
        <v>417257.10600000003</v>
      </c>
      <c r="M83">
        <v>1.52</v>
      </c>
    </row>
    <row r="84" spans="1:14" hidden="1" x14ac:dyDescent="0.35">
      <c r="A84" t="s">
        <v>60</v>
      </c>
      <c r="B84">
        <v>29</v>
      </c>
      <c r="C84" t="s">
        <v>61</v>
      </c>
      <c r="D84">
        <v>2019</v>
      </c>
      <c r="E84">
        <f t="shared" si="6"/>
        <v>86</v>
      </c>
      <c r="F84">
        <v>238</v>
      </c>
      <c r="G84" t="s">
        <v>37</v>
      </c>
      <c r="H84" t="str">
        <f t="shared" si="7"/>
        <v>06</v>
      </c>
      <c r="I84" t="str">
        <f t="shared" si="8"/>
        <v>afj</v>
      </c>
      <c r="J84" t="str">
        <f t="shared" si="9"/>
        <v>Line</v>
      </c>
      <c r="K84">
        <v>4637285.5949999997</v>
      </c>
      <c r="L84">
        <v>417269.41499999998</v>
      </c>
      <c r="M84">
        <v>1.587</v>
      </c>
    </row>
    <row r="85" spans="1:14" x14ac:dyDescent="0.35">
      <c r="A85" t="s">
        <v>60</v>
      </c>
      <c r="B85">
        <v>29</v>
      </c>
      <c r="C85" t="s">
        <v>61</v>
      </c>
      <c r="D85">
        <v>2019</v>
      </c>
      <c r="E85">
        <f t="shared" si="6"/>
        <v>87</v>
      </c>
      <c r="F85">
        <v>239</v>
      </c>
      <c r="G85" t="s">
        <v>16</v>
      </c>
      <c r="H85" t="str">
        <f t="shared" si="7"/>
        <v>03</v>
      </c>
      <c r="I85" t="str">
        <f t="shared" si="8"/>
        <v>a</v>
      </c>
      <c r="J85" t="str">
        <f t="shared" si="9"/>
        <v>MU</v>
      </c>
      <c r="K85">
        <v>4637287.6380000003</v>
      </c>
      <c r="L85">
        <v>417270.65</v>
      </c>
      <c r="M85">
        <v>1.579</v>
      </c>
    </row>
    <row r="86" spans="1:14" hidden="1" x14ac:dyDescent="0.35">
      <c r="A86" t="s">
        <v>60</v>
      </c>
      <c r="B86">
        <v>29</v>
      </c>
      <c r="C86" t="s">
        <v>61</v>
      </c>
      <c r="D86">
        <v>2019</v>
      </c>
      <c r="E86">
        <f t="shared" si="6"/>
        <v>88</v>
      </c>
      <c r="F86">
        <v>240</v>
      </c>
      <c r="G86" t="s">
        <v>18</v>
      </c>
      <c r="H86" t="str">
        <f t="shared" si="7"/>
        <v>10</v>
      </c>
      <c r="I86" t="str">
        <f t="shared" si="8"/>
        <v>a</v>
      </c>
      <c r="J86" t="str">
        <f t="shared" si="9"/>
        <v>Line</v>
      </c>
      <c r="K86">
        <v>4637288.2759999996</v>
      </c>
      <c r="L86">
        <v>417287.234</v>
      </c>
      <c r="M86">
        <v>1.5549999999999999</v>
      </c>
    </row>
    <row r="87" spans="1:14" hidden="1" x14ac:dyDescent="0.35">
      <c r="A87" t="s">
        <v>60</v>
      </c>
      <c r="B87">
        <v>29</v>
      </c>
      <c r="C87" t="s">
        <v>61</v>
      </c>
      <c r="D87">
        <v>2019</v>
      </c>
      <c r="E87">
        <f t="shared" si="6"/>
        <v>88</v>
      </c>
      <c r="F87">
        <v>241</v>
      </c>
      <c r="G87" t="s">
        <v>18</v>
      </c>
      <c r="H87" t="str">
        <f t="shared" si="7"/>
        <v>10</v>
      </c>
      <c r="I87" t="str">
        <f t="shared" si="8"/>
        <v>a</v>
      </c>
      <c r="J87" t="str">
        <f t="shared" si="9"/>
        <v>Line</v>
      </c>
      <c r="K87">
        <v>4637288.568</v>
      </c>
      <c r="L87">
        <v>417288.60499999998</v>
      </c>
      <c r="M87">
        <v>1.518</v>
      </c>
    </row>
    <row r="88" spans="1:14" hidden="1" x14ac:dyDescent="0.35">
      <c r="A88" t="s">
        <v>60</v>
      </c>
      <c r="B88">
        <v>29</v>
      </c>
      <c r="C88" t="s">
        <v>61</v>
      </c>
      <c r="D88">
        <v>2019</v>
      </c>
      <c r="E88">
        <f t="shared" si="6"/>
        <v>89</v>
      </c>
      <c r="F88">
        <v>242</v>
      </c>
      <c r="G88" t="s">
        <v>22</v>
      </c>
      <c r="H88" t="str">
        <f t="shared" si="7"/>
        <v>10</v>
      </c>
      <c r="I88" t="str">
        <f t="shared" si="8"/>
        <v>aj</v>
      </c>
      <c r="J88" t="str">
        <f t="shared" si="9"/>
        <v>Line</v>
      </c>
      <c r="K88">
        <v>4637317.0429999996</v>
      </c>
      <c r="L88">
        <v>417295.967</v>
      </c>
      <c r="M88">
        <v>1.599</v>
      </c>
      <c r="N88" t="s">
        <v>38</v>
      </c>
    </row>
    <row r="89" spans="1:14" hidden="1" x14ac:dyDescent="0.35">
      <c r="A89" t="s">
        <v>60</v>
      </c>
      <c r="B89">
        <v>29</v>
      </c>
      <c r="C89" t="s">
        <v>61</v>
      </c>
      <c r="D89">
        <v>2019</v>
      </c>
      <c r="E89">
        <f t="shared" si="6"/>
        <v>89</v>
      </c>
      <c r="F89">
        <v>243</v>
      </c>
      <c r="G89" t="s">
        <v>22</v>
      </c>
      <c r="H89" t="str">
        <f t="shared" si="7"/>
        <v>10</v>
      </c>
      <c r="I89" t="str">
        <f t="shared" si="8"/>
        <v>aj</v>
      </c>
      <c r="J89" t="str">
        <f t="shared" si="9"/>
        <v>Line</v>
      </c>
      <c r="K89">
        <v>4637321.7960000001</v>
      </c>
      <c r="L89">
        <v>417296.739</v>
      </c>
      <c r="M89">
        <v>1.6080000000000001</v>
      </c>
      <c r="N89" t="s">
        <v>39</v>
      </c>
    </row>
    <row r="90" spans="1:14" hidden="1" x14ac:dyDescent="0.35">
      <c r="A90" t="s">
        <v>60</v>
      </c>
      <c r="B90">
        <v>29</v>
      </c>
      <c r="C90" t="s">
        <v>61</v>
      </c>
      <c r="D90">
        <v>2019</v>
      </c>
      <c r="E90">
        <f t="shared" si="6"/>
        <v>89</v>
      </c>
      <c r="F90">
        <v>244</v>
      </c>
      <c r="G90" t="s">
        <v>22</v>
      </c>
      <c r="H90" t="str">
        <f t="shared" si="7"/>
        <v>10</v>
      </c>
      <c r="I90" t="str">
        <f t="shared" si="8"/>
        <v>aj</v>
      </c>
      <c r="J90" t="str">
        <f t="shared" si="9"/>
        <v>Line</v>
      </c>
      <c r="K90">
        <v>4637322.7620000001</v>
      </c>
      <c r="L90">
        <v>417292.96299999999</v>
      </c>
      <c r="M90">
        <v>1.6279999999999999</v>
      </c>
      <c r="N90" t="s">
        <v>39</v>
      </c>
    </row>
    <row r="91" spans="1:14" hidden="1" x14ac:dyDescent="0.35">
      <c r="A91" t="s">
        <v>60</v>
      </c>
      <c r="B91">
        <v>29</v>
      </c>
      <c r="C91" t="s">
        <v>61</v>
      </c>
      <c r="D91">
        <v>2019</v>
      </c>
      <c r="E91">
        <f t="shared" si="6"/>
        <v>90</v>
      </c>
      <c r="F91">
        <v>245</v>
      </c>
      <c r="G91" t="s">
        <v>18</v>
      </c>
      <c r="H91" t="str">
        <f t="shared" si="7"/>
        <v>10</v>
      </c>
      <c r="I91" t="str">
        <f t="shared" si="8"/>
        <v>a</v>
      </c>
      <c r="J91" t="str">
        <f t="shared" si="9"/>
        <v>Line</v>
      </c>
      <c r="K91">
        <v>4636893.4129999997</v>
      </c>
      <c r="L91">
        <v>416795.995</v>
      </c>
      <c r="M91">
        <v>1.454</v>
      </c>
      <c r="N91" t="s">
        <v>39</v>
      </c>
    </row>
    <row r="92" spans="1:14" hidden="1" x14ac:dyDescent="0.35">
      <c r="A92" t="s">
        <v>60</v>
      </c>
      <c r="B92">
        <v>29</v>
      </c>
      <c r="C92" t="s">
        <v>61</v>
      </c>
      <c r="D92">
        <v>2019</v>
      </c>
      <c r="E92">
        <f t="shared" si="6"/>
        <v>90</v>
      </c>
      <c r="F92">
        <v>246</v>
      </c>
      <c r="G92" t="s">
        <v>18</v>
      </c>
      <c r="H92" t="str">
        <f t="shared" si="7"/>
        <v>10</v>
      </c>
      <c r="I92" t="str">
        <f t="shared" si="8"/>
        <v>a</v>
      </c>
      <c r="J92" t="str">
        <f t="shared" si="9"/>
        <v>Line</v>
      </c>
      <c r="K92">
        <v>4636907.72</v>
      </c>
      <c r="L92">
        <v>416814.58299999998</v>
      </c>
      <c r="M92">
        <v>1.4870000000000001</v>
      </c>
    </row>
    <row r="93" spans="1:14" hidden="1" x14ac:dyDescent="0.35">
      <c r="A93" t="s">
        <v>60</v>
      </c>
      <c r="B93">
        <v>29</v>
      </c>
      <c r="C93" t="s">
        <v>61</v>
      </c>
      <c r="D93">
        <v>2019</v>
      </c>
      <c r="E93">
        <f t="shared" si="6"/>
        <v>90</v>
      </c>
      <c r="F93">
        <v>247</v>
      </c>
      <c r="G93" t="s">
        <v>18</v>
      </c>
      <c r="H93" t="str">
        <f t="shared" si="7"/>
        <v>10</v>
      </c>
      <c r="I93" t="str">
        <f t="shared" si="8"/>
        <v>a</v>
      </c>
      <c r="J93" t="str">
        <f t="shared" si="9"/>
        <v>Line</v>
      </c>
      <c r="K93">
        <v>4636910.79</v>
      </c>
      <c r="L93">
        <v>416811.91</v>
      </c>
      <c r="M93">
        <v>1.5029999999999999</v>
      </c>
    </row>
    <row r="94" spans="1:14" hidden="1" x14ac:dyDescent="0.35">
      <c r="A94" t="s">
        <v>60</v>
      </c>
      <c r="B94">
        <v>29</v>
      </c>
      <c r="C94" t="s">
        <v>61</v>
      </c>
      <c r="D94">
        <v>2019</v>
      </c>
      <c r="E94">
        <f t="shared" si="6"/>
        <v>90</v>
      </c>
      <c r="F94">
        <v>248</v>
      </c>
      <c r="G94" t="s">
        <v>18</v>
      </c>
      <c r="H94" t="str">
        <f t="shared" si="7"/>
        <v>10</v>
      </c>
      <c r="I94" t="str">
        <f t="shared" si="8"/>
        <v>a</v>
      </c>
      <c r="J94" t="str">
        <f t="shared" si="9"/>
        <v>Line</v>
      </c>
      <c r="K94">
        <v>4636896.4939999999</v>
      </c>
      <c r="L94">
        <v>416793.94400000002</v>
      </c>
      <c r="M94">
        <v>1.4490000000000001</v>
      </c>
    </row>
    <row r="95" spans="1:14" hidden="1" x14ac:dyDescent="0.35">
      <c r="A95" t="s">
        <v>60</v>
      </c>
      <c r="B95">
        <v>29</v>
      </c>
      <c r="C95" t="s">
        <v>61</v>
      </c>
      <c r="D95">
        <v>2019</v>
      </c>
      <c r="E95">
        <f t="shared" si="6"/>
        <v>91</v>
      </c>
      <c r="F95">
        <v>249</v>
      </c>
      <c r="G95" t="s">
        <v>40</v>
      </c>
      <c r="H95" t="str">
        <f t="shared" si="7"/>
        <v>06</v>
      </c>
      <c r="I95" t="str">
        <f t="shared" si="8"/>
        <v>ae</v>
      </c>
      <c r="J95" t="str">
        <f t="shared" si="9"/>
        <v>Line</v>
      </c>
      <c r="K95">
        <v>4636897.9060000004</v>
      </c>
      <c r="L95">
        <v>416792.78600000002</v>
      </c>
      <c r="M95">
        <v>1.407</v>
      </c>
    </row>
    <row r="96" spans="1:14" hidden="1" x14ac:dyDescent="0.35">
      <c r="A96" t="s">
        <v>60</v>
      </c>
      <c r="B96">
        <v>29</v>
      </c>
      <c r="C96" t="s">
        <v>61</v>
      </c>
      <c r="D96">
        <v>2019</v>
      </c>
      <c r="E96">
        <f t="shared" si="6"/>
        <v>91</v>
      </c>
      <c r="F96">
        <v>250</v>
      </c>
      <c r="G96" t="s">
        <v>40</v>
      </c>
      <c r="H96" t="str">
        <f t="shared" si="7"/>
        <v>06</v>
      </c>
      <c r="I96" t="str">
        <f t="shared" si="8"/>
        <v>ae</v>
      </c>
      <c r="J96" t="str">
        <f t="shared" si="9"/>
        <v>Line</v>
      </c>
      <c r="K96">
        <v>4636901.642</v>
      </c>
      <c r="L96">
        <v>416797.27600000001</v>
      </c>
      <c r="M96">
        <v>1.42</v>
      </c>
    </row>
    <row r="97" spans="1:14" x14ac:dyDescent="0.35">
      <c r="A97" t="s">
        <v>60</v>
      </c>
      <c r="B97">
        <v>29</v>
      </c>
      <c r="C97" t="s">
        <v>61</v>
      </c>
      <c r="D97">
        <v>2019</v>
      </c>
      <c r="E97">
        <f t="shared" si="6"/>
        <v>92</v>
      </c>
      <c r="F97">
        <v>251</v>
      </c>
      <c r="G97" t="s">
        <v>41</v>
      </c>
      <c r="H97" t="str">
        <f t="shared" si="7"/>
        <v>10</v>
      </c>
      <c r="I97" t="str">
        <f t="shared" si="8"/>
        <v>ae</v>
      </c>
      <c r="J97" t="str">
        <f t="shared" si="9"/>
        <v>MU</v>
      </c>
      <c r="K97">
        <v>4636902.7489999998</v>
      </c>
      <c r="L97">
        <v>416798.89</v>
      </c>
      <c r="M97">
        <v>1.3740000000000001</v>
      </c>
    </row>
    <row r="98" spans="1:14" x14ac:dyDescent="0.35">
      <c r="A98" t="s">
        <v>60</v>
      </c>
      <c r="B98">
        <v>29</v>
      </c>
      <c r="C98" t="s">
        <v>61</v>
      </c>
      <c r="D98">
        <v>2019</v>
      </c>
      <c r="E98">
        <v>93</v>
      </c>
      <c r="F98">
        <v>252</v>
      </c>
      <c r="G98" t="s">
        <v>41</v>
      </c>
      <c r="H98" t="str">
        <f t="shared" si="7"/>
        <v>10</v>
      </c>
      <c r="I98" t="str">
        <f t="shared" si="8"/>
        <v>ae</v>
      </c>
      <c r="J98" t="str">
        <f t="shared" si="9"/>
        <v>MU</v>
      </c>
      <c r="K98">
        <v>4636905.47</v>
      </c>
      <c r="L98">
        <v>416802.90399999998</v>
      </c>
      <c r="M98">
        <v>1.45</v>
      </c>
      <c r="N98" t="s">
        <v>12</v>
      </c>
    </row>
    <row r="99" spans="1:14" hidden="1" x14ac:dyDescent="0.35">
      <c r="A99" t="s">
        <v>60</v>
      </c>
      <c r="B99">
        <v>29</v>
      </c>
      <c r="C99" t="s">
        <v>61</v>
      </c>
      <c r="D99">
        <v>2019</v>
      </c>
      <c r="E99">
        <f t="shared" si="6"/>
        <v>94</v>
      </c>
      <c r="F99">
        <v>253</v>
      </c>
      <c r="G99" t="s">
        <v>40</v>
      </c>
      <c r="H99" t="str">
        <f t="shared" si="7"/>
        <v>06</v>
      </c>
      <c r="I99" t="str">
        <f t="shared" si="8"/>
        <v>ae</v>
      </c>
      <c r="J99" t="str">
        <f t="shared" si="9"/>
        <v>Line</v>
      </c>
      <c r="K99">
        <v>4636907.0259999996</v>
      </c>
      <c r="L99">
        <v>416802.98100000003</v>
      </c>
      <c r="M99">
        <v>1.4159999999999999</v>
      </c>
    </row>
    <row r="100" spans="1:14" hidden="1" x14ac:dyDescent="0.35">
      <c r="A100" t="s">
        <v>60</v>
      </c>
      <c r="B100">
        <v>29</v>
      </c>
      <c r="C100" t="s">
        <v>61</v>
      </c>
      <c r="D100">
        <v>2019</v>
      </c>
      <c r="E100">
        <f t="shared" si="6"/>
        <v>94</v>
      </c>
      <c r="F100">
        <v>254</v>
      </c>
      <c r="G100" t="s">
        <v>40</v>
      </c>
      <c r="H100" t="str">
        <f t="shared" si="7"/>
        <v>06</v>
      </c>
      <c r="I100" t="str">
        <f t="shared" si="8"/>
        <v>ae</v>
      </c>
      <c r="J100" t="str">
        <f t="shared" si="9"/>
        <v>Line</v>
      </c>
      <c r="K100">
        <v>4636909.0290000001</v>
      </c>
      <c r="L100">
        <v>416805.53600000002</v>
      </c>
      <c r="M100">
        <v>1.4239999999999999</v>
      </c>
    </row>
    <row r="101" spans="1:14" x14ac:dyDescent="0.35">
      <c r="A101" t="s">
        <v>60</v>
      </c>
      <c r="B101">
        <v>29</v>
      </c>
      <c r="C101" t="s">
        <v>61</v>
      </c>
      <c r="D101">
        <v>2019</v>
      </c>
      <c r="E101">
        <f t="shared" si="6"/>
        <v>95</v>
      </c>
      <c r="F101">
        <v>255</v>
      </c>
      <c r="G101" t="s">
        <v>42</v>
      </c>
      <c r="H101" t="str">
        <f t="shared" si="7"/>
        <v>06</v>
      </c>
      <c r="I101" t="str">
        <f t="shared" si="8"/>
        <v>be</v>
      </c>
      <c r="J101" t="str">
        <f t="shared" si="9"/>
        <v>MU</v>
      </c>
      <c r="K101">
        <v>4636910.0659999996</v>
      </c>
      <c r="L101">
        <v>416806.79</v>
      </c>
      <c r="M101">
        <v>1.44</v>
      </c>
    </row>
    <row r="102" spans="1:14" x14ac:dyDescent="0.35">
      <c r="A102" t="s">
        <v>60</v>
      </c>
      <c r="B102">
        <v>29</v>
      </c>
      <c r="C102" t="s">
        <v>61</v>
      </c>
      <c r="D102">
        <v>2019</v>
      </c>
      <c r="E102">
        <f t="shared" si="6"/>
        <v>96</v>
      </c>
      <c r="F102">
        <v>256</v>
      </c>
      <c r="G102" t="s">
        <v>40</v>
      </c>
      <c r="H102" t="str">
        <f t="shared" si="7"/>
        <v>06</v>
      </c>
      <c r="I102" t="str">
        <f t="shared" si="8"/>
        <v>ae</v>
      </c>
      <c r="J102" t="str">
        <f t="shared" si="9"/>
        <v>MU</v>
      </c>
      <c r="K102">
        <v>4636911.5180000002</v>
      </c>
      <c r="L102">
        <v>416807.52</v>
      </c>
      <c r="M102">
        <v>1.4179999999999999</v>
      </c>
    </row>
    <row r="103" spans="1:14" hidden="1" x14ac:dyDescent="0.35">
      <c r="A103" t="s">
        <v>60</v>
      </c>
      <c r="B103">
        <v>29</v>
      </c>
      <c r="C103" t="s">
        <v>61</v>
      </c>
      <c r="D103">
        <v>2019</v>
      </c>
      <c r="E103">
        <f t="shared" si="6"/>
        <v>97</v>
      </c>
      <c r="F103">
        <v>257</v>
      </c>
      <c r="G103" t="s">
        <v>43</v>
      </c>
      <c r="H103" t="str">
        <f t="shared" si="7"/>
        <v>07</v>
      </c>
      <c r="I103" t="str">
        <f t="shared" si="8"/>
        <v>ae</v>
      </c>
      <c r="J103" t="str">
        <f t="shared" si="9"/>
        <v>Line</v>
      </c>
      <c r="K103">
        <v>4636912.9479999999</v>
      </c>
      <c r="L103">
        <v>416806.94199999998</v>
      </c>
      <c r="M103">
        <v>1.4019999999999999</v>
      </c>
    </row>
    <row r="104" spans="1:14" hidden="1" x14ac:dyDescent="0.35">
      <c r="A104" t="s">
        <v>60</v>
      </c>
      <c r="B104">
        <v>29</v>
      </c>
      <c r="C104" t="s">
        <v>61</v>
      </c>
      <c r="D104">
        <v>2019</v>
      </c>
      <c r="E104">
        <f t="shared" si="6"/>
        <v>97</v>
      </c>
      <c r="F104">
        <v>258</v>
      </c>
      <c r="G104" t="s">
        <v>43</v>
      </c>
      <c r="H104" t="str">
        <f t="shared" si="7"/>
        <v>07</v>
      </c>
      <c r="I104" t="str">
        <f t="shared" si="8"/>
        <v>ae</v>
      </c>
      <c r="J104" t="str">
        <f t="shared" si="9"/>
        <v>Line</v>
      </c>
      <c r="K104">
        <v>4636913.8689999999</v>
      </c>
      <c r="L104">
        <v>416805.36300000001</v>
      </c>
      <c r="M104">
        <v>1.405</v>
      </c>
    </row>
    <row r="105" spans="1:14" hidden="1" x14ac:dyDescent="0.35">
      <c r="A105" t="s">
        <v>60</v>
      </c>
      <c r="B105">
        <v>29</v>
      </c>
      <c r="C105" t="s">
        <v>61</v>
      </c>
      <c r="D105">
        <v>2019</v>
      </c>
      <c r="E105">
        <f t="shared" si="6"/>
        <v>97</v>
      </c>
      <c r="F105">
        <v>259</v>
      </c>
      <c r="G105" t="s">
        <v>43</v>
      </c>
      <c r="H105" t="str">
        <f t="shared" si="7"/>
        <v>07</v>
      </c>
      <c r="I105" t="str">
        <f t="shared" si="8"/>
        <v>ae</v>
      </c>
      <c r="J105" t="str">
        <f t="shared" si="9"/>
        <v>Line</v>
      </c>
      <c r="K105">
        <v>4636908.4179999996</v>
      </c>
      <c r="L105">
        <v>416797.38299999997</v>
      </c>
      <c r="M105">
        <v>1.3660000000000001</v>
      </c>
    </row>
    <row r="106" spans="1:14" hidden="1" x14ac:dyDescent="0.35">
      <c r="A106" t="s">
        <v>60</v>
      </c>
      <c r="B106">
        <v>29</v>
      </c>
      <c r="C106" t="s">
        <v>61</v>
      </c>
      <c r="D106">
        <v>2019</v>
      </c>
      <c r="E106">
        <f t="shared" si="6"/>
        <v>97</v>
      </c>
      <c r="F106">
        <v>260</v>
      </c>
      <c r="G106" t="s">
        <v>43</v>
      </c>
      <c r="H106" t="str">
        <f t="shared" si="7"/>
        <v>07</v>
      </c>
      <c r="I106" t="str">
        <f t="shared" si="8"/>
        <v>ae</v>
      </c>
      <c r="J106" t="str">
        <f t="shared" si="9"/>
        <v>Line</v>
      </c>
      <c r="K106">
        <v>4636903.8689999999</v>
      </c>
      <c r="L106">
        <v>416793.79</v>
      </c>
      <c r="M106">
        <v>1.339</v>
      </c>
    </row>
    <row r="107" spans="1:14" x14ac:dyDescent="0.35">
      <c r="A107" t="s">
        <v>60</v>
      </c>
      <c r="B107">
        <v>29</v>
      </c>
      <c r="C107" t="s">
        <v>61</v>
      </c>
      <c r="D107">
        <v>2019</v>
      </c>
      <c r="E107">
        <f t="shared" si="6"/>
        <v>98</v>
      </c>
      <c r="F107">
        <v>261</v>
      </c>
      <c r="G107" t="s">
        <v>41</v>
      </c>
      <c r="H107" t="str">
        <f t="shared" si="7"/>
        <v>10</v>
      </c>
      <c r="I107" t="str">
        <f t="shared" si="8"/>
        <v>ae</v>
      </c>
      <c r="J107" t="str">
        <f t="shared" si="9"/>
        <v>MU</v>
      </c>
      <c r="K107">
        <v>4636902.818</v>
      </c>
      <c r="L107">
        <v>416792.73200000002</v>
      </c>
      <c r="M107">
        <v>1.367</v>
      </c>
      <c r="N107" t="s">
        <v>45</v>
      </c>
    </row>
    <row r="108" spans="1:14" x14ac:dyDescent="0.35">
      <c r="A108" t="s">
        <v>60</v>
      </c>
      <c r="B108">
        <v>29</v>
      </c>
      <c r="C108" t="s">
        <v>61</v>
      </c>
      <c r="D108">
        <v>2019</v>
      </c>
      <c r="E108">
        <f t="shared" ref="E108:E127" si="10">IF(G108=G107,E107,E107+1)</f>
        <v>99</v>
      </c>
      <c r="F108">
        <v>262</v>
      </c>
      <c r="G108" t="s">
        <v>43</v>
      </c>
      <c r="H108" t="str">
        <f t="shared" si="7"/>
        <v>07</v>
      </c>
      <c r="I108" t="str">
        <f t="shared" si="8"/>
        <v>ae</v>
      </c>
      <c r="J108" t="str">
        <f t="shared" si="9"/>
        <v>MU</v>
      </c>
      <c r="K108">
        <v>4636901.4309999999</v>
      </c>
      <c r="L108">
        <v>416791.826</v>
      </c>
      <c r="M108">
        <v>1.3720000000000001</v>
      </c>
      <c r="N108" t="s">
        <v>45</v>
      </c>
    </row>
    <row r="109" spans="1:14" x14ac:dyDescent="0.35">
      <c r="A109" t="s">
        <v>60</v>
      </c>
      <c r="B109">
        <v>29</v>
      </c>
      <c r="C109" t="s">
        <v>61</v>
      </c>
      <c r="D109">
        <v>2019</v>
      </c>
      <c r="E109">
        <f t="shared" si="10"/>
        <v>100</v>
      </c>
      <c r="F109">
        <v>263</v>
      </c>
      <c r="G109" t="s">
        <v>41</v>
      </c>
      <c r="H109" t="str">
        <f t="shared" si="7"/>
        <v>10</v>
      </c>
      <c r="I109" t="str">
        <f t="shared" si="8"/>
        <v>ae</v>
      </c>
      <c r="J109" t="str">
        <f t="shared" si="9"/>
        <v>MU</v>
      </c>
      <c r="K109">
        <v>4636903.0329999998</v>
      </c>
      <c r="L109">
        <v>416790.57699999999</v>
      </c>
      <c r="M109">
        <v>1.3420000000000001</v>
      </c>
      <c r="N109" t="s">
        <v>45</v>
      </c>
    </row>
    <row r="110" spans="1:14" hidden="1" x14ac:dyDescent="0.35">
      <c r="A110" t="s">
        <v>60</v>
      </c>
      <c r="B110">
        <v>29</v>
      </c>
      <c r="C110" t="s">
        <v>61</v>
      </c>
      <c r="D110">
        <v>2019</v>
      </c>
      <c r="E110">
        <f t="shared" si="10"/>
        <v>101</v>
      </c>
      <c r="F110">
        <v>264</v>
      </c>
      <c r="G110" t="s">
        <v>44</v>
      </c>
      <c r="H110" t="str">
        <f t="shared" si="7"/>
        <v>33</v>
      </c>
      <c r="I110" t="str">
        <f t="shared" si="8"/>
        <v>ef</v>
      </c>
      <c r="J110" t="str">
        <f t="shared" si="9"/>
        <v>Line</v>
      </c>
      <c r="K110">
        <v>4636904.71</v>
      </c>
      <c r="L110">
        <v>416789.32699999999</v>
      </c>
      <c r="M110">
        <v>1.276</v>
      </c>
      <c r="N110" t="s">
        <v>45</v>
      </c>
    </row>
    <row r="111" spans="1:14" hidden="1" x14ac:dyDescent="0.35">
      <c r="A111" t="s">
        <v>60</v>
      </c>
      <c r="B111">
        <v>29</v>
      </c>
      <c r="C111" t="s">
        <v>61</v>
      </c>
      <c r="D111">
        <v>2019</v>
      </c>
      <c r="E111">
        <f t="shared" si="10"/>
        <v>101</v>
      </c>
      <c r="F111">
        <v>265</v>
      </c>
      <c r="G111" t="s">
        <v>44</v>
      </c>
      <c r="H111" t="str">
        <f t="shared" si="7"/>
        <v>33</v>
      </c>
      <c r="I111" t="str">
        <f t="shared" si="8"/>
        <v>ef</v>
      </c>
      <c r="J111" t="str">
        <f t="shared" si="9"/>
        <v>Line</v>
      </c>
      <c r="K111">
        <v>4636912.8020000001</v>
      </c>
      <c r="L111">
        <v>416797.99800000002</v>
      </c>
      <c r="M111">
        <v>1.2949999999999999</v>
      </c>
      <c r="N111" t="s">
        <v>45</v>
      </c>
    </row>
    <row r="112" spans="1:14" hidden="1" x14ac:dyDescent="0.35">
      <c r="A112" t="s">
        <v>60</v>
      </c>
      <c r="B112">
        <v>29</v>
      </c>
      <c r="C112" t="s">
        <v>61</v>
      </c>
      <c r="D112">
        <v>2019</v>
      </c>
      <c r="E112">
        <f t="shared" si="10"/>
        <v>101</v>
      </c>
      <c r="F112">
        <v>266</v>
      </c>
      <c r="G112" t="s">
        <v>44</v>
      </c>
      <c r="H112" t="str">
        <f t="shared" si="7"/>
        <v>33</v>
      </c>
      <c r="I112" t="str">
        <f t="shared" si="8"/>
        <v>ef</v>
      </c>
      <c r="J112" t="str">
        <f t="shared" si="9"/>
        <v>Line</v>
      </c>
      <c r="K112">
        <v>4636914.9740000004</v>
      </c>
      <c r="L112">
        <v>416801.2</v>
      </c>
      <c r="M112">
        <v>1.3620000000000001</v>
      </c>
      <c r="N112" t="s">
        <v>45</v>
      </c>
    </row>
    <row r="113" spans="1:14" hidden="1" x14ac:dyDescent="0.35">
      <c r="A113" t="s">
        <v>60</v>
      </c>
      <c r="B113">
        <v>29</v>
      </c>
      <c r="C113" t="s">
        <v>61</v>
      </c>
      <c r="D113">
        <v>2019</v>
      </c>
      <c r="E113">
        <f t="shared" si="10"/>
        <v>101</v>
      </c>
      <c r="F113">
        <v>267</v>
      </c>
      <c r="G113" t="s">
        <v>44</v>
      </c>
      <c r="H113" t="str">
        <f t="shared" si="7"/>
        <v>33</v>
      </c>
      <c r="I113" t="str">
        <f t="shared" si="8"/>
        <v>ef</v>
      </c>
      <c r="J113" t="str">
        <f t="shared" si="9"/>
        <v>Line</v>
      </c>
      <c r="K113">
        <v>4636916.47</v>
      </c>
      <c r="L113">
        <v>416808.18900000001</v>
      </c>
      <c r="M113">
        <v>1.4139999999999999</v>
      </c>
      <c r="N113" t="s">
        <v>45</v>
      </c>
    </row>
    <row r="114" spans="1:14" hidden="1" x14ac:dyDescent="0.35">
      <c r="A114" t="s">
        <v>60</v>
      </c>
      <c r="B114">
        <v>29</v>
      </c>
      <c r="C114" t="s">
        <v>61</v>
      </c>
      <c r="D114">
        <v>2019</v>
      </c>
      <c r="E114">
        <f t="shared" si="10"/>
        <v>101</v>
      </c>
      <c r="F114">
        <v>268</v>
      </c>
      <c r="G114" t="s">
        <v>44</v>
      </c>
      <c r="H114" t="str">
        <f t="shared" si="7"/>
        <v>33</v>
      </c>
      <c r="I114" t="str">
        <f t="shared" si="8"/>
        <v>ef</v>
      </c>
      <c r="J114" t="str">
        <f t="shared" si="9"/>
        <v>Line</v>
      </c>
      <c r="K114">
        <v>4636918.1710000001</v>
      </c>
      <c r="L114">
        <v>416807.42499999999</v>
      </c>
      <c r="M114">
        <v>1.377</v>
      </c>
      <c r="N114" t="s">
        <v>45</v>
      </c>
    </row>
    <row r="115" spans="1:14" hidden="1" x14ac:dyDescent="0.35">
      <c r="A115" t="s">
        <v>60</v>
      </c>
      <c r="B115">
        <v>29</v>
      </c>
      <c r="C115" t="s">
        <v>61</v>
      </c>
      <c r="D115">
        <v>2019</v>
      </c>
      <c r="E115">
        <f t="shared" si="10"/>
        <v>101</v>
      </c>
      <c r="F115">
        <v>269</v>
      </c>
      <c r="G115" t="s">
        <v>44</v>
      </c>
      <c r="H115" t="str">
        <f t="shared" si="7"/>
        <v>33</v>
      </c>
      <c r="I115" t="str">
        <f t="shared" si="8"/>
        <v>ef</v>
      </c>
      <c r="J115" t="str">
        <f t="shared" si="9"/>
        <v>Line</v>
      </c>
      <c r="K115">
        <v>4636916.9479999999</v>
      </c>
      <c r="L115">
        <v>416802.315</v>
      </c>
      <c r="M115">
        <v>1.3540000000000001</v>
      </c>
      <c r="N115" t="s">
        <v>45</v>
      </c>
    </row>
    <row r="116" spans="1:14" hidden="1" x14ac:dyDescent="0.35">
      <c r="A116" t="s">
        <v>60</v>
      </c>
      <c r="B116">
        <v>29</v>
      </c>
      <c r="C116" t="s">
        <v>61</v>
      </c>
      <c r="D116">
        <v>2019</v>
      </c>
      <c r="E116">
        <f t="shared" si="10"/>
        <v>101</v>
      </c>
      <c r="F116">
        <v>270</v>
      </c>
      <c r="G116" t="s">
        <v>44</v>
      </c>
      <c r="H116" t="str">
        <f t="shared" si="7"/>
        <v>33</v>
      </c>
      <c r="I116" t="str">
        <f t="shared" si="8"/>
        <v>ef</v>
      </c>
      <c r="J116" t="str">
        <f t="shared" si="9"/>
        <v>Line</v>
      </c>
      <c r="K116">
        <v>4636916.2659999998</v>
      </c>
      <c r="L116">
        <v>416800.27500000002</v>
      </c>
      <c r="M116">
        <v>1.349</v>
      </c>
      <c r="N116" t="s">
        <v>45</v>
      </c>
    </row>
    <row r="117" spans="1:14" hidden="1" x14ac:dyDescent="0.35">
      <c r="A117" t="s">
        <v>60</v>
      </c>
      <c r="B117">
        <v>29</v>
      </c>
      <c r="C117" t="s">
        <v>61</v>
      </c>
      <c r="D117">
        <v>2019</v>
      </c>
      <c r="E117">
        <f t="shared" si="10"/>
        <v>101</v>
      </c>
      <c r="F117">
        <v>271</v>
      </c>
      <c r="G117" t="s">
        <v>44</v>
      </c>
      <c r="H117" t="str">
        <f t="shared" si="7"/>
        <v>33</v>
      </c>
      <c r="I117" t="str">
        <f t="shared" si="8"/>
        <v>ef</v>
      </c>
      <c r="J117" t="str">
        <f t="shared" si="9"/>
        <v>Line</v>
      </c>
      <c r="K117">
        <v>4636915.2620000001</v>
      </c>
      <c r="L117">
        <v>416797.804</v>
      </c>
      <c r="M117">
        <v>1.35</v>
      </c>
    </row>
    <row r="118" spans="1:14" hidden="1" x14ac:dyDescent="0.35">
      <c r="A118" t="s">
        <v>60</v>
      </c>
      <c r="B118">
        <v>29</v>
      </c>
      <c r="C118" t="s">
        <v>61</v>
      </c>
      <c r="D118">
        <v>2019</v>
      </c>
      <c r="E118">
        <f t="shared" si="10"/>
        <v>101</v>
      </c>
      <c r="F118">
        <v>272</v>
      </c>
      <c r="G118" t="s">
        <v>44</v>
      </c>
      <c r="H118" t="str">
        <f t="shared" si="7"/>
        <v>33</v>
      </c>
      <c r="I118" t="str">
        <f t="shared" si="8"/>
        <v>ef</v>
      </c>
      <c r="J118" t="str">
        <f t="shared" si="9"/>
        <v>Line</v>
      </c>
      <c r="K118">
        <v>4636912.7029999997</v>
      </c>
      <c r="L118">
        <v>416795.86300000001</v>
      </c>
      <c r="M118">
        <v>1.327</v>
      </c>
    </row>
    <row r="119" spans="1:14" hidden="1" x14ac:dyDescent="0.35">
      <c r="A119" t="s">
        <v>60</v>
      </c>
      <c r="B119">
        <v>29</v>
      </c>
      <c r="C119" t="s">
        <v>61</v>
      </c>
      <c r="D119">
        <v>2019</v>
      </c>
      <c r="E119">
        <f t="shared" si="10"/>
        <v>101</v>
      </c>
      <c r="F119">
        <v>273</v>
      </c>
      <c r="G119" t="s">
        <v>44</v>
      </c>
      <c r="H119" t="str">
        <f t="shared" si="7"/>
        <v>33</v>
      </c>
      <c r="I119" t="str">
        <f t="shared" si="8"/>
        <v>ef</v>
      </c>
      <c r="J119" t="str">
        <f t="shared" si="9"/>
        <v>Line</v>
      </c>
      <c r="K119">
        <v>4636906.9610000001</v>
      </c>
      <c r="L119">
        <v>416787.467</v>
      </c>
      <c r="M119">
        <v>1.2989999999999999</v>
      </c>
    </row>
    <row r="120" spans="1:14" hidden="1" x14ac:dyDescent="0.35">
      <c r="A120" t="s">
        <v>60</v>
      </c>
      <c r="B120">
        <v>29</v>
      </c>
      <c r="C120" t="s">
        <v>61</v>
      </c>
      <c r="D120">
        <v>2019</v>
      </c>
      <c r="E120">
        <f t="shared" si="10"/>
        <v>102</v>
      </c>
      <c r="F120">
        <v>274</v>
      </c>
      <c r="G120" t="s">
        <v>46</v>
      </c>
      <c r="H120" t="str">
        <f t="shared" si="7"/>
        <v>01</v>
      </c>
      <c r="I120" t="str">
        <f t="shared" si="8"/>
        <v>ace</v>
      </c>
      <c r="J120" t="str">
        <f t="shared" si="9"/>
        <v>Line</v>
      </c>
      <c r="K120">
        <v>4636908.5360000003</v>
      </c>
      <c r="L120">
        <v>416786.337</v>
      </c>
      <c r="M120">
        <v>1.3320000000000001</v>
      </c>
    </row>
    <row r="121" spans="1:14" hidden="1" x14ac:dyDescent="0.35">
      <c r="A121" t="s">
        <v>60</v>
      </c>
      <c r="B121">
        <v>29</v>
      </c>
      <c r="C121" t="s">
        <v>61</v>
      </c>
      <c r="D121">
        <v>2019</v>
      </c>
      <c r="E121">
        <f t="shared" si="10"/>
        <v>102</v>
      </c>
      <c r="F121">
        <v>275</v>
      </c>
      <c r="G121" t="s">
        <v>46</v>
      </c>
      <c r="H121" t="str">
        <f t="shared" si="7"/>
        <v>01</v>
      </c>
      <c r="I121" t="str">
        <f t="shared" si="8"/>
        <v>ace</v>
      </c>
      <c r="J121" t="str">
        <f t="shared" si="9"/>
        <v>Line</v>
      </c>
      <c r="K121">
        <v>4636904.4539999999</v>
      </c>
      <c r="L121">
        <v>416777.15</v>
      </c>
      <c r="M121">
        <v>1.27</v>
      </c>
    </row>
    <row r="122" spans="1:14" hidden="1" x14ac:dyDescent="0.35">
      <c r="A122" t="s">
        <v>60</v>
      </c>
      <c r="B122">
        <v>29</v>
      </c>
      <c r="C122" t="s">
        <v>61</v>
      </c>
      <c r="D122">
        <v>2019</v>
      </c>
      <c r="E122">
        <f t="shared" si="10"/>
        <v>103</v>
      </c>
      <c r="F122">
        <v>276</v>
      </c>
      <c r="G122" t="s">
        <v>32</v>
      </c>
      <c r="H122" t="str">
        <f t="shared" si="7"/>
        <v>33</v>
      </c>
      <c r="I122" t="str">
        <f t="shared" si="8"/>
        <v>efg</v>
      </c>
      <c r="J122" t="str">
        <f t="shared" si="9"/>
        <v>Line</v>
      </c>
      <c r="K122">
        <v>4636906.1399999997</v>
      </c>
      <c r="L122">
        <v>416776.62199999997</v>
      </c>
      <c r="M122">
        <v>1.2789999999999999</v>
      </c>
    </row>
    <row r="123" spans="1:14" hidden="1" x14ac:dyDescent="0.35">
      <c r="A123" t="s">
        <v>60</v>
      </c>
      <c r="B123">
        <v>29</v>
      </c>
      <c r="C123" t="s">
        <v>61</v>
      </c>
      <c r="D123">
        <v>2019</v>
      </c>
      <c r="E123">
        <f t="shared" si="10"/>
        <v>103</v>
      </c>
      <c r="F123">
        <v>277</v>
      </c>
      <c r="G123" t="s">
        <v>32</v>
      </c>
      <c r="H123" t="str">
        <f t="shared" si="7"/>
        <v>33</v>
      </c>
      <c r="I123" t="str">
        <f t="shared" si="8"/>
        <v>efg</v>
      </c>
      <c r="J123" t="str">
        <f t="shared" si="9"/>
        <v>Line</v>
      </c>
      <c r="K123">
        <v>4636917.415</v>
      </c>
      <c r="L123">
        <v>416786.32500000001</v>
      </c>
      <c r="M123">
        <v>1.395</v>
      </c>
    </row>
    <row r="124" spans="1:14" x14ac:dyDescent="0.35">
      <c r="A124" t="s">
        <v>60</v>
      </c>
      <c r="B124">
        <v>29</v>
      </c>
      <c r="C124" t="s">
        <v>61</v>
      </c>
      <c r="D124">
        <v>2019</v>
      </c>
      <c r="E124">
        <f t="shared" si="10"/>
        <v>104</v>
      </c>
      <c r="F124">
        <v>278</v>
      </c>
      <c r="G124" t="s">
        <v>47</v>
      </c>
      <c r="H124" t="str">
        <f t="shared" si="7"/>
        <v>03</v>
      </c>
      <c r="I124" t="str">
        <f t="shared" si="8"/>
        <v>ae</v>
      </c>
      <c r="J124" t="str">
        <f t="shared" si="9"/>
        <v>MU</v>
      </c>
      <c r="K124">
        <v>4636916.7910000002</v>
      </c>
      <c r="L124">
        <v>416788</v>
      </c>
      <c r="M124">
        <v>1.4039999999999999</v>
      </c>
      <c r="N124" t="s">
        <v>49</v>
      </c>
    </row>
    <row r="125" spans="1:14" x14ac:dyDescent="0.35">
      <c r="A125" t="s">
        <v>60</v>
      </c>
      <c r="B125">
        <v>29</v>
      </c>
      <c r="C125" t="s">
        <v>61</v>
      </c>
      <c r="D125">
        <v>2019</v>
      </c>
      <c r="E125">
        <f t="shared" si="10"/>
        <v>105</v>
      </c>
      <c r="F125">
        <v>279</v>
      </c>
      <c r="G125" t="s">
        <v>48</v>
      </c>
      <c r="H125" t="str">
        <f t="shared" si="7"/>
        <v>03</v>
      </c>
      <c r="I125" t="str">
        <f t="shared" si="8"/>
        <v>bc</v>
      </c>
      <c r="J125" t="str">
        <f t="shared" si="9"/>
        <v>MU</v>
      </c>
      <c r="K125">
        <v>4636915.4160000002</v>
      </c>
      <c r="L125">
        <v>416789.391</v>
      </c>
      <c r="M125">
        <v>1.391</v>
      </c>
    </row>
    <row r="126" spans="1:14" x14ac:dyDescent="0.35">
      <c r="A126" t="s">
        <v>60</v>
      </c>
      <c r="B126">
        <v>29</v>
      </c>
      <c r="C126" t="s">
        <v>61</v>
      </c>
      <c r="D126">
        <v>2019</v>
      </c>
      <c r="E126">
        <f t="shared" si="10"/>
        <v>106</v>
      </c>
      <c r="F126">
        <v>280</v>
      </c>
      <c r="G126" t="s">
        <v>34</v>
      </c>
      <c r="H126" t="str">
        <f t="shared" si="7"/>
        <v>02</v>
      </c>
      <c r="I126" t="str">
        <f t="shared" si="8"/>
        <v>a</v>
      </c>
      <c r="J126" t="str">
        <f t="shared" si="9"/>
        <v>MU</v>
      </c>
      <c r="K126">
        <v>4636914.159</v>
      </c>
      <c r="L126">
        <v>416790.39199999999</v>
      </c>
      <c r="M126">
        <v>1.359</v>
      </c>
    </row>
    <row r="127" spans="1:14" x14ac:dyDescent="0.35">
      <c r="A127" t="s">
        <v>60</v>
      </c>
      <c r="B127">
        <v>29</v>
      </c>
      <c r="C127" t="s">
        <v>61</v>
      </c>
      <c r="D127">
        <v>2019</v>
      </c>
      <c r="E127">
        <f t="shared" si="10"/>
        <v>107</v>
      </c>
      <c r="F127">
        <v>281</v>
      </c>
      <c r="G127" t="s">
        <v>28</v>
      </c>
      <c r="H127" t="str">
        <f t="shared" si="7"/>
        <v>02</v>
      </c>
      <c r="I127" t="str">
        <f t="shared" si="8"/>
        <v>ae</v>
      </c>
      <c r="J127" t="str">
        <f t="shared" si="9"/>
        <v>MU</v>
      </c>
      <c r="K127">
        <v>4636912.1689999998</v>
      </c>
      <c r="L127">
        <v>416792.28700000001</v>
      </c>
      <c r="M127">
        <v>1.292</v>
      </c>
    </row>
  </sheetData>
  <autoFilter ref="A1:N127" xr:uid="{E6B42525-4A68-4DD7-B55B-2CFD5A44ED45}">
    <filterColumn colId="9">
      <filters>
        <filter val="MU"/>
      </filters>
    </filterColumn>
  </autoFilter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6A39-5D33-4775-9849-C1D73D5485A8}">
  <dimension ref="A1:N78"/>
  <sheetViews>
    <sheetView workbookViewId="0">
      <selection activeCell="I3" sqref="I3"/>
    </sheetView>
  </sheetViews>
  <sheetFormatPr defaultRowHeight="14.5" x14ac:dyDescent="0.35"/>
  <sheetData>
    <row r="1" spans="1:14" x14ac:dyDescent="0.3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0</v>
      </c>
      <c r="I1" t="s">
        <v>57</v>
      </c>
      <c r="J1" t="s">
        <v>58</v>
      </c>
      <c r="K1" t="s">
        <v>1</v>
      </c>
      <c r="L1" t="s">
        <v>2</v>
      </c>
      <c r="M1" t="s">
        <v>59</v>
      </c>
      <c r="N1" t="s">
        <v>3</v>
      </c>
    </row>
    <row r="2" spans="1:14" x14ac:dyDescent="0.35">
      <c r="A2" t="s">
        <v>60</v>
      </c>
      <c r="B2">
        <v>29</v>
      </c>
      <c r="C2" t="s">
        <v>61</v>
      </c>
      <c r="D2">
        <v>2019</v>
      </c>
      <c r="E2">
        <v>35</v>
      </c>
      <c r="F2">
        <v>161</v>
      </c>
      <c r="G2" t="s">
        <v>5</v>
      </c>
      <c r="H2" s="1">
        <v>32</v>
      </c>
      <c r="I2" t="s">
        <v>63</v>
      </c>
      <c r="J2" t="s">
        <v>64</v>
      </c>
      <c r="K2">
        <v>4637418.0130000003</v>
      </c>
      <c r="L2">
        <v>417311.99200000003</v>
      </c>
      <c r="M2">
        <v>1.54</v>
      </c>
    </row>
    <row r="3" spans="1:14" x14ac:dyDescent="0.35">
      <c r="A3" t="s">
        <v>60</v>
      </c>
      <c r="B3">
        <v>29</v>
      </c>
      <c r="C3" t="s">
        <v>61</v>
      </c>
      <c r="D3">
        <v>2019</v>
      </c>
      <c r="E3">
        <v>35</v>
      </c>
      <c r="F3">
        <v>162</v>
      </c>
      <c r="G3" t="s">
        <v>5</v>
      </c>
      <c r="H3" s="1">
        <v>32</v>
      </c>
      <c r="I3" t="s">
        <v>63</v>
      </c>
      <c r="J3" t="s">
        <v>64</v>
      </c>
      <c r="K3">
        <v>4637417.37</v>
      </c>
      <c r="L3">
        <v>417309.66899999999</v>
      </c>
      <c r="M3">
        <v>1.42</v>
      </c>
    </row>
    <row r="4" spans="1:14" x14ac:dyDescent="0.35">
      <c r="A4" t="s">
        <v>60</v>
      </c>
      <c r="B4">
        <v>29</v>
      </c>
      <c r="C4" t="s">
        <v>61</v>
      </c>
      <c r="D4">
        <v>2019</v>
      </c>
      <c r="E4">
        <v>36</v>
      </c>
      <c r="F4">
        <v>163</v>
      </c>
      <c r="G4" t="s">
        <v>6</v>
      </c>
      <c r="H4" s="1">
        <v>2</v>
      </c>
      <c r="I4" t="s">
        <v>65</v>
      </c>
      <c r="J4" t="s">
        <v>64</v>
      </c>
      <c r="K4">
        <v>4637416.8530000001</v>
      </c>
      <c r="L4">
        <v>417307.81800000003</v>
      </c>
      <c r="M4">
        <v>1.349</v>
      </c>
      <c r="N4" t="s">
        <v>7</v>
      </c>
    </row>
    <row r="5" spans="1:14" x14ac:dyDescent="0.35">
      <c r="A5" t="s">
        <v>60</v>
      </c>
      <c r="B5">
        <v>29</v>
      </c>
      <c r="C5" t="s">
        <v>61</v>
      </c>
      <c r="D5">
        <v>2019</v>
      </c>
      <c r="E5">
        <v>36</v>
      </c>
      <c r="F5">
        <v>163</v>
      </c>
      <c r="G5" t="s">
        <v>6</v>
      </c>
      <c r="H5" s="1">
        <v>2</v>
      </c>
      <c r="I5" t="s">
        <v>65</v>
      </c>
      <c r="J5" t="s">
        <v>64</v>
      </c>
      <c r="K5">
        <v>4637416.8530000001</v>
      </c>
      <c r="L5">
        <v>417307.81800000003</v>
      </c>
      <c r="M5">
        <v>1.349</v>
      </c>
      <c r="N5" t="s">
        <v>7</v>
      </c>
    </row>
    <row r="6" spans="1:14" x14ac:dyDescent="0.35">
      <c r="A6" t="s">
        <v>60</v>
      </c>
      <c r="B6">
        <v>29</v>
      </c>
      <c r="C6" t="s">
        <v>61</v>
      </c>
      <c r="D6">
        <v>2019</v>
      </c>
      <c r="E6">
        <v>36</v>
      </c>
      <c r="F6">
        <v>164</v>
      </c>
      <c r="G6" t="s">
        <v>6</v>
      </c>
      <c r="H6" s="1">
        <v>2</v>
      </c>
      <c r="I6" t="s">
        <v>65</v>
      </c>
      <c r="J6" t="s">
        <v>64</v>
      </c>
      <c r="K6">
        <v>4637414.1550000003</v>
      </c>
      <c r="L6">
        <v>417308.65</v>
      </c>
      <c r="M6">
        <v>1.369</v>
      </c>
    </row>
    <row r="7" spans="1:14" x14ac:dyDescent="0.35">
      <c r="A7" t="s">
        <v>60</v>
      </c>
      <c r="B7">
        <v>29</v>
      </c>
      <c r="C7" t="s">
        <v>61</v>
      </c>
      <c r="D7">
        <v>2019</v>
      </c>
      <c r="E7">
        <v>36</v>
      </c>
      <c r="F7">
        <v>164</v>
      </c>
      <c r="G7" t="s">
        <v>6</v>
      </c>
      <c r="H7" s="1">
        <v>2</v>
      </c>
      <c r="I7" t="s">
        <v>65</v>
      </c>
      <c r="J7" t="s">
        <v>64</v>
      </c>
      <c r="K7">
        <v>4637414.1550000003</v>
      </c>
      <c r="L7">
        <v>417308.65</v>
      </c>
      <c r="M7">
        <v>1.369</v>
      </c>
      <c r="N7" t="s">
        <v>9</v>
      </c>
    </row>
    <row r="8" spans="1:14" x14ac:dyDescent="0.35">
      <c r="A8" t="s">
        <v>60</v>
      </c>
      <c r="B8">
        <v>29</v>
      </c>
      <c r="C8" t="s">
        <v>61</v>
      </c>
      <c r="D8">
        <v>2019</v>
      </c>
      <c r="E8">
        <v>37</v>
      </c>
      <c r="F8">
        <v>165</v>
      </c>
      <c r="G8" t="s">
        <v>8</v>
      </c>
      <c r="H8" s="1">
        <v>1</v>
      </c>
      <c r="I8" t="s">
        <v>66</v>
      </c>
      <c r="J8" t="s">
        <v>64</v>
      </c>
      <c r="K8">
        <v>4637414.5410000002</v>
      </c>
      <c r="L8">
        <v>417310.54100000003</v>
      </c>
      <c r="M8">
        <v>1.425</v>
      </c>
    </row>
    <row r="9" spans="1:14" x14ac:dyDescent="0.35">
      <c r="A9" t="s">
        <v>60</v>
      </c>
      <c r="B9">
        <v>29</v>
      </c>
      <c r="C9" t="s">
        <v>61</v>
      </c>
      <c r="D9">
        <v>2019</v>
      </c>
      <c r="E9">
        <v>37</v>
      </c>
      <c r="F9">
        <v>166</v>
      </c>
      <c r="G9" t="s">
        <v>8</v>
      </c>
      <c r="H9" s="1">
        <v>1</v>
      </c>
      <c r="I9" t="s">
        <v>66</v>
      </c>
      <c r="J9" t="s">
        <v>64</v>
      </c>
      <c r="K9">
        <v>4637414.9620000003</v>
      </c>
      <c r="L9">
        <v>417312.69699999999</v>
      </c>
      <c r="M9">
        <v>1.5489999999999999</v>
      </c>
    </row>
    <row r="10" spans="1:14" x14ac:dyDescent="0.35">
      <c r="A10" t="s">
        <v>60</v>
      </c>
      <c r="B10">
        <v>29</v>
      </c>
      <c r="C10" t="s">
        <v>61</v>
      </c>
      <c r="D10">
        <v>2019</v>
      </c>
      <c r="E10">
        <v>38</v>
      </c>
      <c r="F10">
        <v>167</v>
      </c>
      <c r="G10" t="s">
        <v>4</v>
      </c>
      <c r="H10" s="1">
        <v>12</v>
      </c>
      <c r="I10" t="s">
        <v>67</v>
      </c>
      <c r="J10" t="s">
        <v>64</v>
      </c>
      <c r="K10">
        <v>4637415.29</v>
      </c>
      <c r="L10">
        <v>417314.77600000001</v>
      </c>
      <c r="M10">
        <v>1.722</v>
      </c>
    </row>
    <row r="11" spans="1:14" x14ac:dyDescent="0.35">
      <c r="A11" t="s">
        <v>60</v>
      </c>
      <c r="B11">
        <v>29</v>
      </c>
      <c r="C11" t="s">
        <v>61</v>
      </c>
      <c r="D11">
        <v>2019</v>
      </c>
      <c r="E11">
        <v>38</v>
      </c>
      <c r="F11">
        <v>168</v>
      </c>
      <c r="G11" t="s">
        <v>4</v>
      </c>
      <c r="H11" s="1">
        <v>12</v>
      </c>
      <c r="I11" t="s">
        <v>67</v>
      </c>
      <c r="J11" t="s">
        <v>64</v>
      </c>
      <c r="K11">
        <v>4637396.1960000005</v>
      </c>
      <c r="L11">
        <v>417318.36900000001</v>
      </c>
      <c r="M11">
        <v>1.7689999999999999</v>
      </c>
      <c r="N11" t="s">
        <v>10</v>
      </c>
    </row>
    <row r="12" spans="1:14" x14ac:dyDescent="0.35">
      <c r="A12" t="s">
        <v>60</v>
      </c>
      <c r="B12">
        <v>29</v>
      </c>
      <c r="C12" t="s">
        <v>61</v>
      </c>
      <c r="D12">
        <v>2019</v>
      </c>
      <c r="E12">
        <v>38</v>
      </c>
      <c r="F12">
        <v>168</v>
      </c>
      <c r="G12" t="s">
        <v>4</v>
      </c>
      <c r="H12" s="1">
        <v>12</v>
      </c>
      <c r="I12" t="s">
        <v>67</v>
      </c>
      <c r="J12" t="s">
        <v>64</v>
      </c>
      <c r="K12">
        <v>4637396.1960000005</v>
      </c>
      <c r="L12">
        <v>417318.36900000001</v>
      </c>
      <c r="M12">
        <v>1.7689999999999999</v>
      </c>
      <c r="N12" t="s">
        <v>10</v>
      </c>
    </row>
    <row r="13" spans="1:14" x14ac:dyDescent="0.35">
      <c r="A13" t="s">
        <v>60</v>
      </c>
      <c r="B13">
        <v>29</v>
      </c>
      <c r="C13" t="s">
        <v>61</v>
      </c>
      <c r="D13">
        <v>2019</v>
      </c>
      <c r="E13">
        <v>39</v>
      </c>
      <c r="F13">
        <v>169</v>
      </c>
      <c r="G13" t="s">
        <v>5</v>
      </c>
      <c r="H13" s="1">
        <v>32</v>
      </c>
      <c r="I13" t="s">
        <v>63</v>
      </c>
      <c r="J13" t="s">
        <v>64</v>
      </c>
      <c r="K13">
        <v>4637394.1050000004</v>
      </c>
      <c r="L13">
        <v>417318.62400000001</v>
      </c>
      <c r="M13">
        <v>1.75</v>
      </c>
    </row>
    <row r="14" spans="1:14" x14ac:dyDescent="0.35">
      <c r="A14" t="s">
        <v>60</v>
      </c>
      <c r="B14">
        <v>29</v>
      </c>
      <c r="C14" t="s">
        <v>61</v>
      </c>
      <c r="D14">
        <v>2019</v>
      </c>
      <c r="E14">
        <v>39</v>
      </c>
      <c r="F14">
        <v>170</v>
      </c>
      <c r="G14" t="s">
        <v>5</v>
      </c>
      <c r="H14" s="1">
        <v>32</v>
      </c>
      <c r="I14" t="s">
        <v>63</v>
      </c>
      <c r="J14" t="s">
        <v>64</v>
      </c>
      <c r="K14">
        <v>4637388.233</v>
      </c>
      <c r="L14">
        <v>417318.32799999998</v>
      </c>
      <c r="M14">
        <v>1.8660000000000001</v>
      </c>
    </row>
    <row r="15" spans="1:14" x14ac:dyDescent="0.35">
      <c r="A15" t="s">
        <v>60</v>
      </c>
      <c r="B15">
        <v>29</v>
      </c>
      <c r="C15" t="s">
        <v>61</v>
      </c>
      <c r="D15">
        <v>2019</v>
      </c>
      <c r="E15">
        <v>42</v>
      </c>
      <c r="F15">
        <v>173</v>
      </c>
      <c r="G15" t="s">
        <v>13</v>
      </c>
      <c r="H15" s="1">
        <v>11</v>
      </c>
      <c r="I15" t="s">
        <v>67</v>
      </c>
      <c r="J15" t="s">
        <v>64</v>
      </c>
      <c r="K15">
        <v>4637372.693</v>
      </c>
      <c r="L15">
        <v>417309.88199999998</v>
      </c>
      <c r="M15">
        <v>1.6950000000000001</v>
      </c>
    </row>
    <row r="16" spans="1:14" x14ac:dyDescent="0.35">
      <c r="A16" t="s">
        <v>60</v>
      </c>
      <c r="B16">
        <v>29</v>
      </c>
      <c r="C16" t="s">
        <v>61</v>
      </c>
      <c r="D16">
        <v>2019</v>
      </c>
      <c r="E16">
        <v>42</v>
      </c>
      <c r="F16">
        <v>174</v>
      </c>
      <c r="G16" t="s">
        <v>13</v>
      </c>
      <c r="H16" s="1">
        <v>11</v>
      </c>
      <c r="I16" t="s">
        <v>67</v>
      </c>
      <c r="J16" t="s">
        <v>64</v>
      </c>
      <c r="K16">
        <v>4637390.8930000002</v>
      </c>
      <c r="L16">
        <v>417314.36</v>
      </c>
      <c r="M16">
        <v>1.661</v>
      </c>
    </row>
    <row r="17" spans="1:14" x14ac:dyDescent="0.35">
      <c r="A17" t="s">
        <v>60</v>
      </c>
      <c r="B17">
        <v>29</v>
      </c>
      <c r="C17" t="s">
        <v>61</v>
      </c>
      <c r="D17">
        <v>2019</v>
      </c>
      <c r="E17">
        <v>42</v>
      </c>
      <c r="F17">
        <v>174</v>
      </c>
      <c r="G17" t="s">
        <v>13</v>
      </c>
      <c r="H17" s="1">
        <v>11</v>
      </c>
      <c r="I17" t="s">
        <v>67</v>
      </c>
      <c r="J17" t="s">
        <v>64</v>
      </c>
      <c r="K17">
        <v>4637390.8930000002</v>
      </c>
      <c r="L17">
        <v>417314.36</v>
      </c>
      <c r="M17">
        <v>1.661</v>
      </c>
    </row>
    <row r="18" spans="1:14" x14ac:dyDescent="0.35">
      <c r="A18" t="s">
        <v>60</v>
      </c>
      <c r="B18">
        <v>29</v>
      </c>
      <c r="C18" t="s">
        <v>61</v>
      </c>
      <c r="D18">
        <v>2019</v>
      </c>
      <c r="E18">
        <v>48</v>
      </c>
      <c r="F18">
        <v>180</v>
      </c>
      <c r="G18">
        <v>32</v>
      </c>
      <c r="H18" s="1">
        <v>32</v>
      </c>
      <c r="I18" t="s">
        <v>68</v>
      </c>
      <c r="J18" t="s">
        <v>64</v>
      </c>
      <c r="K18">
        <v>4637327.1030000001</v>
      </c>
      <c r="L18">
        <v>417298.96500000003</v>
      </c>
      <c r="M18">
        <v>1.6619999999999999</v>
      </c>
    </row>
    <row r="19" spans="1:14" x14ac:dyDescent="0.35">
      <c r="A19" t="s">
        <v>60</v>
      </c>
      <c r="B19">
        <v>29</v>
      </c>
      <c r="C19" t="s">
        <v>61</v>
      </c>
      <c r="D19">
        <v>2019</v>
      </c>
      <c r="E19">
        <v>48</v>
      </c>
      <c r="F19">
        <v>181</v>
      </c>
      <c r="G19">
        <v>32</v>
      </c>
      <c r="H19" s="1">
        <v>32</v>
      </c>
      <c r="I19" t="s">
        <v>68</v>
      </c>
      <c r="J19" t="s">
        <v>64</v>
      </c>
      <c r="K19">
        <v>4637315.0159999998</v>
      </c>
      <c r="L19">
        <v>417302.31599999999</v>
      </c>
      <c r="M19">
        <v>1.681</v>
      </c>
    </row>
    <row r="20" spans="1:14" x14ac:dyDescent="0.35">
      <c r="A20" t="s">
        <v>60</v>
      </c>
      <c r="B20">
        <v>29</v>
      </c>
      <c r="C20" t="s">
        <v>61</v>
      </c>
      <c r="D20">
        <v>2019</v>
      </c>
      <c r="E20">
        <v>50</v>
      </c>
      <c r="F20">
        <v>183</v>
      </c>
      <c r="G20">
        <v>32</v>
      </c>
      <c r="H20" s="1">
        <v>32</v>
      </c>
      <c r="I20" t="s">
        <v>68</v>
      </c>
      <c r="J20" t="s">
        <v>64</v>
      </c>
      <c r="K20">
        <v>4637311.8150000004</v>
      </c>
      <c r="L20">
        <v>417302.97499999998</v>
      </c>
      <c r="M20">
        <v>1.65</v>
      </c>
      <c r="N20" t="s">
        <v>19</v>
      </c>
    </row>
    <row r="21" spans="1:14" x14ac:dyDescent="0.35">
      <c r="A21" t="s">
        <v>60</v>
      </c>
      <c r="B21">
        <v>29</v>
      </c>
      <c r="C21" t="s">
        <v>61</v>
      </c>
      <c r="D21">
        <v>2019</v>
      </c>
      <c r="E21">
        <v>50</v>
      </c>
      <c r="F21">
        <v>184</v>
      </c>
      <c r="G21">
        <v>32</v>
      </c>
      <c r="H21" s="1">
        <v>32</v>
      </c>
      <c r="I21" t="s">
        <v>68</v>
      </c>
      <c r="J21" t="s">
        <v>64</v>
      </c>
      <c r="K21">
        <v>4637311.4179999996</v>
      </c>
      <c r="L21">
        <v>417301.49400000001</v>
      </c>
      <c r="M21">
        <v>1.6539999999999999</v>
      </c>
    </row>
    <row r="22" spans="1:14" x14ac:dyDescent="0.35">
      <c r="A22" t="s">
        <v>60</v>
      </c>
      <c r="B22">
        <v>29</v>
      </c>
      <c r="C22" t="s">
        <v>61</v>
      </c>
      <c r="D22">
        <v>2019</v>
      </c>
      <c r="E22">
        <v>54</v>
      </c>
      <c r="F22">
        <v>188</v>
      </c>
      <c r="G22" t="s">
        <v>16</v>
      </c>
      <c r="H22" s="1">
        <v>3</v>
      </c>
      <c r="I22" t="s">
        <v>67</v>
      </c>
      <c r="J22" t="s">
        <v>64</v>
      </c>
      <c r="K22">
        <v>4637302.1789999995</v>
      </c>
      <c r="L22">
        <v>417297.05699999997</v>
      </c>
      <c r="M22">
        <v>1.631</v>
      </c>
    </row>
    <row r="23" spans="1:14" x14ac:dyDescent="0.35">
      <c r="A23" t="s">
        <v>60</v>
      </c>
      <c r="B23">
        <v>29</v>
      </c>
      <c r="C23" t="s">
        <v>61</v>
      </c>
      <c r="D23">
        <v>2019</v>
      </c>
      <c r="E23">
        <v>54</v>
      </c>
      <c r="F23">
        <v>189</v>
      </c>
      <c r="G23" t="s">
        <v>16</v>
      </c>
      <c r="H23" s="1">
        <v>3</v>
      </c>
      <c r="I23" t="s">
        <v>67</v>
      </c>
      <c r="J23" t="s">
        <v>64</v>
      </c>
      <c r="K23">
        <v>4637299.1849999996</v>
      </c>
      <c r="L23">
        <v>417296.88699999999</v>
      </c>
      <c r="M23">
        <v>1.62</v>
      </c>
    </row>
    <row r="24" spans="1:14" x14ac:dyDescent="0.35">
      <c r="A24" t="s">
        <v>60</v>
      </c>
      <c r="B24">
        <v>29</v>
      </c>
      <c r="C24" t="s">
        <v>61</v>
      </c>
      <c r="D24">
        <v>2019</v>
      </c>
      <c r="E24">
        <v>56</v>
      </c>
      <c r="F24">
        <v>191</v>
      </c>
      <c r="G24" t="s">
        <v>22</v>
      </c>
      <c r="H24" s="1">
        <v>10</v>
      </c>
      <c r="I24" t="s">
        <v>65</v>
      </c>
      <c r="J24" t="s">
        <v>64</v>
      </c>
      <c r="K24">
        <v>4637299.08</v>
      </c>
      <c r="L24">
        <v>417300.99300000002</v>
      </c>
      <c r="M24">
        <v>1.6719999999999999</v>
      </c>
    </row>
    <row r="25" spans="1:14" x14ac:dyDescent="0.35">
      <c r="A25" t="s">
        <v>60</v>
      </c>
      <c r="B25">
        <v>29</v>
      </c>
      <c r="C25" t="s">
        <v>61</v>
      </c>
      <c r="D25">
        <v>2019</v>
      </c>
      <c r="E25">
        <v>56</v>
      </c>
      <c r="F25">
        <v>192</v>
      </c>
      <c r="G25" t="s">
        <v>22</v>
      </c>
      <c r="H25" s="1">
        <v>10</v>
      </c>
      <c r="I25" t="s">
        <v>65</v>
      </c>
      <c r="J25" t="s">
        <v>64</v>
      </c>
      <c r="K25">
        <v>4637301.0429999996</v>
      </c>
      <c r="L25">
        <v>417300.99699999997</v>
      </c>
      <c r="M25">
        <v>1.663</v>
      </c>
    </row>
    <row r="26" spans="1:14" x14ac:dyDescent="0.35">
      <c r="A26" t="s">
        <v>60</v>
      </c>
      <c r="B26">
        <v>29</v>
      </c>
      <c r="C26" t="s">
        <v>61</v>
      </c>
      <c r="D26">
        <v>2019</v>
      </c>
      <c r="E26">
        <v>56</v>
      </c>
      <c r="F26">
        <v>193</v>
      </c>
      <c r="G26" t="s">
        <v>22</v>
      </c>
      <c r="H26" s="1">
        <v>10</v>
      </c>
      <c r="I26" t="s">
        <v>65</v>
      </c>
      <c r="J26" t="s">
        <v>64</v>
      </c>
      <c r="K26">
        <v>4637302.5360000003</v>
      </c>
      <c r="L26">
        <v>417300.81199999998</v>
      </c>
      <c r="M26">
        <v>1.6539999999999999</v>
      </c>
    </row>
    <row r="27" spans="1:14" x14ac:dyDescent="0.35">
      <c r="A27" t="s">
        <v>60</v>
      </c>
      <c r="B27">
        <v>29</v>
      </c>
      <c r="C27" t="s">
        <v>61</v>
      </c>
      <c r="D27">
        <v>2019</v>
      </c>
      <c r="E27">
        <v>56</v>
      </c>
      <c r="F27">
        <v>194</v>
      </c>
      <c r="G27" t="s">
        <v>22</v>
      </c>
      <c r="H27" s="1">
        <v>10</v>
      </c>
      <c r="I27" t="s">
        <v>65</v>
      </c>
      <c r="J27" t="s">
        <v>64</v>
      </c>
      <c r="K27">
        <v>4637302.591</v>
      </c>
      <c r="L27">
        <v>417302.79</v>
      </c>
      <c r="M27">
        <v>1.6870000000000001</v>
      </c>
    </row>
    <row r="28" spans="1:14" x14ac:dyDescent="0.35">
      <c r="A28" t="s">
        <v>60</v>
      </c>
      <c r="B28">
        <v>29</v>
      </c>
      <c r="C28" t="s">
        <v>61</v>
      </c>
      <c r="D28">
        <v>2019</v>
      </c>
      <c r="E28">
        <v>63</v>
      </c>
      <c r="F28">
        <v>201</v>
      </c>
      <c r="G28" t="s">
        <v>20</v>
      </c>
      <c r="H28" s="1">
        <v>6</v>
      </c>
      <c r="I28" t="s">
        <v>67</v>
      </c>
      <c r="J28" t="s">
        <v>64</v>
      </c>
      <c r="K28">
        <v>4637228.9529999997</v>
      </c>
      <c r="L28">
        <v>417291.83</v>
      </c>
      <c r="M28">
        <v>1.63</v>
      </c>
    </row>
    <row r="29" spans="1:14" x14ac:dyDescent="0.35">
      <c r="A29" t="s">
        <v>60</v>
      </c>
      <c r="B29">
        <v>29</v>
      </c>
      <c r="C29" t="s">
        <v>61</v>
      </c>
      <c r="D29">
        <v>2019</v>
      </c>
      <c r="E29">
        <v>63</v>
      </c>
      <c r="F29">
        <v>202</v>
      </c>
      <c r="G29" t="s">
        <v>20</v>
      </c>
      <c r="H29" s="1">
        <v>6</v>
      </c>
      <c r="I29" t="s">
        <v>67</v>
      </c>
      <c r="J29" t="s">
        <v>64</v>
      </c>
      <c r="K29">
        <v>4637230.9910000004</v>
      </c>
      <c r="L29">
        <v>417288.21899999998</v>
      </c>
      <c r="M29">
        <v>1.5609999999999999</v>
      </c>
    </row>
    <row r="30" spans="1:14" x14ac:dyDescent="0.35">
      <c r="A30" t="s">
        <v>60</v>
      </c>
      <c r="B30">
        <v>29</v>
      </c>
      <c r="C30" t="s">
        <v>61</v>
      </c>
      <c r="D30">
        <v>2019</v>
      </c>
      <c r="E30">
        <v>69</v>
      </c>
      <c r="F30">
        <v>208</v>
      </c>
      <c r="G30" t="s">
        <v>29</v>
      </c>
      <c r="H30" s="1">
        <v>1</v>
      </c>
      <c r="I30" t="s">
        <v>69</v>
      </c>
      <c r="J30" t="s">
        <v>64</v>
      </c>
      <c r="K30">
        <v>4637238.523</v>
      </c>
      <c r="L30">
        <v>417271.48100000003</v>
      </c>
      <c r="M30">
        <v>1.262</v>
      </c>
      <c r="N30" t="s">
        <v>31</v>
      </c>
    </row>
    <row r="31" spans="1:14" x14ac:dyDescent="0.35">
      <c r="A31" t="s">
        <v>60</v>
      </c>
      <c r="B31">
        <v>29</v>
      </c>
      <c r="C31" t="s">
        <v>61</v>
      </c>
      <c r="D31">
        <v>2019</v>
      </c>
      <c r="E31">
        <v>69</v>
      </c>
      <c r="F31">
        <v>209</v>
      </c>
      <c r="G31" t="s">
        <v>29</v>
      </c>
      <c r="H31" s="1">
        <v>1</v>
      </c>
      <c r="I31" t="s">
        <v>69</v>
      </c>
      <c r="J31" t="s">
        <v>64</v>
      </c>
      <c r="K31">
        <v>4637239.9170000004</v>
      </c>
      <c r="L31">
        <v>417269.03</v>
      </c>
      <c r="M31">
        <v>0.90800000000000003</v>
      </c>
    </row>
    <row r="32" spans="1:14" x14ac:dyDescent="0.35">
      <c r="A32" t="s">
        <v>60</v>
      </c>
      <c r="B32">
        <v>29</v>
      </c>
      <c r="C32" t="s">
        <v>61</v>
      </c>
      <c r="D32">
        <v>2019</v>
      </c>
      <c r="E32">
        <v>69</v>
      </c>
      <c r="F32">
        <v>210</v>
      </c>
      <c r="G32" t="s">
        <v>29</v>
      </c>
      <c r="H32" s="1">
        <v>1</v>
      </c>
      <c r="I32" t="s">
        <v>69</v>
      </c>
      <c r="J32" t="s">
        <v>64</v>
      </c>
      <c r="K32">
        <v>4637247.0489999996</v>
      </c>
      <c r="L32">
        <v>417277.64799999999</v>
      </c>
      <c r="M32">
        <v>0.99099999999999999</v>
      </c>
    </row>
    <row r="33" spans="1:13" x14ac:dyDescent="0.35">
      <c r="A33" t="s">
        <v>60</v>
      </c>
      <c r="B33">
        <v>29</v>
      </c>
      <c r="C33" t="s">
        <v>61</v>
      </c>
      <c r="D33">
        <v>2019</v>
      </c>
      <c r="E33">
        <v>69</v>
      </c>
      <c r="F33">
        <v>211</v>
      </c>
      <c r="G33" t="s">
        <v>29</v>
      </c>
      <c r="H33" s="1">
        <v>1</v>
      </c>
      <c r="I33" t="s">
        <v>69</v>
      </c>
      <c r="J33" t="s">
        <v>64</v>
      </c>
      <c r="K33">
        <v>4637250.3739999998</v>
      </c>
      <c r="L33">
        <v>417274.72399999999</v>
      </c>
      <c r="M33">
        <v>1.198</v>
      </c>
    </row>
    <row r="34" spans="1:13" x14ac:dyDescent="0.35">
      <c r="A34" t="s">
        <v>60</v>
      </c>
      <c r="B34">
        <v>29</v>
      </c>
      <c r="C34" t="s">
        <v>61</v>
      </c>
      <c r="D34">
        <v>2019</v>
      </c>
      <c r="E34">
        <v>69</v>
      </c>
      <c r="F34">
        <v>212</v>
      </c>
      <c r="G34" t="s">
        <v>29</v>
      </c>
      <c r="H34" s="1">
        <v>1</v>
      </c>
      <c r="I34" t="s">
        <v>69</v>
      </c>
      <c r="J34" t="s">
        <v>64</v>
      </c>
      <c r="K34">
        <v>4637253.25</v>
      </c>
      <c r="L34">
        <v>417274.09600000002</v>
      </c>
      <c r="M34">
        <v>0.92200000000000004</v>
      </c>
    </row>
    <row r="35" spans="1:13" x14ac:dyDescent="0.35">
      <c r="A35" t="s">
        <v>60</v>
      </c>
      <c r="B35">
        <v>29</v>
      </c>
      <c r="C35" t="s">
        <v>61</v>
      </c>
      <c r="D35">
        <v>2019</v>
      </c>
      <c r="E35">
        <v>69</v>
      </c>
      <c r="F35">
        <v>213</v>
      </c>
      <c r="G35" t="s">
        <v>29</v>
      </c>
      <c r="H35" s="1">
        <v>1</v>
      </c>
      <c r="I35" t="s">
        <v>69</v>
      </c>
      <c r="J35" t="s">
        <v>64</v>
      </c>
      <c r="K35">
        <v>4637258.1050000004</v>
      </c>
      <c r="L35">
        <v>417280.33399999997</v>
      </c>
      <c r="M35">
        <v>1.089</v>
      </c>
    </row>
    <row r="36" spans="1:13" x14ac:dyDescent="0.35">
      <c r="A36" t="s">
        <v>60</v>
      </c>
      <c r="B36">
        <v>29</v>
      </c>
      <c r="C36" t="s">
        <v>61</v>
      </c>
      <c r="D36">
        <v>2019</v>
      </c>
      <c r="E36">
        <v>69</v>
      </c>
      <c r="F36">
        <v>214</v>
      </c>
      <c r="G36" t="s">
        <v>29</v>
      </c>
      <c r="H36" s="1">
        <v>1</v>
      </c>
      <c r="I36" t="s">
        <v>69</v>
      </c>
      <c r="J36" t="s">
        <v>64</v>
      </c>
      <c r="K36">
        <v>4637266.102</v>
      </c>
      <c r="L36">
        <v>417280.61499999999</v>
      </c>
      <c r="M36">
        <v>1.304</v>
      </c>
    </row>
    <row r="37" spans="1:13" x14ac:dyDescent="0.35">
      <c r="A37" t="s">
        <v>60</v>
      </c>
      <c r="B37">
        <v>29</v>
      </c>
      <c r="C37" t="s">
        <v>61</v>
      </c>
      <c r="D37">
        <v>2019</v>
      </c>
      <c r="E37">
        <v>69</v>
      </c>
      <c r="F37">
        <v>215</v>
      </c>
      <c r="G37" t="s">
        <v>29</v>
      </c>
      <c r="H37" s="1">
        <v>1</v>
      </c>
      <c r="I37" t="s">
        <v>69</v>
      </c>
      <c r="J37" t="s">
        <v>64</v>
      </c>
      <c r="K37">
        <v>4637269.34</v>
      </c>
      <c r="L37">
        <v>417275.78</v>
      </c>
      <c r="M37">
        <v>1.2350000000000001</v>
      </c>
    </row>
    <row r="38" spans="1:13" x14ac:dyDescent="0.35">
      <c r="A38" t="s">
        <v>60</v>
      </c>
      <c r="B38">
        <v>29</v>
      </c>
      <c r="C38" t="s">
        <v>61</v>
      </c>
      <c r="D38">
        <v>2019</v>
      </c>
      <c r="E38">
        <v>69</v>
      </c>
      <c r="F38">
        <v>216</v>
      </c>
      <c r="G38" t="s">
        <v>29</v>
      </c>
      <c r="H38" s="1">
        <v>1</v>
      </c>
      <c r="I38" t="s">
        <v>69</v>
      </c>
      <c r="J38" t="s">
        <v>64</v>
      </c>
      <c r="K38">
        <v>4637271.5089999996</v>
      </c>
      <c r="L38">
        <v>417273.06</v>
      </c>
      <c r="M38">
        <v>1.1220000000000001</v>
      </c>
    </row>
    <row r="39" spans="1:13" x14ac:dyDescent="0.35">
      <c r="A39" t="s">
        <v>60</v>
      </c>
      <c r="B39">
        <v>29</v>
      </c>
      <c r="C39" t="s">
        <v>61</v>
      </c>
      <c r="D39">
        <v>2019</v>
      </c>
      <c r="E39">
        <v>74</v>
      </c>
      <c r="F39">
        <v>221</v>
      </c>
      <c r="G39" t="s">
        <v>29</v>
      </c>
      <c r="H39" s="1">
        <v>1</v>
      </c>
      <c r="I39" t="s">
        <v>69</v>
      </c>
      <c r="J39" t="s">
        <v>64</v>
      </c>
      <c r="K39">
        <v>4637264.2929999996</v>
      </c>
      <c r="L39">
        <v>417268.984</v>
      </c>
      <c r="M39">
        <v>1.1479999999999999</v>
      </c>
    </row>
    <row r="40" spans="1:13" x14ac:dyDescent="0.35">
      <c r="A40" t="s">
        <v>60</v>
      </c>
      <c r="B40">
        <v>29</v>
      </c>
      <c r="C40" t="s">
        <v>61</v>
      </c>
      <c r="D40">
        <v>2019</v>
      </c>
      <c r="E40">
        <v>74</v>
      </c>
      <c r="F40">
        <v>222</v>
      </c>
      <c r="G40" t="s">
        <v>29</v>
      </c>
      <c r="H40" s="1">
        <v>1</v>
      </c>
      <c r="I40" t="s">
        <v>69</v>
      </c>
      <c r="J40" t="s">
        <v>64</v>
      </c>
      <c r="K40">
        <v>4637262.0640000002</v>
      </c>
      <c r="L40">
        <v>417269.04</v>
      </c>
      <c r="M40">
        <v>1.0169999999999999</v>
      </c>
    </row>
    <row r="41" spans="1:13" x14ac:dyDescent="0.35">
      <c r="A41" t="s">
        <v>60</v>
      </c>
      <c r="B41">
        <v>29</v>
      </c>
      <c r="C41" t="s">
        <v>61</v>
      </c>
      <c r="D41">
        <v>2019</v>
      </c>
      <c r="E41">
        <v>81</v>
      </c>
      <c r="F41">
        <v>229</v>
      </c>
      <c r="G41" t="s">
        <v>29</v>
      </c>
      <c r="H41" s="1">
        <v>1</v>
      </c>
      <c r="I41" t="s">
        <v>69</v>
      </c>
      <c r="J41" t="s">
        <v>64</v>
      </c>
      <c r="K41">
        <v>4637261.7180000003</v>
      </c>
      <c r="L41">
        <v>417256.09</v>
      </c>
      <c r="M41">
        <v>0.98899999999999999</v>
      </c>
    </row>
    <row r="42" spans="1:13" x14ac:dyDescent="0.35">
      <c r="A42" t="s">
        <v>60</v>
      </c>
      <c r="B42">
        <v>29</v>
      </c>
      <c r="C42" t="s">
        <v>61</v>
      </c>
      <c r="D42">
        <v>2019</v>
      </c>
      <c r="E42">
        <v>81</v>
      </c>
      <c r="F42">
        <v>230</v>
      </c>
      <c r="G42" t="s">
        <v>29</v>
      </c>
      <c r="H42" s="1">
        <v>1</v>
      </c>
      <c r="I42" t="s">
        <v>69</v>
      </c>
      <c r="J42" t="s">
        <v>64</v>
      </c>
      <c r="K42">
        <v>4637262.66</v>
      </c>
      <c r="L42">
        <v>417255.375</v>
      </c>
      <c r="M42">
        <v>1.194</v>
      </c>
    </row>
    <row r="43" spans="1:13" x14ac:dyDescent="0.35">
      <c r="A43" t="s">
        <v>60</v>
      </c>
      <c r="B43">
        <v>29</v>
      </c>
      <c r="C43" t="s">
        <v>61</v>
      </c>
      <c r="D43">
        <v>2019</v>
      </c>
      <c r="E43">
        <v>81</v>
      </c>
      <c r="F43">
        <v>231</v>
      </c>
      <c r="G43" t="s">
        <v>29</v>
      </c>
      <c r="H43" s="1">
        <v>1</v>
      </c>
      <c r="I43" t="s">
        <v>69</v>
      </c>
      <c r="J43" t="s">
        <v>64</v>
      </c>
      <c r="K43">
        <v>4637262.1289999997</v>
      </c>
      <c r="L43">
        <v>417253.61900000001</v>
      </c>
      <c r="M43">
        <v>1.3049999999999999</v>
      </c>
    </row>
    <row r="44" spans="1:13" x14ac:dyDescent="0.35">
      <c r="A44" t="s">
        <v>60</v>
      </c>
      <c r="B44">
        <v>29</v>
      </c>
      <c r="C44" t="s">
        <v>61</v>
      </c>
      <c r="D44">
        <v>2019</v>
      </c>
      <c r="E44">
        <v>82</v>
      </c>
      <c r="F44">
        <v>232</v>
      </c>
      <c r="G44" t="s">
        <v>28</v>
      </c>
      <c r="H44" s="1">
        <v>2</v>
      </c>
      <c r="I44" t="s">
        <v>70</v>
      </c>
      <c r="J44" t="s">
        <v>64</v>
      </c>
      <c r="K44">
        <v>4637263.0640000002</v>
      </c>
      <c r="L44">
        <v>417253.04200000002</v>
      </c>
      <c r="M44">
        <v>1.45</v>
      </c>
    </row>
    <row r="45" spans="1:13" x14ac:dyDescent="0.35">
      <c r="A45" t="s">
        <v>60</v>
      </c>
      <c r="B45">
        <v>29</v>
      </c>
      <c r="C45" t="s">
        <v>61</v>
      </c>
      <c r="D45">
        <v>2019</v>
      </c>
      <c r="E45">
        <v>82</v>
      </c>
      <c r="F45">
        <v>233</v>
      </c>
      <c r="G45" t="s">
        <v>28</v>
      </c>
      <c r="H45" s="1">
        <v>2</v>
      </c>
      <c r="I45" t="s">
        <v>70</v>
      </c>
      <c r="J45" t="s">
        <v>64</v>
      </c>
      <c r="K45">
        <v>4637266.9349999996</v>
      </c>
      <c r="L45">
        <v>417254.29300000001</v>
      </c>
      <c r="M45">
        <v>1.5089999999999999</v>
      </c>
    </row>
    <row r="46" spans="1:13" x14ac:dyDescent="0.35">
      <c r="A46" t="s">
        <v>60</v>
      </c>
      <c r="B46">
        <v>29</v>
      </c>
      <c r="C46" t="s">
        <v>61</v>
      </c>
      <c r="D46">
        <v>2019</v>
      </c>
      <c r="E46">
        <v>86</v>
      </c>
      <c r="F46">
        <v>237</v>
      </c>
      <c r="G46" t="s">
        <v>37</v>
      </c>
      <c r="H46" s="1">
        <v>6</v>
      </c>
      <c r="I46" t="s">
        <v>71</v>
      </c>
      <c r="J46" t="s">
        <v>64</v>
      </c>
      <c r="K46">
        <v>4637274.7249999996</v>
      </c>
      <c r="L46">
        <v>417257.10600000003</v>
      </c>
      <c r="M46">
        <v>1.52</v>
      </c>
    </row>
    <row r="47" spans="1:13" x14ac:dyDescent="0.35">
      <c r="A47" t="s">
        <v>60</v>
      </c>
      <c r="B47">
        <v>29</v>
      </c>
      <c r="C47" t="s">
        <v>61</v>
      </c>
      <c r="D47">
        <v>2019</v>
      </c>
      <c r="E47">
        <v>86</v>
      </c>
      <c r="F47">
        <v>238</v>
      </c>
      <c r="G47" t="s">
        <v>37</v>
      </c>
      <c r="H47" s="1">
        <v>6</v>
      </c>
      <c r="I47" t="s">
        <v>71</v>
      </c>
      <c r="J47" t="s">
        <v>64</v>
      </c>
      <c r="K47">
        <v>4637285.5949999997</v>
      </c>
      <c r="L47">
        <v>417269.41499999998</v>
      </c>
      <c r="M47">
        <v>1.587</v>
      </c>
    </row>
    <row r="48" spans="1:13" x14ac:dyDescent="0.35">
      <c r="A48" t="s">
        <v>60</v>
      </c>
      <c r="B48">
        <v>29</v>
      </c>
      <c r="C48" t="s">
        <v>61</v>
      </c>
      <c r="D48">
        <v>2019</v>
      </c>
      <c r="E48">
        <v>88</v>
      </c>
      <c r="F48">
        <v>240</v>
      </c>
      <c r="G48" t="s">
        <v>18</v>
      </c>
      <c r="H48" s="1">
        <v>10</v>
      </c>
      <c r="I48" t="s">
        <v>67</v>
      </c>
      <c r="J48" t="s">
        <v>64</v>
      </c>
      <c r="K48">
        <v>4637288.2759999996</v>
      </c>
      <c r="L48">
        <v>417287.234</v>
      </c>
      <c r="M48">
        <v>1.5549999999999999</v>
      </c>
    </row>
    <row r="49" spans="1:14" x14ac:dyDescent="0.35">
      <c r="A49" t="s">
        <v>60</v>
      </c>
      <c r="B49">
        <v>29</v>
      </c>
      <c r="C49" t="s">
        <v>61</v>
      </c>
      <c r="D49">
        <v>2019</v>
      </c>
      <c r="E49">
        <v>88</v>
      </c>
      <c r="F49">
        <v>241</v>
      </c>
      <c r="G49" t="s">
        <v>18</v>
      </c>
      <c r="H49" s="1">
        <v>10</v>
      </c>
      <c r="I49" t="s">
        <v>67</v>
      </c>
      <c r="J49" t="s">
        <v>64</v>
      </c>
      <c r="K49">
        <v>4637288.568</v>
      </c>
      <c r="L49">
        <v>417288.60499999998</v>
      </c>
      <c r="M49">
        <v>1.518</v>
      </c>
    </row>
    <row r="50" spans="1:14" x14ac:dyDescent="0.35">
      <c r="A50" t="s">
        <v>60</v>
      </c>
      <c r="B50">
        <v>29</v>
      </c>
      <c r="C50" t="s">
        <v>61</v>
      </c>
      <c r="D50">
        <v>2019</v>
      </c>
      <c r="E50">
        <v>89</v>
      </c>
      <c r="F50">
        <v>242</v>
      </c>
      <c r="G50" t="s">
        <v>22</v>
      </c>
      <c r="H50" s="1">
        <v>10</v>
      </c>
      <c r="I50" t="s">
        <v>65</v>
      </c>
      <c r="J50" t="s">
        <v>64</v>
      </c>
      <c r="K50">
        <v>4637317.0429999996</v>
      </c>
      <c r="L50">
        <v>417295.967</v>
      </c>
      <c r="M50">
        <v>1.599</v>
      </c>
      <c r="N50" t="s">
        <v>38</v>
      </c>
    </row>
    <row r="51" spans="1:14" x14ac:dyDescent="0.35">
      <c r="A51" t="s">
        <v>60</v>
      </c>
      <c r="B51">
        <v>29</v>
      </c>
      <c r="C51" t="s">
        <v>61</v>
      </c>
      <c r="D51">
        <v>2019</v>
      </c>
      <c r="E51">
        <v>89</v>
      </c>
      <c r="F51">
        <v>243</v>
      </c>
      <c r="G51" t="s">
        <v>22</v>
      </c>
      <c r="H51" s="1">
        <v>10</v>
      </c>
      <c r="I51" t="s">
        <v>65</v>
      </c>
      <c r="J51" t="s">
        <v>64</v>
      </c>
      <c r="K51">
        <v>4637321.7960000001</v>
      </c>
      <c r="L51">
        <v>417296.739</v>
      </c>
      <c r="M51">
        <v>1.6080000000000001</v>
      </c>
      <c r="N51" t="s">
        <v>39</v>
      </c>
    </row>
    <row r="52" spans="1:14" x14ac:dyDescent="0.35">
      <c r="A52" t="s">
        <v>60</v>
      </c>
      <c r="B52">
        <v>29</v>
      </c>
      <c r="C52" t="s">
        <v>61</v>
      </c>
      <c r="D52">
        <v>2019</v>
      </c>
      <c r="E52">
        <v>89</v>
      </c>
      <c r="F52">
        <v>244</v>
      </c>
      <c r="G52" t="s">
        <v>22</v>
      </c>
      <c r="H52" s="1">
        <v>10</v>
      </c>
      <c r="I52" t="s">
        <v>65</v>
      </c>
      <c r="J52" t="s">
        <v>64</v>
      </c>
      <c r="K52">
        <v>4637322.7620000001</v>
      </c>
      <c r="L52">
        <v>417292.96299999999</v>
      </c>
      <c r="M52">
        <v>1.6279999999999999</v>
      </c>
      <c r="N52" t="s">
        <v>39</v>
      </c>
    </row>
    <row r="53" spans="1:14" x14ac:dyDescent="0.35">
      <c r="A53" t="s">
        <v>60</v>
      </c>
      <c r="B53">
        <v>29</v>
      </c>
      <c r="C53" t="s">
        <v>61</v>
      </c>
      <c r="D53">
        <v>2019</v>
      </c>
      <c r="E53">
        <v>90</v>
      </c>
      <c r="F53">
        <v>245</v>
      </c>
      <c r="G53" t="s">
        <v>18</v>
      </c>
      <c r="H53" s="1">
        <v>10</v>
      </c>
      <c r="I53" t="s">
        <v>67</v>
      </c>
      <c r="J53" t="s">
        <v>64</v>
      </c>
      <c r="K53">
        <v>4636893.4129999997</v>
      </c>
      <c r="L53">
        <v>416795.995</v>
      </c>
      <c r="M53">
        <v>1.454</v>
      </c>
      <c r="N53" t="s">
        <v>39</v>
      </c>
    </row>
    <row r="54" spans="1:14" x14ac:dyDescent="0.35">
      <c r="A54" t="s">
        <v>60</v>
      </c>
      <c r="B54">
        <v>29</v>
      </c>
      <c r="C54" t="s">
        <v>61</v>
      </c>
      <c r="D54">
        <v>2019</v>
      </c>
      <c r="E54">
        <v>90</v>
      </c>
      <c r="F54">
        <v>246</v>
      </c>
      <c r="G54" t="s">
        <v>18</v>
      </c>
      <c r="H54" s="1">
        <v>10</v>
      </c>
      <c r="I54" t="s">
        <v>67</v>
      </c>
      <c r="J54" t="s">
        <v>64</v>
      </c>
      <c r="K54">
        <v>4636907.72</v>
      </c>
      <c r="L54">
        <v>416814.58299999998</v>
      </c>
      <c r="M54">
        <v>1.4870000000000001</v>
      </c>
    </row>
    <row r="55" spans="1:14" x14ac:dyDescent="0.35">
      <c r="A55" t="s">
        <v>60</v>
      </c>
      <c r="B55">
        <v>29</v>
      </c>
      <c r="C55" t="s">
        <v>61</v>
      </c>
      <c r="D55">
        <v>2019</v>
      </c>
      <c r="E55">
        <v>90</v>
      </c>
      <c r="F55">
        <v>247</v>
      </c>
      <c r="G55" t="s">
        <v>18</v>
      </c>
      <c r="H55" s="1">
        <v>10</v>
      </c>
      <c r="I55" t="s">
        <v>67</v>
      </c>
      <c r="J55" t="s">
        <v>64</v>
      </c>
      <c r="K55">
        <v>4636910.79</v>
      </c>
      <c r="L55">
        <v>416811.91</v>
      </c>
      <c r="M55">
        <v>1.5029999999999999</v>
      </c>
    </row>
    <row r="56" spans="1:14" x14ac:dyDescent="0.35">
      <c r="A56" t="s">
        <v>60</v>
      </c>
      <c r="B56">
        <v>29</v>
      </c>
      <c r="C56" t="s">
        <v>61</v>
      </c>
      <c r="D56">
        <v>2019</v>
      </c>
      <c r="E56">
        <v>90</v>
      </c>
      <c r="F56">
        <v>248</v>
      </c>
      <c r="G56" t="s">
        <v>18</v>
      </c>
      <c r="H56" s="1">
        <v>10</v>
      </c>
      <c r="I56" t="s">
        <v>67</v>
      </c>
      <c r="J56" t="s">
        <v>64</v>
      </c>
      <c r="K56">
        <v>4636896.4939999999</v>
      </c>
      <c r="L56">
        <v>416793.94400000002</v>
      </c>
      <c r="M56">
        <v>1.4490000000000001</v>
      </c>
    </row>
    <row r="57" spans="1:14" x14ac:dyDescent="0.35">
      <c r="A57" t="s">
        <v>60</v>
      </c>
      <c r="B57">
        <v>29</v>
      </c>
      <c r="C57" t="s">
        <v>61</v>
      </c>
      <c r="D57">
        <v>2019</v>
      </c>
      <c r="E57">
        <v>91</v>
      </c>
      <c r="F57">
        <v>249</v>
      </c>
      <c r="G57" t="s">
        <v>40</v>
      </c>
      <c r="H57" s="1">
        <v>6</v>
      </c>
      <c r="I57" t="s">
        <v>70</v>
      </c>
      <c r="J57" t="s">
        <v>64</v>
      </c>
      <c r="K57">
        <v>4636897.9060000004</v>
      </c>
      <c r="L57">
        <v>416792.78600000002</v>
      </c>
      <c r="M57">
        <v>1.407</v>
      </c>
    </row>
    <row r="58" spans="1:14" x14ac:dyDescent="0.35">
      <c r="A58" t="s">
        <v>60</v>
      </c>
      <c r="B58">
        <v>29</v>
      </c>
      <c r="C58" t="s">
        <v>61</v>
      </c>
      <c r="D58">
        <v>2019</v>
      </c>
      <c r="E58">
        <v>91</v>
      </c>
      <c r="F58">
        <v>250</v>
      </c>
      <c r="G58" t="s">
        <v>40</v>
      </c>
      <c r="H58" s="1">
        <v>6</v>
      </c>
      <c r="I58" t="s">
        <v>70</v>
      </c>
      <c r="J58" t="s">
        <v>64</v>
      </c>
      <c r="K58">
        <v>4636901.642</v>
      </c>
      <c r="L58">
        <v>416797.27600000001</v>
      </c>
      <c r="M58">
        <v>1.42</v>
      </c>
    </row>
    <row r="59" spans="1:14" x14ac:dyDescent="0.35">
      <c r="A59" t="s">
        <v>60</v>
      </c>
      <c r="B59">
        <v>29</v>
      </c>
      <c r="C59" t="s">
        <v>61</v>
      </c>
      <c r="D59">
        <v>2019</v>
      </c>
      <c r="E59">
        <v>94</v>
      </c>
      <c r="F59">
        <v>253</v>
      </c>
      <c r="G59" t="s">
        <v>40</v>
      </c>
      <c r="H59" s="1">
        <v>6</v>
      </c>
      <c r="I59" t="s">
        <v>70</v>
      </c>
      <c r="J59" t="s">
        <v>64</v>
      </c>
      <c r="K59">
        <v>4636907.0259999996</v>
      </c>
      <c r="L59">
        <v>416802.98100000003</v>
      </c>
      <c r="M59">
        <v>1.4159999999999999</v>
      </c>
    </row>
    <row r="60" spans="1:14" x14ac:dyDescent="0.35">
      <c r="A60" t="s">
        <v>60</v>
      </c>
      <c r="B60">
        <v>29</v>
      </c>
      <c r="C60" t="s">
        <v>61</v>
      </c>
      <c r="D60">
        <v>2019</v>
      </c>
      <c r="E60">
        <v>94</v>
      </c>
      <c r="F60">
        <v>254</v>
      </c>
      <c r="G60" t="s">
        <v>40</v>
      </c>
      <c r="H60" s="1">
        <v>6</v>
      </c>
      <c r="I60" t="s">
        <v>70</v>
      </c>
      <c r="J60" t="s">
        <v>64</v>
      </c>
      <c r="K60">
        <v>4636909.0290000001</v>
      </c>
      <c r="L60">
        <v>416805.53600000002</v>
      </c>
      <c r="M60">
        <v>1.4239999999999999</v>
      </c>
    </row>
    <row r="61" spans="1:14" x14ac:dyDescent="0.35">
      <c r="A61" t="s">
        <v>60</v>
      </c>
      <c r="B61">
        <v>29</v>
      </c>
      <c r="C61" t="s">
        <v>61</v>
      </c>
      <c r="D61">
        <v>2019</v>
      </c>
      <c r="E61">
        <v>97</v>
      </c>
      <c r="F61">
        <v>257</v>
      </c>
      <c r="G61" t="s">
        <v>43</v>
      </c>
      <c r="H61" s="1">
        <v>7</v>
      </c>
      <c r="I61" t="s">
        <v>70</v>
      </c>
      <c r="J61" t="s">
        <v>64</v>
      </c>
      <c r="K61">
        <v>4636912.9479999999</v>
      </c>
      <c r="L61">
        <v>416806.94199999998</v>
      </c>
      <c r="M61">
        <v>1.4019999999999999</v>
      </c>
    </row>
    <row r="62" spans="1:14" x14ac:dyDescent="0.35">
      <c r="A62" t="s">
        <v>60</v>
      </c>
      <c r="B62">
        <v>29</v>
      </c>
      <c r="C62" t="s">
        <v>61</v>
      </c>
      <c r="D62">
        <v>2019</v>
      </c>
      <c r="E62">
        <v>97</v>
      </c>
      <c r="F62">
        <v>258</v>
      </c>
      <c r="G62" t="s">
        <v>43</v>
      </c>
      <c r="H62" s="1">
        <v>7</v>
      </c>
      <c r="I62" t="s">
        <v>70</v>
      </c>
      <c r="J62" t="s">
        <v>64</v>
      </c>
      <c r="K62">
        <v>4636913.8689999999</v>
      </c>
      <c r="L62">
        <v>416805.36300000001</v>
      </c>
      <c r="M62">
        <v>1.405</v>
      </c>
    </row>
    <row r="63" spans="1:14" x14ac:dyDescent="0.35">
      <c r="A63" t="s">
        <v>60</v>
      </c>
      <c r="B63">
        <v>29</v>
      </c>
      <c r="C63" t="s">
        <v>61</v>
      </c>
      <c r="D63">
        <v>2019</v>
      </c>
      <c r="E63">
        <v>97</v>
      </c>
      <c r="F63">
        <v>259</v>
      </c>
      <c r="G63" t="s">
        <v>43</v>
      </c>
      <c r="H63" s="1">
        <v>7</v>
      </c>
      <c r="I63" t="s">
        <v>70</v>
      </c>
      <c r="J63" t="s">
        <v>64</v>
      </c>
      <c r="K63">
        <v>4636908.4179999996</v>
      </c>
      <c r="L63">
        <v>416797.38299999997</v>
      </c>
      <c r="M63">
        <v>1.3660000000000001</v>
      </c>
    </row>
    <row r="64" spans="1:14" x14ac:dyDescent="0.35">
      <c r="A64" t="s">
        <v>60</v>
      </c>
      <c r="B64">
        <v>29</v>
      </c>
      <c r="C64" t="s">
        <v>61</v>
      </c>
      <c r="D64">
        <v>2019</v>
      </c>
      <c r="E64">
        <v>97</v>
      </c>
      <c r="F64">
        <v>260</v>
      </c>
      <c r="G64" t="s">
        <v>43</v>
      </c>
      <c r="H64" s="1">
        <v>7</v>
      </c>
      <c r="I64" t="s">
        <v>70</v>
      </c>
      <c r="J64" t="s">
        <v>64</v>
      </c>
      <c r="K64">
        <v>4636903.8689999999</v>
      </c>
      <c r="L64">
        <v>416793.79</v>
      </c>
      <c r="M64">
        <v>1.339</v>
      </c>
    </row>
    <row r="65" spans="1:14" x14ac:dyDescent="0.35">
      <c r="A65" t="s">
        <v>60</v>
      </c>
      <c r="B65">
        <v>29</v>
      </c>
      <c r="C65" t="s">
        <v>61</v>
      </c>
      <c r="D65">
        <v>2019</v>
      </c>
      <c r="E65">
        <v>101</v>
      </c>
      <c r="F65">
        <v>264</v>
      </c>
      <c r="G65" t="s">
        <v>44</v>
      </c>
      <c r="H65" s="1">
        <v>33</v>
      </c>
      <c r="I65" t="s">
        <v>72</v>
      </c>
      <c r="J65" t="s">
        <v>64</v>
      </c>
      <c r="K65">
        <v>4636904.71</v>
      </c>
      <c r="L65">
        <v>416789.32699999999</v>
      </c>
      <c r="M65">
        <v>1.276</v>
      </c>
      <c r="N65" t="s">
        <v>45</v>
      </c>
    </row>
    <row r="66" spans="1:14" x14ac:dyDescent="0.35">
      <c r="A66" t="s">
        <v>60</v>
      </c>
      <c r="B66">
        <v>29</v>
      </c>
      <c r="C66" t="s">
        <v>61</v>
      </c>
      <c r="D66">
        <v>2019</v>
      </c>
      <c r="E66">
        <v>101</v>
      </c>
      <c r="F66">
        <v>265</v>
      </c>
      <c r="G66" t="s">
        <v>44</v>
      </c>
      <c r="H66" s="1">
        <v>33</v>
      </c>
      <c r="I66" t="s">
        <v>72</v>
      </c>
      <c r="J66" t="s">
        <v>64</v>
      </c>
      <c r="K66">
        <v>4636912.8020000001</v>
      </c>
      <c r="L66">
        <v>416797.99800000002</v>
      </c>
      <c r="M66">
        <v>1.2949999999999999</v>
      </c>
      <c r="N66" t="s">
        <v>45</v>
      </c>
    </row>
    <row r="67" spans="1:14" x14ac:dyDescent="0.35">
      <c r="A67" t="s">
        <v>60</v>
      </c>
      <c r="B67">
        <v>29</v>
      </c>
      <c r="C67" t="s">
        <v>61</v>
      </c>
      <c r="D67">
        <v>2019</v>
      </c>
      <c r="E67">
        <v>101</v>
      </c>
      <c r="F67">
        <v>266</v>
      </c>
      <c r="G67" t="s">
        <v>44</v>
      </c>
      <c r="H67" s="1">
        <v>33</v>
      </c>
      <c r="I67" t="s">
        <v>72</v>
      </c>
      <c r="J67" t="s">
        <v>64</v>
      </c>
      <c r="K67">
        <v>4636914.9740000004</v>
      </c>
      <c r="L67">
        <v>416801.2</v>
      </c>
      <c r="M67">
        <v>1.3620000000000001</v>
      </c>
      <c r="N67" t="s">
        <v>45</v>
      </c>
    </row>
    <row r="68" spans="1:14" x14ac:dyDescent="0.35">
      <c r="A68" t="s">
        <v>60</v>
      </c>
      <c r="B68">
        <v>29</v>
      </c>
      <c r="C68" t="s">
        <v>61</v>
      </c>
      <c r="D68">
        <v>2019</v>
      </c>
      <c r="E68">
        <v>101</v>
      </c>
      <c r="F68">
        <v>267</v>
      </c>
      <c r="G68" t="s">
        <v>44</v>
      </c>
      <c r="H68" s="1">
        <v>33</v>
      </c>
      <c r="I68" t="s">
        <v>72</v>
      </c>
      <c r="J68" t="s">
        <v>64</v>
      </c>
      <c r="K68">
        <v>4636916.47</v>
      </c>
      <c r="L68">
        <v>416808.18900000001</v>
      </c>
      <c r="M68">
        <v>1.4139999999999999</v>
      </c>
      <c r="N68" t="s">
        <v>45</v>
      </c>
    </row>
    <row r="69" spans="1:14" x14ac:dyDescent="0.35">
      <c r="A69" t="s">
        <v>60</v>
      </c>
      <c r="B69">
        <v>29</v>
      </c>
      <c r="C69" t="s">
        <v>61</v>
      </c>
      <c r="D69">
        <v>2019</v>
      </c>
      <c r="E69">
        <v>101</v>
      </c>
      <c r="F69">
        <v>268</v>
      </c>
      <c r="G69" t="s">
        <v>44</v>
      </c>
      <c r="H69" s="1">
        <v>33</v>
      </c>
      <c r="I69" t="s">
        <v>72</v>
      </c>
      <c r="J69" t="s">
        <v>64</v>
      </c>
      <c r="K69">
        <v>4636918.1710000001</v>
      </c>
      <c r="L69">
        <v>416807.42499999999</v>
      </c>
      <c r="M69">
        <v>1.377</v>
      </c>
      <c r="N69" t="s">
        <v>45</v>
      </c>
    </row>
    <row r="70" spans="1:14" x14ac:dyDescent="0.35">
      <c r="A70" t="s">
        <v>60</v>
      </c>
      <c r="B70">
        <v>29</v>
      </c>
      <c r="C70" t="s">
        <v>61</v>
      </c>
      <c r="D70">
        <v>2019</v>
      </c>
      <c r="E70">
        <v>101</v>
      </c>
      <c r="F70">
        <v>269</v>
      </c>
      <c r="G70" t="s">
        <v>44</v>
      </c>
      <c r="H70" s="1">
        <v>33</v>
      </c>
      <c r="I70" t="s">
        <v>72</v>
      </c>
      <c r="J70" t="s">
        <v>64</v>
      </c>
      <c r="K70">
        <v>4636916.9479999999</v>
      </c>
      <c r="L70">
        <v>416802.315</v>
      </c>
      <c r="M70">
        <v>1.3540000000000001</v>
      </c>
      <c r="N70" t="s">
        <v>45</v>
      </c>
    </row>
    <row r="71" spans="1:14" x14ac:dyDescent="0.35">
      <c r="A71" t="s">
        <v>60</v>
      </c>
      <c r="B71">
        <v>29</v>
      </c>
      <c r="C71" t="s">
        <v>61</v>
      </c>
      <c r="D71">
        <v>2019</v>
      </c>
      <c r="E71">
        <v>101</v>
      </c>
      <c r="F71">
        <v>270</v>
      </c>
      <c r="G71" t="s">
        <v>44</v>
      </c>
      <c r="H71" s="1">
        <v>33</v>
      </c>
      <c r="I71" t="s">
        <v>72</v>
      </c>
      <c r="J71" t="s">
        <v>64</v>
      </c>
      <c r="K71">
        <v>4636916.2659999998</v>
      </c>
      <c r="L71">
        <v>416800.27500000002</v>
      </c>
      <c r="M71">
        <v>1.349</v>
      </c>
      <c r="N71" t="s">
        <v>45</v>
      </c>
    </row>
    <row r="72" spans="1:14" x14ac:dyDescent="0.35">
      <c r="A72" t="s">
        <v>60</v>
      </c>
      <c r="B72">
        <v>29</v>
      </c>
      <c r="C72" t="s">
        <v>61</v>
      </c>
      <c r="D72">
        <v>2019</v>
      </c>
      <c r="E72">
        <v>101</v>
      </c>
      <c r="F72">
        <v>271</v>
      </c>
      <c r="G72" t="s">
        <v>44</v>
      </c>
      <c r="H72" s="1">
        <v>33</v>
      </c>
      <c r="I72" t="s">
        <v>72</v>
      </c>
      <c r="J72" t="s">
        <v>64</v>
      </c>
      <c r="K72">
        <v>4636915.2620000001</v>
      </c>
      <c r="L72">
        <v>416797.804</v>
      </c>
      <c r="M72">
        <v>1.35</v>
      </c>
    </row>
    <row r="73" spans="1:14" x14ac:dyDescent="0.35">
      <c r="A73" t="s">
        <v>60</v>
      </c>
      <c r="B73">
        <v>29</v>
      </c>
      <c r="C73" t="s">
        <v>61</v>
      </c>
      <c r="D73">
        <v>2019</v>
      </c>
      <c r="E73">
        <v>101</v>
      </c>
      <c r="F73">
        <v>272</v>
      </c>
      <c r="G73" t="s">
        <v>44</v>
      </c>
      <c r="H73" s="1">
        <v>33</v>
      </c>
      <c r="I73" t="s">
        <v>72</v>
      </c>
      <c r="J73" t="s">
        <v>64</v>
      </c>
      <c r="K73">
        <v>4636912.7029999997</v>
      </c>
      <c r="L73">
        <v>416795.86300000001</v>
      </c>
      <c r="M73">
        <v>1.327</v>
      </c>
    </row>
    <row r="74" spans="1:14" x14ac:dyDescent="0.35">
      <c r="A74" t="s">
        <v>60</v>
      </c>
      <c r="B74">
        <v>29</v>
      </c>
      <c r="C74" t="s">
        <v>61</v>
      </c>
      <c r="D74">
        <v>2019</v>
      </c>
      <c r="E74">
        <v>101</v>
      </c>
      <c r="F74">
        <v>273</v>
      </c>
      <c r="G74" t="s">
        <v>44</v>
      </c>
      <c r="H74" s="1">
        <v>33</v>
      </c>
      <c r="I74" t="s">
        <v>72</v>
      </c>
      <c r="J74" t="s">
        <v>64</v>
      </c>
      <c r="K74">
        <v>4636906.9610000001</v>
      </c>
      <c r="L74">
        <v>416787.467</v>
      </c>
      <c r="M74">
        <v>1.2989999999999999</v>
      </c>
    </row>
    <row r="75" spans="1:14" x14ac:dyDescent="0.35">
      <c r="A75" t="s">
        <v>60</v>
      </c>
      <c r="B75">
        <v>29</v>
      </c>
      <c r="C75" t="s">
        <v>61</v>
      </c>
      <c r="D75">
        <v>2019</v>
      </c>
      <c r="E75">
        <v>102</v>
      </c>
      <c r="F75">
        <v>274</v>
      </c>
      <c r="G75" t="s">
        <v>46</v>
      </c>
      <c r="H75" s="1">
        <v>1</v>
      </c>
      <c r="I75" t="s">
        <v>73</v>
      </c>
      <c r="J75" t="s">
        <v>64</v>
      </c>
      <c r="K75">
        <v>4636908.5360000003</v>
      </c>
      <c r="L75">
        <v>416786.337</v>
      </c>
      <c r="M75">
        <v>1.3320000000000001</v>
      </c>
    </row>
    <row r="76" spans="1:14" x14ac:dyDescent="0.35">
      <c r="A76" t="s">
        <v>60</v>
      </c>
      <c r="B76">
        <v>29</v>
      </c>
      <c r="C76" t="s">
        <v>61</v>
      </c>
      <c r="D76">
        <v>2019</v>
      </c>
      <c r="E76">
        <v>102</v>
      </c>
      <c r="F76">
        <v>275</v>
      </c>
      <c r="G76" t="s">
        <v>46</v>
      </c>
      <c r="H76" s="1">
        <v>1</v>
      </c>
      <c r="I76" t="s">
        <v>73</v>
      </c>
      <c r="J76" t="s">
        <v>64</v>
      </c>
      <c r="K76">
        <v>4636904.4539999999</v>
      </c>
      <c r="L76">
        <v>416777.15</v>
      </c>
      <c r="M76">
        <v>1.27</v>
      </c>
    </row>
    <row r="77" spans="1:14" x14ac:dyDescent="0.35">
      <c r="A77" t="s">
        <v>60</v>
      </c>
      <c r="B77">
        <v>29</v>
      </c>
      <c r="C77" t="s">
        <v>61</v>
      </c>
      <c r="D77">
        <v>2019</v>
      </c>
      <c r="E77">
        <v>103</v>
      </c>
      <c r="F77">
        <v>276</v>
      </c>
      <c r="G77" t="s">
        <v>32</v>
      </c>
      <c r="H77" s="1">
        <v>33</v>
      </c>
      <c r="I77" t="s">
        <v>74</v>
      </c>
      <c r="J77" t="s">
        <v>64</v>
      </c>
      <c r="K77">
        <v>4636906.1399999997</v>
      </c>
      <c r="L77">
        <v>416776.62199999997</v>
      </c>
      <c r="M77">
        <v>1.2789999999999999</v>
      </c>
    </row>
    <row r="78" spans="1:14" x14ac:dyDescent="0.35">
      <c r="A78" t="s">
        <v>60</v>
      </c>
      <c r="B78">
        <v>29</v>
      </c>
      <c r="C78" t="s">
        <v>61</v>
      </c>
      <c r="D78">
        <v>2019</v>
      </c>
      <c r="E78">
        <v>103</v>
      </c>
      <c r="F78">
        <v>277</v>
      </c>
      <c r="G78" t="s">
        <v>32</v>
      </c>
      <c r="H78" s="1">
        <v>33</v>
      </c>
      <c r="I78" t="s">
        <v>74</v>
      </c>
      <c r="J78" t="s">
        <v>64</v>
      </c>
      <c r="K78">
        <v>4636917.415</v>
      </c>
      <c r="L78">
        <v>416786.32500000001</v>
      </c>
      <c r="M78">
        <v>1.395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6FDD-56F9-4712-B6B3-996CD922CC3A}">
  <dimension ref="A1:N50"/>
  <sheetViews>
    <sheetView tabSelected="1" workbookViewId="0">
      <selection activeCell="J6" sqref="J6"/>
    </sheetView>
  </sheetViews>
  <sheetFormatPr defaultRowHeight="14.5" x14ac:dyDescent="0.35"/>
  <sheetData>
    <row r="1" spans="1:14" x14ac:dyDescent="0.3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0</v>
      </c>
      <c r="I1" t="s">
        <v>57</v>
      </c>
      <c r="J1" t="s">
        <v>58</v>
      </c>
      <c r="K1" t="s">
        <v>1</v>
      </c>
      <c r="L1" t="s">
        <v>2</v>
      </c>
      <c r="M1" t="s">
        <v>59</v>
      </c>
      <c r="N1" t="s">
        <v>3</v>
      </c>
    </row>
    <row r="2" spans="1:14" x14ac:dyDescent="0.35">
      <c r="A2" t="s">
        <v>60</v>
      </c>
      <c r="B2">
        <v>29</v>
      </c>
      <c r="C2" t="s">
        <v>61</v>
      </c>
      <c r="D2">
        <v>2019</v>
      </c>
      <c r="E2">
        <v>34</v>
      </c>
      <c r="F2">
        <v>160</v>
      </c>
      <c r="G2" t="s">
        <v>4</v>
      </c>
      <c r="H2" s="1">
        <v>12</v>
      </c>
      <c r="I2" t="s">
        <v>67</v>
      </c>
      <c r="J2" t="s">
        <v>62</v>
      </c>
      <c r="K2">
        <v>4637418.233</v>
      </c>
      <c r="L2">
        <v>417313.74300000002</v>
      </c>
      <c r="M2">
        <v>1.6619999999999999</v>
      </c>
    </row>
    <row r="3" spans="1:14" x14ac:dyDescent="0.35">
      <c r="A3" t="s">
        <v>60</v>
      </c>
      <c r="B3">
        <v>29</v>
      </c>
      <c r="C3" t="s">
        <v>61</v>
      </c>
      <c r="D3">
        <v>2019</v>
      </c>
      <c r="E3">
        <v>40</v>
      </c>
      <c r="F3">
        <v>171</v>
      </c>
      <c r="G3" t="s">
        <v>11</v>
      </c>
      <c r="H3" s="1">
        <v>9</v>
      </c>
      <c r="I3" t="s">
        <v>70</v>
      </c>
      <c r="J3" t="s">
        <v>62</v>
      </c>
      <c r="K3">
        <v>4637372.3459999999</v>
      </c>
      <c r="L3">
        <v>417314.08</v>
      </c>
      <c r="M3">
        <v>1.8919999999999999</v>
      </c>
      <c r="N3" t="s">
        <v>12</v>
      </c>
    </row>
    <row r="4" spans="1:14" x14ac:dyDescent="0.35">
      <c r="A4" t="s">
        <v>60</v>
      </c>
      <c r="B4">
        <v>29</v>
      </c>
      <c r="C4" t="s">
        <v>61</v>
      </c>
      <c r="D4">
        <v>2019</v>
      </c>
      <c r="E4">
        <v>41</v>
      </c>
      <c r="F4">
        <v>172</v>
      </c>
      <c r="G4" t="s">
        <v>5</v>
      </c>
      <c r="H4" s="1">
        <v>32</v>
      </c>
      <c r="I4" t="s">
        <v>63</v>
      </c>
      <c r="J4" t="s">
        <v>62</v>
      </c>
      <c r="K4">
        <v>4637372.72</v>
      </c>
      <c r="L4">
        <v>417312.46</v>
      </c>
      <c r="M4">
        <v>1.7729999999999999</v>
      </c>
    </row>
    <row r="5" spans="1:14" x14ac:dyDescent="0.35">
      <c r="A5" t="s">
        <v>60</v>
      </c>
      <c r="B5">
        <v>29</v>
      </c>
      <c r="C5" t="s">
        <v>61</v>
      </c>
      <c r="D5">
        <v>2019</v>
      </c>
      <c r="E5">
        <v>43</v>
      </c>
      <c r="F5">
        <v>175</v>
      </c>
      <c r="G5" t="s">
        <v>5</v>
      </c>
      <c r="H5" s="1">
        <v>32</v>
      </c>
      <c r="I5" t="s">
        <v>63</v>
      </c>
      <c r="J5" t="s">
        <v>62</v>
      </c>
      <c r="K5">
        <v>4637391.1940000001</v>
      </c>
      <c r="L5">
        <v>417312.88099999999</v>
      </c>
      <c r="M5">
        <v>1.579</v>
      </c>
    </row>
    <row r="6" spans="1:14" x14ac:dyDescent="0.35">
      <c r="A6" t="s">
        <v>60</v>
      </c>
      <c r="B6">
        <v>29</v>
      </c>
      <c r="C6" t="s">
        <v>61</v>
      </c>
      <c r="D6">
        <v>2019</v>
      </c>
      <c r="E6">
        <v>44</v>
      </c>
      <c r="F6">
        <v>176</v>
      </c>
      <c r="G6" t="s">
        <v>14</v>
      </c>
      <c r="H6" s="1">
        <v>11</v>
      </c>
      <c r="I6" t="s">
        <v>75</v>
      </c>
      <c r="J6" t="s">
        <v>62</v>
      </c>
      <c r="K6">
        <v>4637391.7850000001</v>
      </c>
      <c r="L6">
        <v>417311.17700000003</v>
      </c>
      <c r="M6">
        <v>1.4570000000000001</v>
      </c>
    </row>
    <row r="7" spans="1:14" x14ac:dyDescent="0.35">
      <c r="A7" t="s">
        <v>60</v>
      </c>
      <c r="B7">
        <v>29</v>
      </c>
      <c r="C7" t="s">
        <v>61</v>
      </c>
      <c r="D7">
        <v>2019</v>
      </c>
      <c r="E7">
        <v>45</v>
      </c>
      <c r="F7">
        <v>177</v>
      </c>
      <c r="G7" t="s">
        <v>13</v>
      </c>
      <c r="H7" s="1">
        <v>11</v>
      </c>
      <c r="I7" t="s">
        <v>67</v>
      </c>
      <c r="J7" t="s">
        <v>62</v>
      </c>
      <c r="K7">
        <v>4637353.9129999997</v>
      </c>
      <c r="L7">
        <v>417301.74800000002</v>
      </c>
      <c r="M7">
        <v>1.7230000000000001</v>
      </c>
    </row>
    <row r="8" spans="1:14" x14ac:dyDescent="0.35">
      <c r="A8" t="s">
        <v>60</v>
      </c>
      <c r="B8">
        <v>29</v>
      </c>
      <c r="C8" t="s">
        <v>61</v>
      </c>
      <c r="D8">
        <v>2019</v>
      </c>
      <c r="E8">
        <v>46</v>
      </c>
      <c r="F8">
        <v>178</v>
      </c>
      <c r="G8" t="s">
        <v>4</v>
      </c>
      <c r="H8" s="1">
        <v>12</v>
      </c>
      <c r="I8" t="s">
        <v>67</v>
      </c>
      <c r="J8" t="s">
        <v>62</v>
      </c>
      <c r="K8">
        <v>4637352.0810000002</v>
      </c>
      <c r="L8">
        <v>417301.35</v>
      </c>
      <c r="M8">
        <v>1.663</v>
      </c>
    </row>
    <row r="9" spans="1:14" x14ac:dyDescent="0.35">
      <c r="A9" t="s">
        <v>60</v>
      </c>
      <c r="B9">
        <v>29</v>
      </c>
      <c r="C9" t="s">
        <v>61</v>
      </c>
      <c r="D9">
        <v>2019</v>
      </c>
      <c r="E9">
        <v>47</v>
      </c>
      <c r="F9">
        <v>179</v>
      </c>
      <c r="G9" t="s">
        <v>4</v>
      </c>
      <c r="H9" s="1">
        <v>12</v>
      </c>
      <c r="I9" t="s">
        <v>67</v>
      </c>
      <c r="J9" t="s">
        <v>62</v>
      </c>
      <c r="K9">
        <v>4637328.5539999995</v>
      </c>
      <c r="L9">
        <v>417299.935</v>
      </c>
      <c r="M9">
        <v>1.722</v>
      </c>
      <c r="N9" t="s">
        <v>12</v>
      </c>
    </row>
    <row r="10" spans="1:14" x14ac:dyDescent="0.35">
      <c r="A10" t="s">
        <v>60</v>
      </c>
      <c r="B10">
        <v>29</v>
      </c>
      <c r="C10" t="s">
        <v>61</v>
      </c>
      <c r="D10">
        <v>2019</v>
      </c>
      <c r="E10">
        <v>49</v>
      </c>
      <c r="F10">
        <v>182</v>
      </c>
      <c r="G10" t="s">
        <v>15</v>
      </c>
      <c r="H10" s="1">
        <v>3</v>
      </c>
      <c r="I10" t="s">
        <v>76</v>
      </c>
      <c r="J10" t="s">
        <v>62</v>
      </c>
      <c r="K10">
        <v>4637313.6380000003</v>
      </c>
      <c r="L10">
        <v>417302.76</v>
      </c>
      <c r="M10">
        <v>1.7010000000000001</v>
      </c>
      <c r="N10" t="s">
        <v>17</v>
      </c>
    </row>
    <row r="11" spans="1:14" x14ac:dyDescent="0.35">
      <c r="A11" t="s">
        <v>60</v>
      </c>
      <c r="B11">
        <v>29</v>
      </c>
      <c r="C11" t="s">
        <v>61</v>
      </c>
      <c r="D11">
        <v>2019</v>
      </c>
      <c r="E11">
        <v>51</v>
      </c>
      <c r="F11">
        <v>185</v>
      </c>
      <c r="G11" t="s">
        <v>16</v>
      </c>
      <c r="H11" s="1">
        <v>3</v>
      </c>
      <c r="I11" t="s">
        <v>67</v>
      </c>
      <c r="J11" t="s">
        <v>62</v>
      </c>
      <c r="K11">
        <v>4637310.8430000003</v>
      </c>
      <c r="L11">
        <v>417299.54800000001</v>
      </c>
      <c r="M11">
        <v>1.6339999999999999</v>
      </c>
    </row>
    <row r="12" spans="1:14" x14ac:dyDescent="0.35">
      <c r="A12" t="s">
        <v>60</v>
      </c>
      <c r="B12">
        <v>29</v>
      </c>
      <c r="C12" t="s">
        <v>61</v>
      </c>
      <c r="D12">
        <v>2019</v>
      </c>
      <c r="E12">
        <v>52</v>
      </c>
      <c r="F12">
        <v>186</v>
      </c>
      <c r="G12" t="s">
        <v>18</v>
      </c>
      <c r="H12" s="1">
        <v>10</v>
      </c>
      <c r="I12" t="s">
        <v>67</v>
      </c>
      <c r="J12" t="s">
        <v>62</v>
      </c>
      <c r="K12">
        <v>4637310.78</v>
      </c>
      <c r="L12">
        <v>417297.46600000001</v>
      </c>
      <c r="M12">
        <v>1.627</v>
      </c>
    </row>
    <row r="13" spans="1:14" x14ac:dyDescent="0.35">
      <c r="A13" t="s">
        <v>60</v>
      </c>
      <c r="B13">
        <v>29</v>
      </c>
      <c r="C13" t="s">
        <v>61</v>
      </c>
      <c r="D13">
        <v>2019</v>
      </c>
      <c r="E13">
        <v>53</v>
      </c>
      <c r="F13">
        <v>187</v>
      </c>
      <c r="G13" t="s">
        <v>18</v>
      </c>
      <c r="H13" s="1">
        <v>10</v>
      </c>
      <c r="I13" t="s">
        <v>67</v>
      </c>
      <c r="J13" t="s">
        <v>62</v>
      </c>
      <c r="K13">
        <v>4637304.4369999999</v>
      </c>
      <c r="L13">
        <v>417297.06900000002</v>
      </c>
      <c r="M13">
        <v>1.625</v>
      </c>
      <c r="N13" t="s">
        <v>21</v>
      </c>
    </row>
    <row r="14" spans="1:14" x14ac:dyDescent="0.35">
      <c r="A14" t="s">
        <v>60</v>
      </c>
      <c r="B14">
        <v>29</v>
      </c>
      <c r="C14" t="s">
        <v>61</v>
      </c>
      <c r="D14">
        <v>2019</v>
      </c>
      <c r="E14">
        <v>55</v>
      </c>
      <c r="F14">
        <v>190</v>
      </c>
      <c r="G14" t="s">
        <v>20</v>
      </c>
      <c r="H14" s="1">
        <v>6</v>
      </c>
      <c r="I14" t="s">
        <v>67</v>
      </c>
      <c r="J14" t="s">
        <v>62</v>
      </c>
      <c r="K14">
        <v>4637299.0240000002</v>
      </c>
      <c r="L14">
        <v>417298.85600000003</v>
      </c>
      <c r="M14">
        <v>1.653</v>
      </c>
    </row>
    <row r="15" spans="1:14" x14ac:dyDescent="0.35">
      <c r="A15" t="s">
        <v>60</v>
      </c>
      <c r="B15">
        <v>29</v>
      </c>
      <c r="C15" t="s">
        <v>61</v>
      </c>
      <c r="D15">
        <v>2019</v>
      </c>
      <c r="E15">
        <v>57</v>
      </c>
      <c r="F15">
        <v>195</v>
      </c>
      <c r="G15" t="s">
        <v>23</v>
      </c>
      <c r="H15" s="1">
        <v>32</v>
      </c>
      <c r="I15" t="s">
        <v>77</v>
      </c>
      <c r="J15" t="s">
        <v>62</v>
      </c>
      <c r="K15">
        <v>4637302.9819999998</v>
      </c>
      <c r="L15">
        <v>417305.092</v>
      </c>
      <c r="M15">
        <v>1.718</v>
      </c>
      <c r="N15" t="s">
        <v>12</v>
      </c>
    </row>
    <row r="16" spans="1:14" x14ac:dyDescent="0.35">
      <c r="A16" t="s">
        <v>60</v>
      </c>
      <c r="B16">
        <v>29</v>
      </c>
      <c r="C16" t="s">
        <v>61</v>
      </c>
      <c r="D16">
        <v>2019</v>
      </c>
      <c r="E16">
        <v>58</v>
      </c>
      <c r="F16">
        <v>196</v>
      </c>
      <c r="G16" t="s">
        <v>23</v>
      </c>
      <c r="H16" s="1">
        <v>32</v>
      </c>
      <c r="I16" t="s">
        <v>77</v>
      </c>
      <c r="J16" t="s">
        <v>62</v>
      </c>
      <c r="K16">
        <v>4637303.6610000003</v>
      </c>
      <c r="L16">
        <v>417307.90299999999</v>
      </c>
      <c r="M16">
        <v>1.7410000000000001</v>
      </c>
      <c r="N16" t="s">
        <v>12</v>
      </c>
    </row>
    <row r="17" spans="1:14" x14ac:dyDescent="0.35">
      <c r="A17" t="s">
        <v>60</v>
      </c>
      <c r="B17">
        <v>29</v>
      </c>
      <c r="C17" t="s">
        <v>61</v>
      </c>
      <c r="D17">
        <v>2019</v>
      </c>
      <c r="E17">
        <v>59</v>
      </c>
      <c r="F17">
        <v>197</v>
      </c>
      <c r="G17" t="s">
        <v>4</v>
      </c>
      <c r="H17" s="1">
        <v>12</v>
      </c>
      <c r="I17" t="s">
        <v>67</v>
      </c>
      <c r="J17" t="s">
        <v>62</v>
      </c>
      <c r="K17">
        <v>4637303.9019999998</v>
      </c>
      <c r="L17">
        <v>417309.76199999999</v>
      </c>
      <c r="M17">
        <v>1.728</v>
      </c>
      <c r="N17" t="s">
        <v>12</v>
      </c>
    </row>
    <row r="18" spans="1:14" x14ac:dyDescent="0.35">
      <c r="A18" t="s">
        <v>60</v>
      </c>
      <c r="B18">
        <v>29</v>
      </c>
      <c r="C18" t="s">
        <v>61</v>
      </c>
      <c r="D18">
        <v>2019</v>
      </c>
      <c r="E18">
        <v>60</v>
      </c>
      <c r="F18">
        <v>198</v>
      </c>
      <c r="G18">
        <v>33</v>
      </c>
      <c r="H18" s="1">
        <v>33</v>
      </c>
      <c r="I18" t="s">
        <v>68</v>
      </c>
      <c r="J18" t="s">
        <v>62</v>
      </c>
      <c r="K18">
        <v>4637226.26</v>
      </c>
      <c r="L18">
        <v>417297.25400000002</v>
      </c>
      <c r="M18">
        <v>1.7070000000000001</v>
      </c>
      <c r="N18" t="s">
        <v>25</v>
      </c>
    </row>
    <row r="19" spans="1:14" x14ac:dyDescent="0.35">
      <c r="A19" t="s">
        <v>60</v>
      </c>
      <c r="B19">
        <v>29</v>
      </c>
      <c r="C19" t="s">
        <v>61</v>
      </c>
      <c r="D19">
        <v>2019</v>
      </c>
      <c r="E19">
        <v>61</v>
      </c>
      <c r="F19">
        <v>199</v>
      </c>
      <c r="G19" t="s">
        <v>16</v>
      </c>
      <c r="H19" s="1">
        <v>3</v>
      </c>
      <c r="I19" t="s">
        <v>67</v>
      </c>
      <c r="J19" t="s">
        <v>62</v>
      </c>
      <c r="K19">
        <v>4637226.8329999996</v>
      </c>
      <c r="L19">
        <v>417295.31900000002</v>
      </c>
      <c r="M19">
        <v>1.6759999999999999</v>
      </c>
    </row>
    <row r="20" spans="1:14" x14ac:dyDescent="0.35">
      <c r="A20" t="s">
        <v>60</v>
      </c>
      <c r="B20">
        <v>29</v>
      </c>
      <c r="C20" t="s">
        <v>61</v>
      </c>
      <c r="D20">
        <v>2019</v>
      </c>
      <c r="E20">
        <v>62</v>
      </c>
      <c r="F20">
        <v>200</v>
      </c>
      <c r="G20" t="s">
        <v>24</v>
      </c>
      <c r="H20" s="1">
        <v>4</v>
      </c>
      <c r="I20" t="s">
        <v>67</v>
      </c>
      <c r="J20" t="s">
        <v>62</v>
      </c>
      <c r="K20">
        <v>4637227.7960000001</v>
      </c>
      <c r="L20">
        <v>417293.61900000001</v>
      </c>
      <c r="M20">
        <v>1.651</v>
      </c>
    </row>
    <row r="21" spans="1:14" x14ac:dyDescent="0.35">
      <c r="A21" t="s">
        <v>60</v>
      </c>
      <c r="B21">
        <v>29</v>
      </c>
      <c r="C21" t="s">
        <v>61</v>
      </c>
      <c r="D21">
        <v>2019</v>
      </c>
      <c r="E21">
        <v>64</v>
      </c>
      <c r="F21">
        <v>203</v>
      </c>
      <c r="G21" t="s">
        <v>26</v>
      </c>
      <c r="H21" s="1">
        <v>1</v>
      </c>
      <c r="I21" t="s">
        <v>67</v>
      </c>
      <c r="J21" t="s">
        <v>62</v>
      </c>
      <c r="K21">
        <v>4637231.8600000003</v>
      </c>
      <c r="L21">
        <v>417286.53100000002</v>
      </c>
      <c r="M21">
        <v>1.5609999999999999</v>
      </c>
    </row>
    <row r="22" spans="1:14" x14ac:dyDescent="0.35">
      <c r="A22" t="s">
        <v>60</v>
      </c>
      <c r="B22">
        <v>29</v>
      </c>
      <c r="C22" t="s">
        <v>61</v>
      </c>
      <c r="D22">
        <v>2019</v>
      </c>
      <c r="E22">
        <v>65</v>
      </c>
      <c r="F22">
        <v>204</v>
      </c>
      <c r="G22" t="s">
        <v>26</v>
      </c>
      <c r="H22" s="1">
        <v>1</v>
      </c>
      <c r="I22" t="s">
        <v>67</v>
      </c>
      <c r="J22" t="s">
        <v>62</v>
      </c>
      <c r="K22">
        <v>4637232.2470000004</v>
      </c>
      <c r="L22">
        <v>417285.402</v>
      </c>
      <c r="M22">
        <v>1.5229999999999999</v>
      </c>
      <c r="N22" t="s">
        <v>12</v>
      </c>
    </row>
    <row r="23" spans="1:14" x14ac:dyDescent="0.35">
      <c r="A23" t="s">
        <v>60</v>
      </c>
      <c r="B23">
        <v>29</v>
      </c>
      <c r="C23" t="s">
        <v>61</v>
      </c>
      <c r="D23">
        <v>2019</v>
      </c>
      <c r="E23">
        <v>66</v>
      </c>
      <c r="F23">
        <v>205</v>
      </c>
      <c r="G23" t="s">
        <v>27</v>
      </c>
      <c r="H23" s="1">
        <v>3</v>
      </c>
      <c r="I23" t="s">
        <v>71</v>
      </c>
      <c r="J23" t="s">
        <v>62</v>
      </c>
      <c r="K23">
        <v>4637233.2470000004</v>
      </c>
      <c r="L23">
        <v>417283.33100000001</v>
      </c>
      <c r="M23">
        <v>1.528</v>
      </c>
      <c r="N23" t="s">
        <v>30</v>
      </c>
    </row>
    <row r="24" spans="1:14" x14ac:dyDescent="0.35">
      <c r="A24" t="s">
        <v>60</v>
      </c>
      <c r="B24">
        <v>29</v>
      </c>
      <c r="C24" t="s">
        <v>61</v>
      </c>
      <c r="D24">
        <v>2019</v>
      </c>
      <c r="E24">
        <v>67</v>
      </c>
      <c r="F24">
        <v>206</v>
      </c>
      <c r="G24" t="s">
        <v>16</v>
      </c>
      <c r="H24" s="1">
        <v>3</v>
      </c>
      <c r="I24" t="s">
        <v>67</v>
      </c>
      <c r="J24" t="s">
        <v>62</v>
      </c>
      <c r="K24">
        <v>4637236.3859999999</v>
      </c>
      <c r="L24">
        <v>417274.89399999997</v>
      </c>
      <c r="M24">
        <v>1.4490000000000001</v>
      </c>
    </row>
    <row r="25" spans="1:14" x14ac:dyDescent="0.35">
      <c r="A25" t="s">
        <v>60</v>
      </c>
      <c r="B25">
        <v>29</v>
      </c>
      <c r="C25" t="s">
        <v>61</v>
      </c>
      <c r="D25">
        <v>2019</v>
      </c>
      <c r="E25">
        <v>68</v>
      </c>
      <c r="F25">
        <v>207</v>
      </c>
      <c r="G25" t="s">
        <v>28</v>
      </c>
      <c r="H25" s="1">
        <v>2</v>
      </c>
      <c r="I25" t="s">
        <v>70</v>
      </c>
      <c r="J25" t="s">
        <v>62</v>
      </c>
      <c r="K25">
        <v>4637237.4800000004</v>
      </c>
      <c r="L25">
        <v>417273.23599999998</v>
      </c>
      <c r="M25">
        <v>1.3660000000000001</v>
      </c>
    </row>
    <row r="26" spans="1:14" x14ac:dyDescent="0.35">
      <c r="A26" t="s">
        <v>60</v>
      </c>
      <c r="B26">
        <v>29</v>
      </c>
      <c r="C26" t="s">
        <v>61</v>
      </c>
      <c r="D26">
        <v>2019</v>
      </c>
      <c r="E26">
        <v>70</v>
      </c>
      <c r="F26">
        <v>217</v>
      </c>
      <c r="G26" t="s">
        <v>32</v>
      </c>
      <c r="H26" s="1">
        <v>33</v>
      </c>
      <c r="I26" t="s">
        <v>74</v>
      </c>
      <c r="J26" t="s">
        <v>62</v>
      </c>
      <c r="K26">
        <v>4637270.7240000004</v>
      </c>
      <c r="L26">
        <v>417271.255</v>
      </c>
      <c r="M26">
        <v>1.2350000000000001</v>
      </c>
      <c r="N26" t="s">
        <v>12</v>
      </c>
    </row>
    <row r="27" spans="1:14" x14ac:dyDescent="0.35">
      <c r="A27" t="s">
        <v>60</v>
      </c>
      <c r="B27">
        <v>29</v>
      </c>
      <c r="C27" t="s">
        <v>61</v>
      </c>
      <c r="D27">
        <v>2019</v>
      </c>
      <c r="E27">
        <v>71</v>
      </c>
      <c r="F27">
        <v>218</v>
      </c>
      <c r="G27" t="s">
        <v>32</v>
      </c>
      <c r="H27" s="1">
        <v>33</v>
      </c>
      <c r="I27" t="s">
        <v>74</v>
      </c>
      <c r="J27" t="s">
        <v>62</v>
      </c>
      <c r="K27">
        <v>4637268.1260000002</v>
      </c>
      <c r="L27">
        <v>417269.66</v>
      </c>
      <c r="M27">
        <v>1.264</v>
      </c>
    </row>
    <row r="28" spans="1:14" x14ac:dyDescent="0.35">
      <c r="A28" t="s">
        <v>60</v>
      </c>
      <c r="B28">
        <v>29</v>
      </c>
      <c r="C28" t="s">
        <v>61</v>
      </c>
      <c r="D28">
        <v>2019</v>
      </c>
      <c r="E28">
        <v>72</v>
      </c>
      <c r="F28">
        <v>219</v>
      </c>
      <c r="G28" t="s">
        <v>33</v>
      </c>
      <c r="H28" s="1">
        <v>1</v>
      </c>
      <c r="I28" t="s">
        <v>78</v>
      </c>
      <c r="J28" t="s">
        <v>62</v>
      </c>
      <c r="K28">
        <v>4637267.4720000001</v>
      </c>
      <c r="L28">
        <v>417267.99900000001</v>
      </c>
      <c r="M28">
        <v>1.371</v>
      </c>
    </row>
    <row r="29" spans="1:14" x14ac:dyDescent="0.35">
      <c r="A29" t="s">
        <v>60</v>
      </c>
      <c r="B29">
        <v>29</v>
      </c>
      <c r="C29" t="s">
        <v>61</v>
      </c>
      <c r="D29">
        <v>2019</v>
      </c>
      <c r="E29">
        <v>73</v>
      </c>
      <c r="F29">
        <v>220</v>
      </c>
      <c r="G29" t="s">
        <v>32</v>
      </c>
      <c r="H29" s="1">
        <v>33</v>
      </c>
      <c r="I29" t="s">
        <v>74</v>
      </c>
      <c r="J29" t="s">
        <v>62</v>
      </c>
      <c r="K29">
        <v>4637265.5619999999</v>
      </c>
      <c r="L29">
        <v>417268.79499999998</v>
      </c>
      <c r="M29">
        <v>1.3260000000000001</v>
      </c>
    </row>
    <row r="30" spans="1:14" x14ac:dyDescent="0.35">
      <c r="A30" t="s">
        <v>60</v>
      </c>
      <c r="B30">
        <v>29</v>
      </c>
      <c r="C30" t="s">
        <v>61</v>
      </c>
      <c r="D30">
        <v>2019</v>
      </c>
      <c r="E30">
        <v>75</v>
      </c>
      <c r="F30">
        <v>223</v>
      </c>
      <c r="G30" t="s">
        <v>32</v>
      </c>
      <c r="H30" s="1">
        <v>33</v>
      </c>
      <c r="I30" t="s">
        <v>74</v>
      </c>
      <c r="J30" t="s">
        <v>62</v>
      </c>
      <c r="K30">
        <v>4637262.3870000001</v>
      </c>
      <c r="L30">
        <v>417267.75900000002</v>
      </c>
      <c r="M30">
        <v>1.224</v>
      </c>
    </row>
    <row r="31" spans="1:14" x14ac:dyDescent="0.35">
      <c r="A31" t="s">
        <v>60</v>
      </c>
      <c r="B31">
        <v>29</v>
      </c>
      <c r="C31" t="s">
        <v>61</v>
      </c>
      <c r="D31">
        <v>2019</v>
      </c>
      <c r="E31">
        <v>76</v>
      </c>
      <c r="F31">
        <v>224</v>
      </c>
      <c r="G31" t="s">
        <v>34</v>
      </c>
      <c r="H31" s="1">
        <v>2</v>
      </c>
      <c r="I31" t="s">
        <v>67</v>
      </c>
      <c r="J31" t="s">
        <v>62</v>
      </c>
      <c r="K31">
        <v>4637262.9050000003</v>
      </c>
      <c r="L31">
        <v>417266.00199999998</v>
      </c>
      <c r="M31">
        <v>1.337</v>
      </c>
    </row>
    <row r="32" spans="1:14" x14ac:dyDescent="0.35">
      <c r="A32" t="s">
        <v>60</v>
      </c>
      <c r="B32">
        <v>29</v>
      </c>
      <c r="C32" t="s">
        <v>61</v>
      </c>
      <c r="D32">
        <v>2019</v>
      </c>
      <c r="E32">
        <v>77</v>
      </c>
      <c r="F32">
        <v>225</v>
      </c>
      <c r="G32" t="s">
        <v>32</v>
      </c>
      <c r="H32" s="1">
        <v>33</v>
      </c>
      <c r="I32" t="s">
        <v>74</v>
      </c>
      <c r="J32" t="s">
        <v>62</v>
      </c>
      <c r="K32">
        <v>4637258.5619999999</v>
      </c>
      <c r="L32">
        <v>417263.74400000001</v>
      </c>
      <c r="M32">
        <v>1.224</v>
      </c>
    </row>
    <row r="33" spans="1:14" x14ac:dyDescent="0.35">
      <c r="A33" t="s">
        <v>60</v>
      </c>
      <c r="B33">
        <v>29</v>
      </c>
      <c r="C33" t="s">
        <v>61</v>
      </c>
      <c r="D33">
        <v>2019</v>
      </c>
      <c r="E33">
        <v>78</v>
      </c>
      <c r="F33">
        <v>226</v>
      </c>
      <c r="G33" t="s">
        <v>34</v>
      </c>
      <c r="H33" s="1">
        <v>2</v>
      </c>
      <c r="I33" t="s">
        <v>67</v>
      </c>
      <c r="J33" t="s">
        <v>62</v>
      </c>
      <c r="K33">
        <v>4637259.7580000004</v>
      </c>
      <c r="L33">
        <v>417263.07500000001</v>
      </c>
      <c r="M33">
        <v>1.3680000000000001</v>
      </c>
    </row>
    <row r="34" spans="1:14" x14ac:dyDescent="0.35">
      <c r="A34" t="s">
        <v>60</v>
      </c>
      <c r="B34">
        <v>29</v>
      </c>
      <c r="C34" t="s">
        <v>61</v>
      </c>
      <c r="D34">
        <v>2019</v>
      </c>
      <c r="E34">
        <v>79</v>
      </c>
      <c r="F34">
        <v>227</v>
      </c>
      <c r="G34" t="s">
        <v>35</v>
      </c>
      <c r="H34" s="1">
        <v>2</v>
      </c>
      <c r="I34" t="s">
        <v>75</v>
      </c>
      <c r="J34" t="s">
        <v>62</v>
      </c>
      <c r="K34">
        <v>4637263.4369999999</v>
      </c>
      <c r="L34">
        <v>417259.478</v>
      </c>
      <c r="M34">
        <v>1.4</v>
      </c>
    </row>
    <row r="35" spans="1:14" x14ac:dyDescent="0.35">
      <c r="A35" t="s">
        <v>60</v>
      </c>
      <c r="B35">
        <v>29</v>
      </c>
      <c r="C35" t="s">
        <v>61</v>
      </c>
      <c r="D35">
        <v>2019</v>
      </c>
      <c r="E35">
        <v>80</v>
      </c>
      <c r="F35">
        <v>228</v>
      </c>
      <c r="G35" t="s">
        <v>36</v>
      </c>
      <c r="H35" s="1">
        <v>1</v>
      </c>
      <c r="I35" t="s">
        <v>75</v>
      </c>
      <c r="J35" t="s">
        <v>62</v>
      </c>
      <c r="K35">
        <v>4637262.4340000004</v>
      </c>
      <c r="L35">
        <v>417257.29700000002</v>
      </c>
      <c r="M35">
        <v>1.1519999999999999</v>
      </c>
    </row>
    <row r="36" spans="1:14" x14ac:dyDescent="0.35">
      <c r="A36" t="s">
        <v>60</v>
      </c>
      <c r="B36">
        <v>29</v>
      </c>
      <c r="C36" t="s">
        <v>61</v>
      </c>
      <c r="D36">
        <v>2019</v>
      </c>
      <c r="E36">
        <v>83</v>
      </c>
      <c r="F36">
        <v>234</v>
      </c>
      <c r="G36" t="s">
        <v>20</v>
      </c>
      <c r="H36" s="1">
        <v>6</v>
      </c>
      <c r="I36" t="s">
        <v>67</v>
      </c>
      <c r="J36" t="s">
        <v>62</v>
      </c>
      <c r="K36">
        <v>4637268.4809999997</v>
      </c>
      <c r="L36">
        <v>417254.36900000001</v>
      </c>
      <c r="M36">
        <v>1.4319999999999999</v>
      </c>
    </row>
    <row r="37" spans="1:14" x14ac:dyDescent="0.35">
      <c r="A37" t="s">
        <v>60</v>
      </c>
      <c r="B37">
        <v>29</v>
      </c>
      <c r="C37" t="s">
        <v>61</v>
      </c>
      <c r="D37">
        <v>2019</v>
      </c>
      <c r="E37">
        <v>84</v>
      </c>
      <c r="F37">
        <v>235</v>
      </c>
      <c r="G37" t="s">
        <v>16</v>
      </c>
      <c r="H37" s="1">
        <v>3</v>
      </c>
      <c r="I37" t="s">
        <v>67</v>
      </c>
      <c r="J37" t="s">
        <v>62</v>
      </c>
      <c r="K37">
        <v>4637270.2410000004</v>
      </c>
      <c r="L37">
        <v>417254.64899999998</v>
      </c>
      <c r="M37">
        <v>1.524</v>
      </c>
    </row>
    <row r="38" spans="1:14" x14ac:dyDescent="0.35">
      <c r="A38" t="s">
        <v>60</v>
      </c>
      <c r="B38">
        <v>29</v>
      </c>
      <c r="C38" t="s">
        <v>61</v>
      </c>
      <c r="D38">
        <v>2019</v>
      </c>
      <c r="E38">
        <v>85</v>
      </c>
      <c r="F38">
        <v>236</v>
      </c>
      <c r="G38" t="s">
        <v>27</v>
      </c>
      <c r="H38" s="1">
        <v>3</v>
      </c>
      <c r="I38" t="s">
        <v>71</v>
      </c>
      <c r="J38" t="s">
        <v>62</v>
      </c>
      <c r="K38">
        <v>4637273.1540000001</v>
      </c>
      <c r="L38">
        <v>417255.88699999999</v>
      </c>
      <c r="M38">
        <v>1.4650000000000001</v>
      </c>
    </row>
    <row r="39" spans="1:14" x14ac:dyDescent="0.35">
      <c r="A39" t="s">
        <v>60</v>
      </c>
      <c r="B39">
        <v>29</v>
      </c>
      <c r="C39" t="s">
        <v>61</v>
      </c>
      <c r="D39">
        <v>2019</v>
      </c>
      <c r="E39">
        <v>87</v>
      </c>
      <c r="F39">
        <v>239</v>
      </c>
      <c r="G39" t="s">
        <v>16</v>
      </c>
      <c r="H39" s="1">
        <v>3</v>
      </c>
      <c r="I39" t="s">
        <v>67</v>
      </c>
      <c r="J39" t="s">
        <v>62</v>
      </c>
      <c r="K39">
        <v>4637287.6380000003</v>
      </c>
      <c r="L39">
        <v>417270.65</v>
      </c>
      <c r="M39">
        <v>1.579</v>
      </c>
    </row>
    <row r="40" spans="1:14" x14ac:dyDescent="0.35">
      <c r="A40" t="s">
        <v>60</v>
      </c>
      <c r="B40">
        <v>29</v>
      </c>
      <c r="C40" t="s">
        <v>61</v>
      </c>
      <c r="D40">
        <v>2019</v>
      </c>
      <c r="E40">
        <v>92</v>
      </c>
      <c r="F40">
        <v>251</v>
      </c>
      <c r="G40" t="s">
        <v>41</v>
      </c>
      <c r="H40" s="1">
        <v>10</v>
      </c>
      <c r="I40" t="s">
        <v>70</v>
      </c>
      <c r="J40" t="s">
        <v>62</v>
      </c>
      <c r="K40">
        <v>4636902.7489999998</v>
      </c>
      <c r="L40">
        <v>416798.89</v>
      </c>
      <c r="M40">
        <v>1.3740000000000001</v>
      </c>
    </row>
    <row r="41" spans="1:14" x14ac:dyDescent="0.35">
      <c r="A41" t="s">
        <v>60</v>
      </c>
      <c r="B41">
        <v>29</v>
      </c>
      <c r="C41" t="s">
        <v>61</v>
      </c>
      <c r="D41">
        <v>2019</v>
      </c>
      <c r="E41">
        <v>93</v>
      </c>
      <c r="F41">
        <v>252</v>
      </c>
      <c r="G41" t="s">
        <v>41</v>
      </c>
      <c r="H41" s="1">
        <v>10</v>
      </c>
      <c r="I41" t="s">
        <v>70</v>
      </c>
      <c r="J41" t="s">
        <v>62</v>
      </c>
      <c r="K41">
        <v>4636905.47</v>
      </c>
      <c r="L41">
        <v>416802.90399999998</v>
      </c>
      <c r="M41">
        <v>1.45</v>
      </c>
      <c r="N41" t="s">
        <v>12</v>
      </c>
    </row>
    <row r="42" spans="1:14" x14ac:dyDescent="0.35">
      <c r="A42" t="s">
        <v>60</v>
      </c>
      <c r="B42">
        <v>29</v>
      </c>
      <c r="C42" t="s">
        <v>61</v>
      </c>
      <c r="D42">
        <v>2019</v>
      </c>
      <c r="E42">
        <v>95</v>
      </c>
      <c r="F42">
        <v>255</v>
      </c>
      <c r="G42" t="s">
        <v>42</v>
      </c>
      <c r="H42" s="1">
        <v>6</v>
      </c>
      <c r="I42" t="s">
        <v>66</v>
      </c>
      <c r="J42" t="s">
        <v>62</v>
      </c>
      <c r="K42">
        <v>4636910.0659999996</v>
      </c>
      <c r="L42">
        <v>416806.79</v>
      </c>
      <c r="M42">
        <v>1.44</v>
      </c>
    </row>
    <row r="43" spans="1:14" x14ac:dyDescent="0.35">
      <c r="A43" t="s">
        <v>60</v>
      </c>
      <c r="B43">
        <v>29</v>
      </c>
      <c r="C43" t="s">
        <v>61</v>
      </c>
      <c r="D43">
        <v>2019</v>
      </c>
      <c r="E43">
        <v>96</v>
      </c>
      <c r="F43">
        <v>256</v>
      </c>
      <c r="G43" t="s">
        <v>40</v>
      </c>
      <c r="H43" s="1">
        <v>6</v>
      </c>
      <c r="I43" t="s">
        <v>70</v>
      </c>
      <c r="J43" t="s">
        <v>62</v>
      </c>
      <c r="K43">
        <v>4636911.5180000002</v>
      </c>
      <c r="L43">
        <v>416807.52</v>
      </c>
      <c r="M43">
        <v>1.4179999999999999</v>
      </c>
    </row>
    <row r="44" spans="1:14" x14ac:dyDescent="0.35">
      <c r="A44" t="s">
        <v>60</v>
      </c>
      <c r="B44">
        <v>29</v>
      </c>
      <c r="C44" t="s">
        <v>61</v>
      </c>
      <c r="D44">
        <v>2019</v>
      </c>
      <c r="E44">
        <v>98</v>
      </c>
      <c r="F44">
        <v>261</v>
      </c>
      <c r="G44" t="s">
        <v>41</v>
      </c>
      <c r="H44" s="1">
        <v>10</v>
      </c>
      <c r="I44" t="s">
        <v>70</v>
      </c>
      <c r="J44" t="s">
        <v>62</v>
      </c>
      <c r="K44">
        <v>4636902.818</v>
      </c>
      <c r="L44">
        <v>416792.73200000002</v>
      </c>
      <c r="M44">
        <v>1.367</v>
      </c>
      <c r="N44" t="s">
        <v>45</v>
      </c>
    </row>
    <row r="45" spans="1:14" x14ac:dyDescent="0.35">
      <c r="A45" t="s">
        <v>60</v>
      </c>
      <c r="B45">
        <v>29</v>
      </c>
      <c r="C45" t="s">
        <v>61</v>
      </c>
      <c r="D45">
        <v>2019</v>
      </c>
      <c r="E45">
        <v>99</v>
      </c>
      <c r="F45">
        <v>262</v>
      </c>
      <c r="G45" t="s">
        <v>43</v>
      </c>
      <c r="H45" s="1">
        <v>7</v>
      </c>
      <c r="I45" t="s">
        <v>70</v>
      </c>
      <c r="J45" t="s">
        <v>62</v>
      </c>
      <c r="K45">
        <v>4636901.4309999999</v>
      </c>
      <c r="L45">
        <v>416791.826</v>
      </c>
      <c r="M45">
        <v>1.3720000000000001</v>
      </c>
      <c r="N45" t="s">
        <v>45</v>
      </c>
    </row>
    <row r="46" spans="1:14" x14ac:dyDescent="0.35">
      <c r="A46" t="s">
        <v>60</v>
      </c>
      <c r="B46">
        <v>29</v>
      </c>
      <c r="C46" t="s">
        <v>61</v>
      </c>
      <c r="D46">
        <v>2019</v>
      </c>
      <c r="E46">
        <v>100</v>
      </c>
      <c r="F46">
        <v>263</v>
      </c>
      <c r="G46" t="s">
        <v>41</v>
      </c>
      <c r="H46" s="1">
        <v>10</v>
      </c>
      <c r="I46" t="s">
        <v>70</v>
      </c>
      <c r="J46" t="s">
        <v>62</v>
      </c>
      <c r="K46">
        <v>4636903.0329999998</v>
      </c>
      <c r="L46">
        <v>416790.57699999999</v>
      </c>
      <c r="M46">
        <v>1.3420000000000001</v>
      </c>
      <c r="N46" t="s">
        <v>45</v>
      </c>
    </row>
    <row r="47" spans="1:14" x14ac:dyDescent="0.35">
      <c r="A47" t="s">
        <v>60</v>
      </c>
      <c r="B47">
        <v>29</v>
      </c>
      <c r="C47" t="s">
        <v>61</v>
      </c>
      <c r="D47">
        <v>2019</v>
      </c>
      <c r="E47">
        <v>104</v>
      </c>
      <c r="F47">
        <v>278</v>
      </c>
      <c r="G47" t="s">
        <v>47</v>
      </c>
      <c r="H47" s="1">
        <v>3</v>
      </c>
      <c r="I47" t="s">
        <v>70</v>
      </c>
      <c r="J47" t="s">
        <v>62</v>
      </c>
      <c r="K47">
        <v>4636916.7910000002</v>
      </c>
      <c r="L47">
        <v>416788</v>
      </c>
      <c r="M47">
        <v>1.4039999999999999</v>
      </c>
      <c r="N47" t="s">
        <v>49</v>
      </c>
    </row>
    <row r="48" spans="1:14" x14ac:dyDescent="0.35">
      <c r="A48" t="s">
        <v>60</v>
      </c>
      <c r="B48">
        <v>29</v>
      </c>
      <c r="C48" t="s">
        <v>61</v>
      </c>
      <c r="D48">
        <v>2019</v>
      </c>
      <c r="E48">
        <v>105</v>
      </c>
      <c r="F48">
        <v>279</v>
      </c>
      <c r="G48" t="s">
        <v>48</v>
      </c>
      <c r="H48" s="1">
        <v>3</v>
      </c>
      <c r="I48" t="s">
        <v>79</v>
      </c>
      <c r="J48" t="s">
        <v>62</v>
      </c>
      <c r="K48">
        <v>4636915.4160000002</v>
      </c>
      <c r="L48">
        <v>416789.391</v>
      </c>
      <c r="M48">
        <v>1.391</v>
      </c>
    </row>
    <row r="49" spans="1:13" x14ac:dyDescent="0.35">
      <c r="A49" t="s">
        <v>60</v>
      </c>
      <c r="B49">
        <v>29</v>
      </c>
      <c r="C49" t="s">
        <v>61</v>
      </c>
      <c r="D49">
        <v>2019</v>
      </c>
      <c r="E49">
        <v>106</v>
      </c>
      <c r="F49">
        <v>280</v>
      </c>
      <c r="G49" t="s">
        <v>34</v>
      </c>
      <c r="H49" s="1">
        <v>2</v>
      </c>
      <c r="I49" t="s">
        <v>67</v>
      </c>
      <c r="J49" t="s">
        <v>62</v>
      </c>
      <c r="K49">
        <v>4636914.159</v>
      </c>
      <c r="L49">
        <v>416790.39199999999</v>
      </c>
      <c r="M49">
        <v>1.359</v>
      </c>
    </row>
    <row r="50" spans="1:13" x14ac:dyDescent="0.35">
      <c r="A50" t="s">
        <v>60</v>
      </c>
      <c r="B50">
        <v>29</v>
      </c>
      <c r="C50" t="s">
        <v>61</v>
      </c>
      <c r="D50">
        <v>2019</v>
      </c>
      <c r="E50">
        <v>107</v>
      </c>
      <c r="F50">
        <v>281</v>
      </c>
      <c r="G50" t="s">
        <v>28</v>
      </c>
      <c r="H50" s="1">
        <v>2</v>
      </c>
      <c r="I50" t="s">
        <v>70</v>
      </c>
      <c r="J50" t="s">
        <v>62</v>
      </c>
      <c r="K50">
        <v>4636912.1689999998</v>
      </c>
      <c r="L50">
        <v>416792.28700000001</v>
      </c>
      <c r="M50">
        <v>1.292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47695-987F-4BAB-A063-ECC2B54AFF3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wellfleet29sept2019_revised</vt:lpstr>
      <vt:lpstr>Line</vt:lpstr>
      <vt:lpstr>MU</vt:lpstr>
      <vt:lpstr>Poly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Wicks</cp:lastModifiedBy>
  <dcterms:created xsi:type="dcterms:W3CDTF">2025-04-15T18:15:55Z</dcterms:created>
  <dcterms:modified xsi:type="dcterms:W3CDTF">2025-04-26T16:26:12Z</dcterms:modified>
</cp:coreProperties>
</file>