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icks\Desktop\Temp\TempEPASaltmarsh\"/>
    </mc:Choice>
  </mc:AlternateContent>
  <xr:revisionPtr revIDLastSave="0" documentId="13_ncr:1_{03832E73-9551-4F5C-A462-1F6F29AC4A9D}" xr6:coauthVersionLast="47" xr6:coauthVersionMax="47" xr10:uidLastSave="{00000000-0000-0000-0000-000000000000}"/>
  <bookViews>
    <workbookView xWindow="-110" yWindow="-110" windowWidth="19420" windowHeight="11620" activeTab="1" xr2:uid="{3D92DF4F-3780-4C90-9303-23CEF50FDB85}"/>
  </bookViews>
  <sheets>
    <sheet name="wellfleet26oct2019_revised" sheetId="1" r:id="rId1"/>
    <sheet name="Line" sheetId="2" r:id="rId2"/>
    <sheet name="MU" sheetId="3" r:id="rId3"/>
    <sheet name="Poly" sheetId="4" r:id="rId4"/>
  </sheets>
  <definedNames>
    <definedName name="_xlnm._FilterDatabase" localSheetId="0" hidden="1">wellfleet26oct2019_revised!$A$1:$N$136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6" i="1" l="1"/>
  <c r="H136" i="1"/>
  <c r="I136" i="1" s="1"/>
  <c r="J135" i="1"/>
  <c r="H135" i="1"/>
  <c r="I135" i="1" s="1"/>
  <c r="J134" i="1"/>
  <c r="H134" i="1"/>
  <c r="I134" i="1" s="1"/>
  <c r="J133" i="1"/>
  <c r="H133" i="1"/>
  <c r="I133" i="1" s="1"/>
  <c r="J132" i="1"/>
  <c r="H132" i="1"/>
  <c r="I132" i="1" s="1"/>
  <c r="J131" i="1"/>
  <c r="H131" i="1"/>
  <c r="I131" i="1" s="1"/>
  <c r="J130" i="1"/>
  <c r="H130" i="1"/>
  <c r="I130" i="1" s="1"/>
  <c r="J129" i="1"/>
  <c r="H129" i="1"/>
  <c r="I129" i="1" s="1"/>
  <c r="J128" i="1"/>
  <c r="H128" i="1"/>
  <c r="I128" i="1" s="1"/>
  <c r="J127" i="1"/>
  <c r="H127" i="1"/>
  <c r="I127" i="1" s="1"/>
  <c r="J126" i="1"/>
  <c r="H126" i="1"/>
  <c r="I126" i="1" s="1"/>
  <c r="J125" i="1"/>
  <c r="H125" i="1"/>
  <c r="I125" i="1" s="1"/>
  <c r="J124" i="1"/>
  <c r="H124" i="1"/>
  <c r="I124" i="1" s="1"/>
  <c r="J123" i="1"/>
  <c r="H123" i="1"/>
  <c r="I123" i="1" s="1"/>
  <c r="J122" i="1"/>
  <c r="H122" i="1"/>
  <c r="I122" i="1" s="1"/>
  <c r="J121" i="1"/>
  <c r="H121" i="1"/>
  <c r="I121" i="1" s="1"/>
  <c r="J120" i="1"/>
  <c r="H120" i="1"/>
  <c r="I120" i="1" s="1"/>
  <c r="J119" i="1"/>
  <c r="H119" i="1"/>
  <c r="I119" i="1" s="1"/>
  <c r="J118" i="1"/>
  <c r="H118" i="1"/>
  <c r="I118" i="1" s="1"/>
  <c r="J117" i="1"/>
  <c r="H117" i="1"/>
  <c r="I117" i="1" s="1"/>
  <c r="J116" i="1"/>
  <c r="H116" i="1"/>
  <c r="I116" i="1" s="1"/>
  <c r="J115" i="1"/>
  <c r="H115" i="1"/>
  <c r="I115" i="1" s="1"/>
  <c r="J114" i="1"/>
  <c r="H114" i="1"/>
  <c r="I114" i="1" s="1"/>
  <c r="J113" i="1"/>
  <c r="H113" i="1"/>
  <c r="I113" i="1" s="1"/>
  <c r="J112" i="1"/>
  <c r="H112" i="1"/>
  <c r="I112" i="1" s="1"/>
  <c r="J111" i="1"/>
  <c r="H111" i="1"/>
  <c r="I111" i="1" s="1"/>
  <c r="J110" i="1"/>
  <c r="H110" i="1"/>
  <c r="I110" i="1" s="1"/>
  <c r="J109" i="1"/>
  <c r="H109" i="1"/>
  <c r="I109" i="1" s="1"/>
  <c r="J108" i="1"/>
  <c r="H108" i="1"/>
  <c r="I108" i="1" s="1"/>
  <c r="J107" i="1"/>
  <c r="H107" i="1"/>
  <c r="I107" i="1" s="1"/>
  <c r="J106" i="1"/>
  <c r="H106" i="1"/>
  <c r="I106" i="1" s="1"/>
  <c r="J105" i="1"/>
  <c r="H105" i="1"/>
  <c r="I105" i="1" s="1"/>
  <c r="J104" i="1"/>
  <c r="H104" i="1"/>
  <c r="I104" i="1" s="1"/>
  <c r="J103" i="1"/>
  <c r="H103" i="1"/>
  <c r="I103" i="1" s="1"/>
  <c r="J102" i="1"/>
  <c r="H102" i="1"/>
  <c r="I102" i="1" s="1"/>
  <c r="J101" i="1"/>
  <c r="H101" i="1"/>
  <c r="I101" i="1" s="1"/>
  <c r="J100" i="1"/>
  <c r="H100" i="1"/>
  <c r="I100" i="1" s="1"/>
  <c r="J99" i="1"/>
  <c r="H99" i="1"/>
  <c r="I99" i="1" s="1"/>
  <c r="J98" i="1"/>
  <c r="H98" i="1"/>
  <c r="I98" i="1" s="1"/>
  <c r="J97" i="1"/>
  <c r="H97" i="1"/>
  <c r="I97" i="1" s="1"/>
  <c r="J96" i="1"/>
  <c r="H96" i="1"/>
  <c r="I96" i="1" s="1"/>
  <c r="J95" i="1"/>
  <c r="H95" i="1"/>
  <c r="I95" i="1" s="1"/>
  <c r="J94" i="1"/>
  <c r="H94" i="1"/>
  <c r="I94" i="1" s="1"/>
  <c r="J93" i="1"/>
  <c r="H93" i="1"/>
  <c r="I93" i="1" s="1"/>
  <c r="J92" i="1"/>
  <c r="H92" i="1"/>
  <c r="I92" i="1" s="1"/>
  <c r="J91" i="1"/>
  <c r="H91" i="1"/>
  <c r="I91" i="1" s="1"/>
  <c r="J90" i="1"/>
  <c r="H90" i="1"/>
  <c r="I90" i="1" s="1"/>
  <c r="J89" i="1"/>
  <c r="H89" i="1"/>
  <c r="I89" i="1" s="1"/>
  <c r="J88" i="1"/>
  <c r="H88" i="1"/>
  <c r="I88" i="1" s="1"/>
  <c r="J87" i="1"/>
  <c r="H87" i="1"/>
  <c r="I87" i="1" s="1"/>
  <c r="J86" i="1"/>
  <c r="H86" i="1"/>
  <c r="I86" i="1" s="1"/>
  <c r="J85" i="1"/>
  <c r="H85" i="1"/>
  <c r="I85" i="1" s="1"/>
  <c r="J84" i="1"/>
  <c r="H84" i="1"/>
  <c r="I84" i="1" s="1"/>
  <c r="J83" i="1"/>
  <c r="H83" i="1"/>
  <c r="I83" i="1" s="1"/>
  <c r="J82" i="1"/>
  <c r="H82" i="1"/>
  <c r="I82" i="1" s="1"/>
  <c r="J81" i="1"/>
  <c r="H81" i="1"/>
  <c r="I81" i="1" s="1"/>
  <c r="J80" i="1"/>
  <c r="H80" i="1"/>
  <c r="I80" i="1" s="1"/>
  <c r="J79" i="1"/>
  <c r="H79" i="1"/>
  <c r="I79" i="1" s="1"/>
  <c r="J78" i="1"/>
  <c r="H78" i="1"/>
  <c r="I78" i="1" s="1"/>
  <c r="J77" i="1"/>
  <c r="H77" i="1"/>
  <c r="I77" i="1" s="1"/>
  <c r="J76" i="1"/>
  <c r="H76" i="1"/>
  <c r="I76" i="1" s="1"/>
  <c r="J75" i="1"/>
  <c r="H75" i="1"/>
  <c r="I75" i="1" s="1"/>
  <c r="J74" i="1"/>
  <c r="H74" i="1"/>
  <c r="I74" i="1" s="1"/>
  <c r="J73" i="1"/>
  <c r="H73" i="1"/>
  <c r="I73" i="1" s="1"/>
  <c r="J72" i="1"/>
  <c r="H72" i="1"/>
  <c r="I72" i="1" s="1"/>
  <c r="J71" i="1"/>
  <c r="H71" i="1"/>
  <c r="I71" i="1" s="1"/>
  <c r="J70" i="1"/>
  <c r="H70" i="1"/>
  <c r="I70" i="1" s="1"/>
  <c r="J69" i="1"/>
  <c r="H69" i="1"/>
  <c r="I69" i="1" s="1"/>
  <c r="J68" i="1"/>
  <c r="H68" i="1"/>
  <c r="I68" i="1" s="1"/>
  <c r="J67" i="1"/>
  <c r="H67" i="1"/>
  <c r="I67" i="1" s="1"/>
  <c r="J66" i="1"/>
  <c r="H66" i="1"/>
  <c r="I66" i="1" s="1"/>
  <c r="J65" i="1"/>
  <c r="H65" i="1"/>
  <c r="I65" i="1" s="1"/>
  <c r="J64" i="1"/>
  <c r="H64" i="1"/>
  <c r="I64" i="1" s="1"/>
  <c r="J63" i="1"/>
  <c r="H63" i="1"/>
  <c r="I63" i="1" s="1"/>
  <c r="J62" i="1"/>
  <c r="H62" i="1"/>
  <c r="I62" i="1" s="1"/>
  <c r="J61" i="1"/>
  <c r="H61" i="1"/>
  <c r="I61" i="1" s="1"/>
  <c r="J60" i="1"/>
  <c r="H60" i="1"/>
  <c r="I60" i="1" s="1"/>
  <c r="J59" i="1"/>
  <c r="H59" i="1"/>
  <c r="I59" i="1" s="1"/>
  <c r="J58" i="1"/>
  <c r="H58" i="1"/>
  <c r="I58" i="1" s="1"/>
  <c r="J57" i="1"/>
  <c r="H57" i="1"/>
  <c r="I57" i="1" s="1"/>
  <c r="J56" i="1"/>
  <c r="H56" i="1"/>
  <c r="I56" i="1" s="1"/>
  <c r="J55" i="1"/>
  <c r="H55" i="1"/>
  <c r="I55" i="1" s="1"/>
  <c r="J54" i="1"/>
  <c r="H54" i="1"/>
  <c r="I54" i="1" s="1"/>
  <c r="J53" i="1"/>
  <c r="H53" i="1"/>
  <c r="I53" i="1" s="1"/>
  <c r="J52" i="1"/>
  <c r="H52" i="1"/>
  <c r="I52" i="1" s="1"/>
  <c r="J51" i="1"/>
  <c r="H51" i="1"/>
  <c r="I51" i="1" s="1"/>
  <c r="J50" i="1"/>
  <c r="H50" i="1"/>
  <c r="I50" i="1" s="1"/>
  <c r="J49" i="1"/>
  <c r="H49" i="1"/>
  <c r="I49" i="1" s="1"/>
  <c r="J48" i="1"/>
  <c r="H48" i="1"/>
  <c r="I48" i="1" s="1"/>
  <c r="J47" i="1"/>
  <c r="H47" i="1"/>
  <c r="I47" i="1" s="1"/>
  <c r="J46" i="1"/>
  <c r="H46" i="1"/>
  <c r="I46" i="1" s="1"/>
  <c r="J45" i="1"/>
  <c r="H45" i="1"/>
  <c r="I45" i="1" s="1"/>
  <c r="J44" i="1"/>
  <c r="H44" i="1"/>
  <c r="I44" i="1" s="1"/>
  <c r="J43" i="1"/>
  <c r="H43" i="1"/>
  <c r="I43" i="1" s="1"/>
  <c r="J42" i="1"/>
  <c r="H42" i="1"/>
  <c r="I42" i="1" s="1"/>
  <c r="J41" i="1"/>
  <c r="H41" i="1"/>
  <c r="I41" i="1" s="1"/>
  <c r="J40" i="1"/>
  <c r="H40" i="1"/>
  <c r="I40" i="1" s="1"/>
  <c r="J39" i="1"/>
  <c r="H39" i="1"/>
  <c r="I39" i="1" s="1"/>
  <c r="J38" i="1"/>
  <c r="H38" i="1"/>
  <c r="I38" i="1" s="1"/>
  <c r="J37" i="1"/>
  <c r="H37" i="1"/>
  <c r="I37" i="1" s="1"/>
  <c r="J36" i="1"/>
  <c r="H36" i="1"/>
  <c r="I36" i="1" s="1"/>
  <c r="J35" i="1"/>
  <c r="H35" i="1"/>
  <c r="I35" i="1" s="1"/>
  <c r="J34" i="1"/>
  <c r="H34" i="1"/>
  <c r="I34" i="1" s="1"/>
  <c r="J33" i="1"/>
  <c r="H33" i="1"/>
  <c r="I33" i="1" s="1"/>
  <c r="J32" i="1"/>
  <c r="H32" i="1"/>
  <c r="I32" i="1" s="1"/>
  <c r="J31" i="1"/>
  <c r="H31" i="1"/>
  <c r="I31" i="1" s="1"/>
  <c r="J30" i="1"/>
  <c r="H30" i="1"/>
  <c r="I30" i="1" s="1"/>
  <c r="J29" i="1"/>
  <c r="H29" i="1"/>
  <c r="I29" i="1" s="1"/>
  <c r="J28" i="1"/>
  <c r="H28" i="1"/>
  <c r="I28" i="1" s="1"/>
  <c r="J27" i="1"/>
  <c r="H27" i="1"/>
  <c r="I27" i="1" s="1"/>
  <c r="J26" i="1"/>
  <c r="H26" i="1"/>
  <c r="I26" i="1" s="1"/>
  <c r="J25" i="1"/>
  <c r="H25" i="1"/>
  <c r="I25" i="1" s="1"/>
  <c r="J24" i="1"/>
  <c r="H24" i="1"/>
  <c r="I24" i="1" s="1"/>
  <c r="J23" i="1"/>
  <c r="H23" i="1"/>
  <c r="I23" i="1" s="1"/>
  <c r="J22" i="1"/>
  <c r="H22" i="1"/>
  <c r="I22" i="1" s="1"/>
  <c r="J21" i="1"/>
  <c r="H21" i="1"/>
  <c r="I21" i="1" s="1"/>
  <c r="J20" i="1"/>
  <c r="H20" i="1"/>
  <c r="I20" i="1" s="1"/>
  <c r="J19" i="1"/>
  <c r="H19" i="1"/>
  <c r="I19" i="1" s="1"/>
  <c r="J18" i="1"/>
  <c r="H18" i="1"/>
  <c r="I18" i="1" s="1"/>
  <c r="J17" i="1"/>
  <c r="H17" i="1"/>
  <c r="I17" i="1" s="1"/>
  <c r="J16" i="1"/>
  <c r="H16" i="1"/>
  <c r="I16" i="1" s="1"/>
  <c r="J15" i="1"/>
  <c r="H15" i="1"/>
  <c r="I15" i="1" s="1"/>
  <c r="J14" i="1"/>
  <c r="H14" i="1"/>
  <c r="I14" i="1" s="1"/>
  <c r="J13" i="1"/>
  <c r="H13" i="1"/>
  <c r="I13" i="1" s="1"/>
  <c r="J12" i="1"/>
  <c r="H12" i="1"/>
  <c r="I12" i="1" s="1"/>
  <c r="J11" i="1"/>
  <c r="H11" i="1"/>
  <c r="I11" i="1" s="1"/>
  <c r="J10" i="1"/>
  <c r="H10" i="1"/>
  <c r="I10" i="1" s="1"/>
  <c r="J9" i="1"/>
  <c r="H9" i="1"/>
  <c r="I9" i="1" s="1"/>
  <c r="J8" i="1"/>
  <c r="H8" i="1"/>
  <c r="I8" i="1" s="1"/>
  <c r="J7" i="1"/>
  <c r="H7" i="1"/>
  <c r="I7" i="1" s="1"/>
  <c r="J6" i="1"/>
  <c r="H6" i="1"/>
  <c r="I6" i="1" s="1"/>
  <c r="J5" i="1"/>
  <c r="H5" i="1"/>
  <c r="I5" i="1" s="1"/>
  <c r="J4" i="1"/>
  <c r="H4" i="1"/>
  <c r="I4" i="1" s="1"/>
  <c r="J3" i="1"/>
  <c r="H3" i="1"/>
  <c r="I3" i="1" s="1"/>
  <c r="J2" i="1"/>
  <c r="H2" i="1"/>
  <c r="I2" i="1" s="1"/>
</calcChain>
</file>

<file path=xl/sharedStrings.xml><?xml version="1.0" encoding="utf-8"?>
<sst xmlns="http://schemas.openxmlformats.org/spreadsheetml/2006/main" count="1515" uniqueCount="79">
  <si>
    <t>PolygonNum</t>
  </si>
  <si>
    <t>PointNum</t>
  </si>
  <si>
    <t>Subclass</t>
  </si>
  <si>
    <t>Northing</t>
  </si>
  <si>
    <t>Easting</t>
  </si>
  <si>
    <t>Altitude</t>
  </si>
  <si>
    <t>Notes</t>
  </si>
  <si>
    <t>05a</t>
  </si>
  <si>
    <t>line</t>
  </si>
  <si>
    <t>04a</t>
  </si>
  <si>
    <t>03a</t>
  </si>
  <si>
    <t>1 mu</t>
  </si>
  <si>
    <t>06a</t>
  </si>
  <si>
    <t>07a</t>
  </si>
  <si>
    <t>10a</t>
  </si>
  <si>
    <t>09a</t>
  </si>
  <si>
    <t>03aj</t>
  </si>
  <si>
    <t>01a</t>
  </si>
  <si>
    <t>01bf</t>
  </si>
  <si>
    <t>02a</t>
  </si>
  <si>
    <t>01aef</t>
  </si>
  <si>
    <t>01af</t>
  </si>
  <si>
    <t>01bef</t>
  </si>
  <si>
    <t>33ef</t>
  </si>
  <si>
    <t>01ae</t>
  </si>
  <si>
    <t>01bcef</t>
  </si>
  <si>
    <t>27bcef</t>
  </si>
  <si>
    <t>33e</t>
  </si>
  <si>
    <t>33cef</t>
  </si>
  <si>
    <t>06be</t>
  </si>
  <si>
    <t>10be</t>
  </si>
  <si>
    <t>27g</t>
  </si>
  <si>
    <t>27eg</t>
  </si>
  <si>
    <t>22gf</t>
  </si>
  <si>
    <t>22g</t>
  </si>
  <si>
    <t>22cgf</t>
  </si>
  <si>
    <t>Site</t>
  </si>
  <si>
    <t>Day</t>
  </si>
  <si>
    <t>Month</t>
  </si>
  <si>
    <t>Year</t>
  </si>
  <si>
    <t>Sub&amp;Att</t>
  </si>
  <si>
    <t>Attributes</t>
  </si>
  <si>
    <t>SampFormat</t>
  </si>
  <si>
    <t>WEL</t>
  </si>
  <si>
    <t>Oct</t>
  </si>
  <si>
    <t>05</t>
  </si>
  <si>
    <t>a</t>
  </si>
  <si>
    <t>Line</t>
  </si>
  <si>
    <t>04</t>
  </si>
  <si>
    <t>03</t>
  </si>
  <si>
    <t>06</t>
  </si>
  <si>
    <t>4</t>
  </si>
  <si>
    <t/>
  </si>
  <si>
    <t>07</t>
  </si>
  <si>
    <t>10</t>
  </si>
  <si>
    <t>09</t>
  </si>
  <si>
    <t>32</t>
  </si>
  <si>
    <t>01</t>
  </si>
  <si>
    <t>02</t>
  </si>
  <si>
    <t>bef</t>
  </si>
  <si>
    <t>33</t>
  </si>
  <si>
    <t>ef</t>
  </si>
  <si>
    <t>ae</t>
  </si>
  <si>
    <t>27</t>
  </si>
  <si>
    <t>bcef</t>
  </si>
  <si>
    <t>7</t>
  </si>
  <si>
    <t>e</t>
  </si>
  <si>
    <t>cef</t>
  </si>
  <si>
    <t>be</t>
  </si>
  <si>
    <t>g</t>
  </si>
  <si>
    <t>22</t>
  </si>
  <si>
    <t>MU</t>
  </si>
  <si>
    <t>aj</t>
  </si>
  <si>
    <t>bf</t>
  </si>
  <si>
    <t>aef</t>
  </si>
  <si>
    <t>af</t>
  </si>
  <si>
    <t>eg</t>
  </si>
  <si>
    <t>gf</t>
  </si>
  <si>
    <t>cgf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</si>
</sst>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A0F1-3CE7-4297-BA05-94F9147A3F58}">
  <dimension ref="A1:N136"/>
  <sheetViews>
    <sheetView topLeftCell="A88" workbookViewId="0">
      <selection activeCell="I96" sqref="I96"/>
    </sheetView>
  </sheetViews>
  <sheetFormatPr defaultRowHeight="14.5" x14ac:dyDescent="0.35"/>
  <sheetData>
    <row r="1" spans="1:14" x14ac:dyDescent="0.35">
      <c r="A1" t="s">
        <v>36</v>
      </c>
      <c r="B1" t="s">
        <v>37</v>
      </c>
      <c r="C1" t="s">
        <v>38</v>
      </c>
      <c r="D1" t="s">
        <v>39</v>
      </c>
      <c r="E1" t="s">
        <v>0</v>
      </c>
      <c r="F1" t="s">
        <v>1</v>
      </c>
      <c r="G1" t="s">
        <v>40</v>
      </c>
      <c r="H1" t="s">
        <v>2</v>
      </c>
      <c r="I1" t="s">
        <v>41</v>
      </c>
      <c r="J1" t="s">
        <v>42</v>
      </c>
      <c r="K1" t="s">
        <v>3</v>
      </c>
      <c r="L1" t="s">
        <v>4</v>
      </c>
      <c r="M1" t="s">
        <v>5</v>
      </c>
      <c r="N1" t="s">
        <v>6</v>
      </c>
    </row>
    <row r="2" spans="1:14" x14ac:dyDescent="0.35">
      <c r="A2" t="s">
        <v>43</v>
      </c>
      <c r="B2">
        <v>26</v>
      </c>
      <c r="C2" t="s">
        <v>44</v>
      </c>
      <c r="D2">
        <v>2019</v>
      </c>
      <c r="E2">
        <v>1</v>
      </c>
      <c r="F2">
        <v>1</v>
      </c>
      <c r="G2" t="s">
        <v>7</v>
      </c>
      <c r="H2" t="str">
        <f t="shared" ref="H2" si="0">LEFT(G2,2)</f>
        <v>05</v>
      </c>
      <c r="I2" t="str">
        <f t="shared" ref="I2" si="1">RIGHT(G2,LEN(G2)-LEN(H2))</f>
        <v>a</v>
      </c>
      <c r="J2" t="str">
        <f t="shared" ref="J2" si="2">IF(OR((E2=E3),(E2=E1)),"Line","MU")</f>
        <v>Line</v>
      </c>
      <c r="K2">
        <v>4637043.8530000001</v>
      </c>
      <c r="L2">
        <v>416968.67700000003</v>
      </c>
      <c r="M2">
        <v>1.655</v>
      </c>
      <c r="N2" t="s">
        <v>8</v>
      </c>
    </row>
    <row r="3" spans="1:14" x14ac:dyDescent="0.35">
      <c r="A3" t="s">
        <v>43</v>
      </c>
      <c r="B3">
        <v>26</v>
      </c>
      <c r="C3" t="s">
        <v>44</v>
      </c>
      <c r="D3">
        <v>2019</v>
      </c>
      <c r="E3">
        <v>1</v>
      </c>
      <c r="F3">
        <v>2</v>
      </c>
      <c r="G3" t="s">
        <v>7</v>
      </c>
      <c r="H3" t="str">
        <f t="shared" ref="H3:H66" si="3">LEFT(G3,2)</f>
        <v>05</v>
      </c>
      <c r="I3" t="str">
        <f t="shared" ref="I3:I66" si="4">RIGHT(G3,LEN(G3)-LEN(H3))</f>
        <v>a</v>
      </c>
      <c r="J3" t="str">
        <f t="shared" ref="J3:J66" si="5">IF(OR((E3=E4),(E3=E2)),"Line","MU")</f>
        <v>Line</v>
      </c>
      <c r="K3">
        <v>4637044.0669999998</v>
      </c>
      <c r="L3">
        <v>416980.087</v>
      </c>
      <c r="M3">
        <v>1.63</v>
      </c>
      <c r="N3" t="s">
        <v>8</v>
      </c>
    </row>
    <row r="4" spans="1:14" x14ac:dyDescent="0.35">
      <c r="A4" t="s">
        <v>43</v>
      </c>
      <c r="B4">
        <v>26</v>
      </c>
      <c r="C4" t="s">
        <v>44</v>
      </c>
      <c r="D4">
        <v>2019</v>
      </c>
      <c r="E4">
        <v>2</v>
      </c>
      <c r="F4">
        <v>3</v>
      </c>
      <c r="G4" t="s">
        <v>9</v>
      </c>
      <c r="H4" t="str">
        <f t="shared" si="3"/>
        <v>04</v>
      </c>
      <c r="I4" t="str">
        <f t="shared" si="4"/>
        <v>a</v>
      </c>
      <c r="J4" t="str">
        <f t="shared" si="5"/>
        <v>Line</v>
      </c>
      <c r="K4">
        <v>4637045.2050000001</v>
      </c>
      <c r="L4">
        <v>416980.64399999997</v>
      </c>
      <c r="M4">
        <v>1.6259999999999999</v>
      </c>
      <c r="N4" t="s">
        <v>8</v>
      </c>
    </row>
    <row r="5" spans="1:14" x14ac:dyDescent="0.35">
      <c r="A5" t="s">
        <v>43</v>
      </c>
      <c r="B5">
        <v>26</v>
      </c>
      <c r="C5" t="s">
        <v>44</v>
      </c>
      <c r="D5">
        <v>2019</v>
      </c>
      <c r="E5">
        <v>2</v>
      </c>
      <c r="F5">
        <v>4</v>
      </c>
      <c r="G5" t="s">
        <v>9</v>
      </c>
      <c r="H5" t="str">
        <f t="shared" si="3"/>
        <v>04</v>
      </c>
      <c r="I5" t="str">
        <f t="shared" si="4"/>
        <v>a</v>
      </c>
      <c r="J5" t="str">
        <f t="shared" si="5"/>
        <v>Line</v>
      </c>
      <c r="K5">
        <v>4637044.4790000003</v>
      </c>
      <c r="L5">
        <v>416984.45500000002</v>
      </c>
      <c r="M5">
        <v>1.641</v>
      </c>
      <c r="N5" t="s">
        <v>8</v>
      </c>
    </row>
    <row r="6" spans="1:14" x14ac:dyDescent="0.35">
      <c r="A6" t="s">
        <v>43</v>
      </c>
      <c r="B6">
        <v>26</v>
      </c>
      <c r="C6" t="s">
        <v>44</v>
      </c>
      <c r="D6">
        <v>2019</v>
      </c>
      <c r="E6">
        <v>3</v>
      </c>
      <c r="F6">
        <v>5</v>
      </c>
      <c r="G6" t="s">
        <v>10</v>
      </c>
      <c r="H6" t="str">
        <f t="shared" si="3"/>
        <v>03</v>
      </c>
      <c r="I6" t="str">
        <f t="shared" si="4"/>
        <v>a</v>
      </c>
      <c r="J6" t="str">
        <f t="shared" si="5"/>
        <v>Line</v>
      </c>
      <c r="K6">
        <v>4637045.6639999999</v>
      </c>
      <c r="L6">
        <v>416984.44099999999</v>
      </c>
      <c r="M6">
        <v>1.649</v>
      </c>
      <c r="N6" t="s">
        <v>8</v>
      </c>
    </row>
    <row r="7" spans="1:14" x14ac:dyDescent="0.35">
      <c r="A7" t="s">
        <v>43</v>
      </c>
      <c r="B7">
        <v>26</v>
      </c>
      <c r="C7" t="s">
        <v>44</v>
      </c>
      <c r="D7">
        <v>2019</v>
      </c>
      <c r="E7">
        <v>3</v>
      </c>
      <c r="F7">
        <v>6</v>
      </c>
      <c r="G7" t="s">
        <v>10</v>
      </c>
      <c r="H7" t="str">
        <f t="shared" si="3"/>
        <v>03</v>
      </c>
      <c r="I7" t="str">
        <f t="shared" si="4"/>
        <v>a</v>
      </c>
      <c r="J7" t="str">
        <f t="shared" si="5"/>
        <v>Line</v>
      </c>
      <c r="K7">
        <v>4637049.1519999998</v>
      </c>
      <c r="L7">
        <v>416984.31800000003</v>
      </c>
      <c r="M7">
        <v>1.5840000000000001</v>
      </c>
      <c r="N7" t="s">
        <v>8</v>
      </c>
    </row>
    <row r="8" spans="1:14" x14ac:dyDescent="0.35">
      <c r="A8" t="s">
        <v>43</v>
      </c>
      <c r="B8">
        <v>26</v>
      </c>
      <c r="C8" t="s">
        <v>44</v>
      </c>
      <c r="D8">
        <v>2019</v>
      </c>
      <c r="E8">
        <v>4</v>
      </c>
      <c r="F8">
        <v>7</v>
      </c>
      <c r="G8" t="s">
        <v>9</v>
      </c>
      <c r="H8" t="str">
        <f t="shared" si="3"/>
        <v>04</v>
      </c>
      <c r="I8" t="str">
        <f t="shared" si="4"/>
        <v>a</v>
      </c>
      <c r="J8" t="str">
        <f t="shared" si="5"/>
        <v>Line</v>
      </c>
      <c r="K8">
        <v>4637050.4610000001</v>
      </c>
      <c r="L8">
        <v>416984.24699999997</v>
      </c>
      <c r="M8">
        <v>1.575</v>
      </c>
      <c r="N8" t="s">
        <v>8</v>
      </c>
    </row>
    <row r="9" spans="1:14" x14ac:dyDescent="0.35">
      <c r="A9" t="s">
        <v>43</v>
      </c>
      <c r="B9">
        <v>26</v>
      </c>
      <c r="C9" t="s">
        <v>44</v>
      </c>
      <c r="D9">
        <v>2019</v>
      </c>
      <c r="E9">
        <v>4</v>
      </c>
      <c r="F9">
        <v>8</v>
      </c>
      <c r="G9" t="s">
        <v>9</v>
      </c>
      <c r="H9" t="str">
        <f t="shared" si="3"/>
        <v>04</v>
      </c>
      <c r="I9" t="str">
        <f t="shared" si="4"/>
        <v>a</v>
      </c>
      <c r="J9" t="str">
        <f t="shared" si="5"/>
        <v>Line</v>
      </c>
      <c r="K9">
        <v>4637051.5369999995</v>
      </c>
      <c r="L9">
        <v>416992.97399999999</v>
      </c>
      <c r="M9">
        <v>1.601</v>
      </c>
      <c r="N9" t="s">
        <v>8</v>
      </c>
    </row>
    <row r="10" spans="1:14" x14ac:dyDescent="0.35">
      <c r="A10" t="s">
        <v>43</v>
      </c>
      <c r="B10">
        <v>26</v>
      </c>
      <c r="C10" t="s">
        <v>44</v>
      </c>
      <c r="D10">
        <v>2019</v>
      </c>
      <c r="E10">
        <v>4</v>
      </c>
      <c r="F10">
        <v>9</v>
      </c>
      <c r="G10" t="s">
        <v>9</v>
      </c>
      <c r="H10" t="str">
        <f t="shared" si="3"/>
        <v>04</v>
      </c>
      <c r="I10" t="str">
        <f t="shared" si="4"/>
        <v>a</v>
      </c>
      <c r="J10" t="str">
        <f t="shared" si="5"/>
        <v>Line</v>
      </c>
      <c r="K10">
        <v>4637053.2039999999</v>
      </c>
      <c r="L10">
        <v>416992.76</v>
      </c>
      <c r="M10">
        <v>1.607</v>
      </c>
      <c r="N10" t="s">
        <v>8</v>
      </c>
    </row>
    <row r="11" spans="1:14" x14ac:dyDescent="0.35">
      <c r="A11" t="s">
        <v>43</v>
      </c>
      <c r="B11">
        <v>26</v>
      </c>
      <c r="C11" t="s">
        <v>44</v>
      </c>
      <c r="D11">
        <v>2019</v>
      </c>
      <c r="E11">
        <v>4</v>
      </c>
      <c r="F11">
        <v>10</v>
      </c>
      <c r="G11" t="s">
        <v>9</v>
      </c>
      <c r="H11" t="str">
        <f t="shared" si="3"/>
        <v>04</v>
      </c>
      <c r="I11" t="str">
        <f t="shared" si="4"/>
        <v>a</v>
      </c>
      <c r="J11" t="str">
        <f t="shared" si="5"/>
        <v>Line</v>
      </c>
      <c r="K11">
        <v>4637054.6560000004</v>
      </c>
      <c r="L11">
        <v>416978.45199999999</v>
      </c>
      <c r="M11">
        <v>1.603</v>
      </c>
      <c r="N11" t="s">
        <v>8</v>
      </c>
    </row>
    <row r="12" spans="1:14" x14ac:dyDescent="0.35">
      <c r="A12" t="s">
        <v>43</v>
      </c>
      <c r="B12">
        <v>26</v>
      </c>
      <c r="C12" t="s">
        <v>44</v>
      </c>
      <c r="D12">
        <v>2019</v>
      </c>
      <c r="E12">
        <v>5</v>
      </c>
      <c r="F12">
        <v>11</v>
      </c>
      <c r="G12" t="s">
        <v>10</v>
      </c>
      <c r="H12" t="str">
        <f t="shared" si="3"/>
        <v>03</v>
      </c>
      <c r="I12" t="str">
        <f t="shared" si="4"/>
        <v>a</v>
      </c>
      <c r="J12" t="str">
        <f t="shared" si="5"/>
        <v>MU</v>
      </c>
      <c r="K12">
        <v>4637054.8619999997</v>
      </c>
      <c r="L12">
        <v>416977.15299999999</v>
      </c>
      <c r="M12">
        <v>1.59</v>
      </c>
      <c r="N12" t="s">
        <v>11</v>
      </c>
    </row>
    <row r="13" spans="1:14" x14ac:dyDescent="0.35">
      <c r="A13" t="s">
        <v>43</v>
      </c>
      <c r="B13">
        <v>26</v>
      </c>
      <c r="C13" t="s">
        <v>44</v>
      </c>
      <c r="D13">
        <v>2019</v>
      </c>
      <c r="E13">
        <v>6</v>
      </c>
      <c r="F13">
        <v>12</v>
      </c>
      <c r="G13" t="s">
        <v>9</v>
      </c>
      <c r="H13" t="str">
        <f t="shared" si="3"/>
        <v>04</v>
      </c>
      <c r="I13" t="str">
        <f t="shared" si="4"/>
        <v>a</v>
      </c>
      <c r="J13" t="str">
        <f t="shared" si="5"/>
        <v>Line</v>
      </c>
      <c r="K13">
        <v>4637056.3439999996</v>
      </c>
      <c r="L13">
        <v>416977.45199999999</v>
      </c>
      <c r="M13">
        <v>1.5629999999999999</v>
      </c>
      <c r="N13" t="s">
        <v>8</v>
      </c>
    </row>
    <row r="14" spans="1:14" x14ac:dyDescent="0.35">
      <c r="A14" t="s">
        <v>43</v>
      </c>
      <c r="B14">
        <v>26</v>
      </c>
      <c r="C14" t="s">
        <v>44</v>
      </c>
      <c r="D14">
        <v>2019</v>
      </c>
      <c r="E14">
        <v>6</v>
      </c>
      <c r="F14">
        <v>13</v>
      </c>
      <c r="G14" t="s">
        <v>9</v>
      </c>
      <c r="H14" t="str">
        <f t="shared" si="3"/>
        <v>04</v>
      </c>
      <c r="I14" t="str">
        <f t="shared" si="4"/>
        <v>a</v>
      </c>
      <c r="J14" t="str">
        <f t="shared" si="5"/>
        <v>Line</v>
      </c>
      <c r="K14">
        <v>4637055.8679999998</v>
      </c>
      <c r="L14">
        <v>416986.23</v>
      </c>
      <c r="M14">
        <v>1.601</v>
      </c>
      <c r="N14" t="s">
        <v>8</v>
      </c>
    </row>
    <row r="15" spans="1:14" x14ac:dyDescent="0.35">
      <c r="A15" t="s">
        <v>43</v>
      </c>
      <c r="B15">
        <v>26</v>
      </c>
      <c r="C15" t="s">
        <v>44</v>
      </c>
      <c r="D15">
        <v>2019</v>
      </c>
      <c r="E15">
        <v>6</v>
      </c>
      <c r="F15">
        <v>14</v>
      </c>
      <c r="G15" t="s">
        <v>7</v>
      </c>
      <c r="H15" t="str">
        <f t="shared" si="3"/>
        <v>05</v>
      </c>
      <c r="I15" t="str">
        <f t="shared" si="4"/>
        <v>a</v>
      </c>
      <c r="J15" t="str">
        <f t="shared" si="5"/>
        <v>Line</v>
      </c>
      <c r="K15">
        <v>4637055.6490000002</v>
      </c>
      <c r="L15">
        <v>416987.53899999999</v>
      </c>
      <c r="M15">
        <v>1.609</v>
      </c>
      <c r="N15" t="s">
        <v>8</v>
      </c>
    </row>
    <row r="16" spans="1:14" x14ac:dyDescent="0.35">
      <c r="A16" t="s">
        <v>43</v>
      </c>
      <c r="B16">
        <v>26</v>
      </c>
      <c r="C16" t="s">
        <v>44</v>
      </c>
      <c r="D16">
        <v>2019</v>
      </c>
      <c r="E16">
        <v>6</v>
      </c>
      <c r="F16">
        <v>15</v>
      </c>
      <c r="G16" t="s">
        <v>7</v>
      </c>
      <c r="H16" t="str">
        <f t="shared" si="3"/>
        <v>05</v>
      </c>
      <c r="I16" t="str">
        <f t="shared" si="4"/>
        <v>a</v>
      </c>
      <c r="J16" t="str">
        <f t="shared" si="5"/>
        <v>Line</v>
      </c>
      <c r="K16">
        <v>4637054.2949999999</v>
      </c>
      <c r="L16">
        <v>416990.14799999999</v>
      </c>
      <c r="M16">
        <v>1.613</v>
      </c>
      <c r="N16" t="s">
        <v>8</v>
      </c>
    </row>
    <row r="17" spans="1:14" x14ac:dyDescent="0.35">
      <c r="A17" t="s">
        <v>43</v>
      </c>
      <c r="B17">
        <v>26</v>
      </c>
      <c r="C17" t="s">
        <v>44</v>
      </c>
      <c r="D17">
        <v>2019</v>
      </c>
      <c r="E17">
        <v>6</v>
      </c>
      <c r="F17">
        <v>16</v>
      </c>
      <c r="G17" t="s">
        <v>7</v>
      </c>
      <c r="H17" t="str">
        <f t="shared" si="3"/>
        <v>05</v>
      </c>
      <c r="I17" t="str">
        <f t="shared" si="4"/>
        <v>a</v>
      </c>
      <c r="J17" t="str">
        <f t="shared" si="5"/>
        <v>Line</v>
      </c>
      <c r="K17">
        <v>4637054.665</v>
      </c>
      <c r="L17">
        <v>416993.13</v>
      </c>
      <c r="M17">
        <v>1.627</v>
      </c>
      <c r="N17" t="s">
        <v>8</v>
      </c>
    </row>
    <row r="18" spans="1:14" x14ac:dyDescent="0.35">
      <c r="A18" t="s">
        <v>43</v>
      </c>
      <c r="B18">
        <v>26</v>
      </c>
      <c r="C18" t="s">
        <v>44</v>
      </c>
      <c r="D18">
        <v>2019</v>
      </c>
      <c r="E18">
        <v>7</v>
      </c>
      <c r="F18">
        <v>17</v>
      </c>
      <c r="G18" t="s">
        <v>12</v>
      </c>
      <c r="H18" t="str">
        <f t="shared" si="3"/>
        <v>06</v>
      </c>
      <c r="I18" t="str">
        <f t="shared" si="4"/>
        <v>a</v>
      </c>
      <c r="J18" t="str">
        <f t="shared" si="5"/>
        <v>Line</v>
      </c>
      <c r="K18">
        <v>4637055.8569999998</v>
      </c>
      <c r="L18">
        <v>416993.32400000002</v>
      </c>
      <c r="M18">
        <v>1.6339999999999999</v>
      </c>
      <c r="N18" t="s">
        <v>8</v>
      </c>
    </row>
    <row r="19" spans="1:14" x14ac:dyDescent="0.35">
      <c r="A19" t="s">
        <v>43</v>
      </c>
      <c r="B19">
        <v>26</v>
      </c>
      <c r="C19" t="s">
        <v>44</v>
      </c>
      <c r="D19">
        <v>2019</v>
      </c>
      <c r="E19">
        <v>7</v>
      </c>
      <c r="F19">
        <v>18</v>
      </c>
      <c r="G19" t="s">
        <v>12</v>
      </c>
      <c r="H19" t="str">
        <f t="shared" si="3"/>
        <v>06</v>
      </c>
      <c r="I19" t="str">
        <f t="shared" si="4"/>
        <v>a</v>
      </c>
      <c r="J19" t="str">
        <f t="shared" si="5"/>
        <v>Line</v>
      </c>
      <c r="K19">
        <v>4637049.8710000003</v>
      </c>
      <c r="L19">
        <v>417001.52899999998</v>
      </c>
      <c r="M19">
        <v>1.665</v>
      </c>
      <c r="N19" t="s">
        <v>8</v>
      </c>
    </row>
    <row r="20" spans="1:14" x14ac:dyDescent="0.35">
      <c r="A20" t="s">
        <v>43</v>
      </c>
      <c r="B20">
        <v>26</v>
      </c>
      <c r="C20" t="s">
        <v>44</v>
      </c>
      <c r="D20">
        <v>2019</v>
      </c>
      <c r="E20">
        <v>8</v>
      </c>
      <c r="F20">
        <v>19</v>
      </c>
      <c r="G20" t="s">
        <v>7</v>
      </c>
      <c r="H20" t="str">
        <f t="shared" si="3"/>
        <v>05</v>
      </c>
      <c r="I20" t="str">
        <f t="shared" si="4"/>
        <v>a</v>
      </c>
      <c r="J20" t="str">
        <f t="shared" si="5"/>
        <v>MU</v>
      </c>
      <c r="K20">
        <v>4637048.7089999998</v>
      </c>
      <c r="L20">
        <v>417002.36700000003</v>
      </c>
      <c r="M20">
        <v>1.63</v>
      </c>
      <c r="N20" t="s">
        <v>11</v>
      </c>
    </row>
    <row r="21" spans="1:14" x14ac:dyDescent="0.35">
      <c r="A21" t="s">
        <v>43</v>
      </c>
      <c r="B21">
        <v>26</v>
      </c>
      <c r="C21" t="s">
        <v>44</v>
      </c>
      <c r="D21">
        <v>2019</v>
      </c>
      <c r="E21">
        <v>9</v>
      </c>
      <c r="F21">
        <v>20</v>
      </c>
      <c r="G21">
        <v>4</v>
      </c>
      <c r="H21" t="str">
        <f t="shared" si="3"/>
        <v>4</v>
      </c>
      <c r="I21" t="str">
        <f t="shared" si="4"/>
        <v/>
      </c>
      <c r="J21" t="str">
        <f t="shared" si="5"/>
        <v>Line</v>
      </c>
      <c r="K21">
        <v>4637046.9179999996</v>
      </c>
      <c r="L21">
        <v>417002.78200000001</v>
      </c>
      <c r="M21">
        <v>1.585</v>
      </c>
      <c r="N21" t="s">
        <v>8</v>
      </c>
    </row>
    <row r="22" spans="1:14" x14ac:dyDescent="0.35">
      <c r="A22" t="s">
        <v>43</v>
      </c>
      <c r="B22">
        <v>26</v>
      </c>
      <c r="C22" t="s">
        <v>44</v>
      </c>
      <c r="D22">
        <v>2019</v>
      </c>
      <c r="E22">
        <v>9</v>
      </c>
      <c r="F22">
        <v>21</v>
      </c>
      <c r="G22">
        <v>4</v>
      </c>
      <c r="H22" t="str">
        <f t="shared" si="3"/>
        <v>4</v>
      </c>
      <c r="I22" t="str">
        <f t="shared" si="4"/>
        <v/>
      </c>
      <c r="J22" t="str">
        <f t="shared" si="5"/>
        <v>Line</v>
      </c>
      <c r="K22">
        <v>4637043.8729999997</v>
      </c>
      <c r="L22">
        <v>417003.62599999999</v>
      </c>
      <c r="M22">
        <v>1.7170000000000001</v>
      </c>
      <c r="N22" t="s">
        <v>8</v>
      </c>
    </row>
    <row r="23" spans="1:14" x14ac:dyDescent="0.35">
      <c r="A23" t="s">
        <v>43</v>
      </c>
      <c r="B23">
        <v>26</v>
      </c>
      <c r="C23" t="s">
        <v>44</v>
      </c>
      <c r="D23">
        <v>2019</v>
      </c>
      <c r="E23">
        <v>10</v>
      </c>
      <c r="F23">
        <v>22</v>
      </c>
      <c r="G23" t="s">
        <v>13</v>
      </c>
      <c r="H23" t="str">
        <f t="shared" si="3"/>
        <v>07</v>
      </c>
      <c r="I23" t="str">
        <f t="shared" si="4"/>
        <v>a</v>
      </c>
      <c r="J23" t="str">
        <f t="shared" si="5"/>
        <v>Line</v>
      </c>
      <c r="K23">
        <v>4637042.3739999998</v>
      </c>
      <c r="L23">
        <v>417004.31099999999</v>
      </c>
      <c r="M23">
        <v>1.806</v>
      </c>
      <c r="N23" t="s">
        <v>8</v>
      </c>
    </row>
    <row r="24" spans="1:14" x14ac:dyDescent="0.35">
      <c r="A24" t="s">
        <v>43</v>
      </c>
      <c r="B24">
        <v>26</v>
      </c>
      <c r="C24" t="s">
        <v>44</v>
      </c>
      <c r="D24">
        <v>2019</v>
      </c>
      <c r="E24">
        <v>10</v>
      </c>
      <c r="F24">
        <v>23</v>
      </c>
      <c r="G24" t="s">
        <v>13</v>
      </c>
      <c r="H24" t="str">
        <f t="shared" si="3"/>
        <v>07</v>
      </c>
      <c r="I24" t="str">
        <f t="shared" si="4"/>
        <v>a</v>
      </c>
      <c r="J24" t="str">
        <f t="shared" si="5"/>
        <v>Line</v>
      </c>
      <c r="K24">
        <v>4637041.5199999996</v>
      </c>
      <c r="L24">
        <v>417006.95299999998</v>
      </c>
      <c r="M24">
        <v>1.891</v>
      </c>
      <c r="N24" t="s">
        <v>8</v>
      </c>
    </row>
    <row r="25" spans="1:14" x14ac:dyDescent="0.35">
      <c r="A25" t="s">
        <v>43</v>
      </c>
      <c r="B25">
        <v>26</v>
      </c>
      <c r="C25" t="s">
        <v>44</v>
      </c>
      <c r="D25">
        <v>2019</v>
      </c>
      <c r="E25">
        <v>11</v>
      </c>
      <c r="F25">
        <v>24</v>
      </c>
      <c r="G25" t="s">
        <v>14</v>
      </c>
      <c r="H25" t="str">
        <f t="shared" si="3"/>
        <v>10</v>
      </c>
      <c r="I25" t="str">
        <f t="shared" si="4"/>
        <v>a</v>
      </c>
      <c r="J25" t="str">
        <f t="shared" si="5"/>
        <v>Line</v>
      </c>
      <c r="K25">
        <v>4637040.3439999996</v>
      </c>
      <c r="L25">
        <v>417007.92300000001</v>
      </c>
      <c r="M25">
        <v>1.9810000000000001</v>
      </c>
      <c r="N25" t="s">
        <v>8</v>
      </c>
    </row>
    <row r="26" spans="1:14" x14ac:dyDescent="0.35">
      <c r="A26" t="s">
        <v>43</v>
      </c>
      <c r="B26">
        <v>26</v>
      </c>
      <c r="C26" t="s">
        <v>44</v>
      </c>
      <c r="D26">
        <v>2019</v>
      </c>
      <c r="E26">
        <v>11</v>
      </c>
      <c r="F26">
        <v>25</v>
      </c>
      <c r="G26" t="s">
        <v>14</v>
      </c>
      <c r="H26" t="str">
        <f t="shared" si="3"/>
        <v>10</v>
      </c>
      <c r="I26" t="str">
        <f t="shared" si="4"/>
        <v>a</v>
      </c>
      <c r="J26" t="str">
        <f t="shared" si="5"/>
        <v>Line</v>
      </c>
      <c r="K26">
        <v>4637039.3810000001</v>
      </c>
      <c r="L26">
        <v>417016.00199999998</v>
      </c>
      <c r="M26">
        <v>1.94</v>
      </c>
      <c r="N26" t="s">
        <v>8</v>
      </c>
    </row>
    <row r="27" spans="1:14" x14ac:dyDescent="0.35">
      <c r="A27" t="s">
        <v>43</v>
      </c>
      <c r="B27">
        <v>26</v>
      </c>
      <c r="C27" t="s">
        <v>44</v>
      </c>
      <c r="D27">
        <v>2019</v>
      </c>
      <c r="E27">
        <v>11</v>
      </c>
      <c r="F27">
        <v>26</v>
      </c>
      <c r="G27" t="s">
        <v>14</v>
      </c>
      <c r="H27" t="str">
        <f t="shared" si="3"/>
        <v>10</v>
      </c>
      <c r="I27" t="str">
        <f t="shared" si="4"/>
        <v>a</v>
      </c>
      <c r="J27" t="str">
        <f t="shared" si="5"/>
        <v>Line</v>
      </c>
      <c r="K27">
        <v>4637040.8619999997</v>
      </c>
      <c r="L27">
        <v>417016.69900000002</v>
      </c>
      <c r="M27">
        <v>1.879</v>
      </c>
      <c r="N27" t="s">
        <v>8</v>
      </c>
    </row>
    <row r="28" spans="1:14" x14ac:dyDescent="0.35">
      <c r="A28" t="s">
        <v>43</v>
      </c>
      <c r="B28">
        <v>26</v>
      </c>
      <c r="C28" t="s">
        <v>44</v>
      </c>
      <c r="D28">
        <v>2019</v>
      </c>
      <c r="E28">
        <v>12</v>
      </c>
      <c r="F28">
        <v>27</v>
      </c>
      <c r="G28" t="s">
        <v>15</v>
      </c>
      <c r="H28" t="str">
        <f t="shared" si="3"/>
        <v>09</v>
      </c>
      <c r="I28" t="str">
        <f t="shared" si="4"/>
        <v>a</v>
      </c>
      <c r="J28" t="str">
        <f t="shared" si="5"/>
        <v>Line</v>
      </c>
      <c r="K28">
        <v>4637041.1040000003</v>
      </c>
      <c r="L28">
        <v>417018.00900000002</v>
      </c>
      <c r="M28">
        <v>1.883</v>
      </c>
      <c r="N28" t="s">
        <v>8</v>
      </c>
    </row>
    <row r="29" spans="1:14" x14ac:dyDescent="0.35">
      <c r="A29" t="s">
        <v>43</v>
      </c>
      <c r="B29">
        <v>26</v>
      </c>
      <c r="C29" t="s">
        <v>44</v>
      </c>
      <c r="D29">
        <v>2019</v>
      </c>
      <c r="E29">
        <v>12</v>
      </c>
      <c r="F29">
        <v>28</v>
      </c>
      <c r="G29" t="s">
        <v>15</v>
      </c>
      <c r="H29" t="str">
        <f t="shared" si="3"/>
        <v>09</v>
      </c>
      <c r="I29" t="str">
        <f t="shared" si="4"/>
        <v>a</v>
      </c>
      <c r="J29" t="str">
        <f t="shared" si="5"/>
        <v>Line</v>
      </c>
      <c r="K29">
        <v>4637041.3480000002</v>
      </c>
      <c r="L29">
        <v>417023.43199999997</v>
      </c>
      <c r="M29">
        <v>1.915</v>
      </c>
      <c r="N29" t="s">
        <v>8</v>
      </c>
    </row>
    <row r="30" spans="1:14" x14ac:dyDescent="0.35">
      <c r="A30" t="s">
        <v>43</v>
      </c>
      <c r="B30">
        <v>26</v>
      </c>
      <c r="C30" t="s">
        <v>44</v>
      </c>
      <c r="D30">
        <v>2019</v>
      </c>
      <c r="E30">
        <v>13</v>
      </c>
      <c r="F30">
        <v>29</v>
      </c>
      <c r="G30" t="s">
        <v>15</v>
      </c>
      <c r="H30" t="str">
        <f t="shared" si="3"/>
        <v>09</v>
      </c>
      <c r="I30" t="str">
        <f t="shared" si="4"/>
        <v>a</v>
      </c>
      <c r="J30" t="str">
        <f t="shared" si="5"/>
        <v>Line</v>
      </c>
      <c r="K30">
        <v>4637041.6509999996</v>
      </c>
      <c r="L30">
        <v>417028.73599999998</v>
      </c>
      <c r="M30">
        <v>1.9470000000000001</v>
      </c>
      <c r="N30" t="s">
        <v>8</v>
      </c>
    </row>
    <row r="31" spans="1:14" x14ac:dyDescent="0.35">
      <c r="A31" t="s">
        <v>43</v>
      </c>
      <c r="B31">
        <v>26</v>
      </c>
      <c r="C31" t="s">
        <v>44</v>
      </c>
      <c r="D31">
        <v>2019</v>
      </c>
      <c r="E31">
        <v>13</v>
      </c>
      <c r="F31">
        <v>30</v>
      </c>
      <c r="G31" t="s">
        <v>15</v>
      </c>
      <c r="H31" t="str">
        <f t="shared" si="3"/>
        <v>09</v>
      </c>
      <c r="I31" t="str">
        <f t="shared" si="4"/>
        <v>a</v>
      </c>
      <c r="J31" t="str">
        <f t="shared" si="5"/>
        <v>Line</v>
      </c>
      <c r="K31">
        <v>4637043.9610000001</v>
      </c>
      <c r="L31">
        <v>417032.64899999998</v>
      </c>
      <c r="M31">
        <v>1.8919999999999999</v>
      </c>
      <c r="N31" t="s">
        <v>8</v>
      </c>
    </row>
    <row r="32" spans="1:14" x14ac:dyDescent="0.35">
      <c r="A32" t="s">
        <v>43</v>
      </c>
      <c r="B32">
        <v>26</v>
      </c>
      <c r="C32" t="s">
        <v>44</v>
      </c>
      <c r="D32">
        <v>2019</v>
      </c>
      <c r="E32">
        <v>13</v>
      </c>
      <c r="F32">
        <v>31</v>
      </c>
      <c r="G32" t="s">
        <v>15</v>
      </c>
      <c r="H32" t="str">
        <f t="shared" si="3"/>
        <v>09</v>
      </c>
      <c r="I32" t="str">
        <f t="shared" si="4"/>
        <v>a</v>
      </c>
      <c r="J32" t="str">
        <f t="shared" si="5"/>
        <v>Line</v>
      </c>
      <c r="K32">
        <v>4637045.4000000004</v>
      </c>
      <c r="L32">
        <v>417037.07799999998</v>
      </c>
      <c r="M32">
        <v>1.903</v>
      </c>
      <c r="N32" t="s">
        <v>8</v>
      </c>
    </row>
    <row r="33" spans="1:14" x14ac:dyDescent="0.35">
      <c r="A33" t="s">
        <v>43</v>
      </c>
      <c r="B33">
        <v>26</v>
      </c>
      <c r="C33" t="s">
        <v>44</v>
      </c>
      <c r="D33">
        <v>2019</v>
      </c>
      <c r="E33">
        <v>14</v>
      </c>
      <c r="F33">
        <v>32</v>
      </c>
      <c r="G33">
        <v>32</v>
      </c>
      <c r="H33" t="str">
        <f t="shared" si="3"/>
        <v>32</v>
      </c>
      <c r="I33" t="str">
        <f t="shared" si="4"/>
        <v/>
      </c>
      <c r="J33" t="str">
        <f t="shared" si="5"/>
        <v>Line</v>
      </c>
      <c r="K33">
        <v>4637045.6689999998</v>
      </c>
      <c r="L33">
        <v>417038.17099999997</v>
      </c>
      <c r="M33">
        <v>1.8640000000000001</v>
      </c>
      <c r="N33" t="s">
        <v>8</v>
      </c>
    </row>
    <row r="34" spans="1:14" x14ac:dyDescent="0.35">
      <c r="A34" t="s">
        <v>43</v>
      </c>
      <c r="B34">
        <v>26</v>
      </c>
      <c r="C34" t="s">
        <v>44</v>
      </c>
      <c r="D34">
        <v>2019</v>
      </c>
      <c r="E34">
        <v>14</v>
      </c>
      <c r="F34">
        <v>33</v>
      </c>
      <c r="G34">
        <v>32</v>
      </c>
      <c r="H34" t="str">
        <f t="shared" si="3"/>
        <v>32</v>
      </c>
      <c r="I34" t="str">
        <f t="shared" si="4"/>
        <v/>
      </c>
      <c r="J34" t="str">
        <f t="shared" si="5"/>
        <v>Line</v>
      </c>
      <c r="K34">
        <v>4637046.9850000003</v>
      </c>
      <c r="L34">
        <v>417041.94500000001</v>
      </c>
      <c r="M34">
        <v>1.889</v>
      </c>
      <c r="N34" t="s">
        <v>8</v>
      </c>
    </row>
    <row r="35" spans="1:14" x14ac:dyDescent="0.35">
      <c r="A35" t="s">
        <v>43</v>
      </c>
      <c r="B35">
        <v>26</v>
      </c>
      <c r="C35" t="s">
        <v>44</v>
      </c>
      <c r="D35">
        <v>2019</v>
      </c>
      <c r="E35">
        <v>15</v>
      </c>
      <c r="F35">
        <v>34</v>
      </c>
      <c r="G35" t="s">
        <v>14</v>
      </c>
      <c r="H35" t="str">
        <f t="shared" si="3"/>
        <v>10</v>
      </c>
      <c r="I35" t="str">
        <f t="shared" si="4"/>
        <v>a</v>
      </c>
      <c r="J35" t="str">
        <f t="shared" si="5"/>
        <v>MU</v>
      </c>
      <c r="K35">
        <v>4637048.3370000003</v>
      </c>
      <c r="L35">
        <v>417041.83100000001</v>
      </c>
      <c r="M35">
        <v>1.804</v>
      </c>
      <c r="N35" t="s">
        <v>11</v>
      </c>
    </row>
    <row r="36" spans="1:14" x14ac:dyDescent="0.35">
      <c r="A36" t="s">
        <v>43</v>
      </c>
      <c r="B36">
        <v>26</v>
      </c>
      <c r="C36" t="s">
        <v>44</v>
      </c>
      <c r="D36">
        <v>2019</v>
      </c>
      <c r="E36">
        <v>16</v>
      </c>
      <c r="F36">
        <v>35</v>
      </c>
      <c r="G36" t="s">
        <v>10</v>
      </c>
      <c r="H36" t="str">
        <f t="shared" si="3"/>
        <v>03</v>
      </c>
      <c r="I36" t="str">
        <f t="shared" si="4"/>
        <v>a</v>
      </c>
      <c r="J36" t="str">
        <f t="shared" si="5"/>
        <v>Line</v>
      </c>
      <c r="K36">
        <v>4637049.5250000004</v>
      </c>
      <c r="L36">
        <v>417041.60600000003</v>
      </c>
      <c r="M36">
        <v>1.6259999999999999</v>
      </c>
      <c r="N36" t="s">
        <v>8</v>
      </c>
    </row>
    <row r="37" spans="1:14" x14ac:dyDescent="0.35">
      <c r="A37" t="s">
        <v>43</v>
      </c>
      <c r="B37">
        <v>26</v>
      </c>
      <c r="C37" t="s">
        <v>44</v>
      </c>
      <c r="D37">
        <v>2019</v>
      </c>
      <c r="E37">
        <v>16</v>
      </c>
      <c r="F37">
        <v>36</v>
      </c>
      <c r="G37" t="s">
        <v>10</v>
      </c>
      <c r="H37" t="str">
        <f t="shared" si="3"/>
        <v>03</v>
      </c>
      <c r="I37" t="str">
        <f t="shared" si="4"/>
        <v>a</v>
      </c>
      <c r="J37" t="str">
        <f t="shared" si="5"/>
        <v>Line</v>
      </c>
      <c r="K37">
        <v>4637056.0630000001</v>
      </c>
      <c r="L37">
        <v>417048.43800000002</v>
      </c>
      <c r="M37">
        <v>1.6140000000000001</v>
      </c>
      <c r="N37" t="s">
        <v>8</v>
      </c>
    </row>
    <row r="38" spans="1:14" x14ac:dyDescent="0.35">
      <c r="A38" t="s">
        <v>43</v>
      </c>
      <c r="B38">
        <v>26</v>
      </c>
      <c r="C38" t="s">
        <v>44</v>
      </c>
      <c r="D38">
        <v>2019</v>
      </c>
      <c r="E38">
        <v>16</v>
      </c>
      <c r="F38">
        <v>37</v>
      </c>
      <c r="G38" t="s">
        <v>10</v>
      </c>
      <c r="H38" t="str">
        <f t="shared" si="3"/>
        <v>03</v>
      </c>
      <c r="I38" t="str">
        <f t="shared" si="4"/>
        <v>a</v>
      </c>
      <c r="J38" t="str">
        <f t="shared" si="5"/>
        <v>Line</v>
      </c>
      <c r="K38">
        <v>4637053.18</v>
      </c>
      <c r="L38">
        <v>417060.90899999999</v>
      </c>
      <c r="M38">
        <v>1.744</v>
      </c>
      <c r="N38" t="s">
        <v>8</v>
      </c>
    </row>
    <row r="39" spans="1:14" x14ac:dyDescent="0.35">
      <c r="A39" t="s">
        <v>43</v>
      </c>
      <c r="B39">
        <v>26</v>
      </c>
      <c r="C39" t="s">
        <v>44</v>
      </c>
      <c r="D39">
        <v>2019</v>
      </c>
      <c r="E39">
        <v>17</v>
      </c>
      <c r="F39">
        <v>38</v>
      </c>
      <c r="G39" t="s">
        <v>14</v>
      </c>
      <c r="H39" t="str">
        <f t="shared" si="3"/>
        <v>10</v>
      </c>
      <c r="I39" t="str">
        <f t="shared" si="4"/>
        <v>a</v>
      </c>
      <c r="J39" t="str">
        <f t="shared" si="5"/>
        <v>MU</v>
      </c>
      <c r="K39">
        <v>4637052.3770000003</v>
      </c>
      <c r="L39">
        <v>417062.03100000002</v>
      </c>
      <c r="M39">
        <v>1.782</v>
      </c>
      <c r="N39" t="s">
        <v>11</v>
      </c>
    </row>
    <row r="40" spans="1:14" x14ac:dyDescent="0.35">
      <c r="A40" t="s">
        <v>43</v>
      </c>
      <c r="B40">
        <v>26</v>
      </c>
      <c r="C40" t="s">
        <v>44</v>
      </c>
      <c r="D40">
        <v>2019</v>
      </c>
      <c r="E40">
        <v>18</v>
      </c>
      <c r="F40">
        <v>39</v>
      </c>
      <c r="G40" t="s">
        <v>15</v>
      </c>
      <c r="H40" t="str">
        <f t="shared" si="3"/>
        <v>09</v>
      </c>
      <c r="I40" t="str">
        <f t="shared" si="4"/>
        <v>a</v>
      </c>
      <c r="J40" t="str">
        <f t="shared" si="5"/>
        <v>MU</v>
      </c>
      <c r="K40">
        <v>4637051.2589999996</v>
      </c>
      <c r="L40">
        <v>417063.30599999998</v>
      </c>
      <c r="M40">
        <v>1.879</v>
      </c>
      <c r="N40" t="s">
        <v>11</v>
      </c>
    </row>
    <row r="41" spans="1:14" x14ac:dyDescent="0.35">
      <c r="A41" t="s">
        <v>43</v>
      </c>
      <c r="B41">
        <v>26</v>
      </c>
      <c r="C41" t="s">
        <v>44</v>
      </c>
      <c r="D41">
        <v>2019</v>
      </c>
      <c r="E41">
        <v>19</v>
      </c>
      <c r="F41">
        <v>40</v>
      </c>
      <c r="G41" t="s">
        <v>7</v>
      </c>
      <c r="H41" t="str">
        <f t="shared" si="3"/>
        <v>05</v>
      </c>
      <c r="I41" t="str">
        <f t="shared" si="4"/>
        <v>a</v>
      </c>
      <c r="J41" t="str">
        <f t="shared" si="5"/>
        <v>Line</v>
      </c>
      <c r="K41">
        <v>4637074.99</v>
      </c>
      <c r="L41">
        <v>416926.217</v>
      </c>
      <c r="M41">
        <v>1.585</v>
      </c>
      <c r="N41" t="s">
        <v>8</v>
      </c>
    </row>
    <row r="42" spans="1:14" x14ac:dyDescent="0.35">
      <c r="A42" t="s">
        <v>43</v>
      </c>
      <c r="B42">
        <v>26</v>
      </c>
      <c r="C42" t="s">
        <v>44</v>
      </c>
      <c r="D42">
        <v>2019</v>
      </c>
      <c r="E42">
        <v>19</v>
      </c>
      <c r="F42">
        <v>41</v>
      </c>
      <c r="G42" t="s">
        <v>7</v>
      </c>
      <c r="H42" t="str">
        <f t="shared" si="3"/>
        <v>05</v>
      </c>
      <c r="I42" t="str">
        <f t="shared" si="4"/>
        <v>a</v>
      </c>
      <c r="J42" t="str">
        <f t="shared" si="5"/>
        <v>Line</v>
      </c>
      <c r="K42">
        <v>4637081.8459999999</v>
      </c>
      <c r="L42">
        <v>416934.34499999997</v>
      </c>
      <c r="M42">
        <v>1.649</v>
      </c>
      <c r="N42" t="s">
        <v>8</v>
      </c>
    </row>
    <row r="43" spans="1:14" x14ac:dyDescent="0.35">
      <c r="A43" t="s">
        <v>43</v>
      </c>
      <c r="B43">
        <v>26</v>
      </c>
      <c r="C43" t="s">
        <v>44</v>
      </c>
      <c r="D43">
        <v>2019</v>
      </c>
      <c r="E43">
        <v>19</v>
      </c>
      <c r="F43">
        <v>42</v>
      </c>
      <c r="G43" t="s">
        <v>7</v>
      </c>
      <c r="H43" t="str">
        <f t="shared" si="3"/>
        <v>05</v>
      </c>
      <c r="I43" t="str">
        <f t="shared" si="4"/>
        <v>a</v>
      </c>
      <c r="J43" t="str">
        <f t="shared" si="5"/>
        <v>Line</v>
      </c>
      <c r="K43">
        <v>4637082.82</v>
      </c>
      <c r="L43">
        <v>416938.51899999997</v>
      </c>
      <c r="M43">
        <v>1.645</v>
      </c>
      <c r="N43" t="s">
        <v>8</v>
      </c>
    </row>
    <row r="44" spans="1:14" x14ac:dyDescent="0.35">
      <c r="A44" t="s">
        <v>43</v>
      </c>
      <c r="B44">
        <v>26</v>
      </c>
      <c r="C44" t="s">
        <v>44</v>
      </c>
      <c r="D44">
        <v>2019</v>
      </c>
      <c r="E44">
        <v>20</v>
      </c>
      <c r="F44">
        <v>43</v>
      </c>
      <c r="G44" t="s">
        <v>10</v>
      </c>
      <c r="H44" t="str">
        <f t="shared" si="3"/>
        <v>03</v>
      </c>
      <c r="I44" t="str">
        <f t="shared" si="4"/>
        <v>a</v>
      </c>
      <c r="J44" t="str">
        <f t="shared" si="5"/>
        <v>Line</v>
      </c>
      <c r="K44">
        <v>4637081.8039999995</v>
      </c>
      <c r="L44">
        <v>416939.217</v>
      </c>
      <c r="M44">
        <v>1.6479999999999999</v>
      </c>
      <c r="N44" t="s">
        <v>8</v>
      </c>
    </row>
    <row r="45" spans="1:14" x14ac:dyDescent="0.35">
      <c r="A45" t="s">
        <v>43</v>
      </c>
      <c r="B45">
        <v>26</v>
      </c>
      <c r="C45" t="s">
        <v>44</v>
      </c>
      <c r="D45">
        <v>2019</v>
      </c>
      <c r="E45">
        <v>20</v>
      </c>
      <c r="F45">
        <v>44</v>
      </c>
      <c r="G45" t="s">
        <v>10</v>
      </c>
      <c r="H45" t="str">
        <f t="shared" si="3"/>
        <v>03</v>
      </c>
      <c r="I45" t="str">
        <f t="shared" si="4"/>
        <v>a</v>
      </c>
      <c r="J45" t="str">
        <f t="shared" si="5"/>
        <v>Line</v>
      </c>
      <c r="K45">
        <v>4637080.9029999999</v>
      </c>
      <c r="L45">
        <v>416940.91800000001</v>
      </c>
      <c r="M45">
        <v>1.62</v>
      </c>
      <c r="N45" t="s">
        <v>8</v>
      </c>
    </row>
    <row r="46" spans="1:14" x14ac:dyDescent="0.35">
      <c r="A46" t="s">
        <v>43</v>
      </c>
      <c r="B46">
        <v>26</v>
      </c>
      <c r="C46" t="s">
        <v>44</v>
      </c>
      <c r="D46">
        <v>2019</v>
      </c>
      <c r="E46">
        <v>21</v>
      </c>
      <c r="F46">
        <v>45</v>
      </c>
      <c r="G46" t="s">
        <v>16</v>
      </c>
      <c r="H46" t="str">
        <f t="shared" si="3"/>
        <v>03</v>
      </c>
      <c r="I46" t="str">
        <f t="shared" si="4"/>
        <v>aj</v>
      </c>
      <c r="J46" t="str">
        <f t="shared" si="5"/>
        <v>MU</v>
      </c>
      <c r="K46">
        <v>4637081.5350000001</v>
      </c>
      <c r="L46">
        <v>416941.88900000002</v>
      </c>
      <c r="M46">
        <v>1.62</v>
      </c>
      <c r="N46" t="s">
        <v>11</v>
      </c>
    </row>
    <row r="47" spans="1:14" x14ac:dyDescent="0.35">
      <c r="A47" t="s">
        <v>43</v>
      </c>
      <c r="B47">
        <v>26</v>
      </c>
      <c r="C47" t="s">
        <v>44</v>
      </c>
      <c r="D47">
        <v>2019</v>
      </c>
      <c r="E47">
        <v>22</v>
      </c>
      <c r="F47">
        <v>46</v>
      </c>
      <c r="G47" t="s">
        <v>7</v>
      </c>
      <c r="H47" t="str">
        <f t="shared" si="3"/>
        <v>05</v>
      </c>
      <c r="I47" t="str">
        <f t="shared" si="4"/>
        <v>a</v>
      </c>
      <c r="J47" t="str">
        <f t="shared" si="5"/>
        <v>MU</v>
      </c>
      <c r="K47">
        <v>4637155.2759999996</v>
      </c>
      <c r="L47">
        <v>416976.08500000002</v>
      </c>
      <c r="M47">
        <v>1.629</v>
      </c>
      <c r="N47" t="s">
        <v>11</v>
      </c>
    </row>
    <row r="48" spans="1:14" x14ac:dyDescent="0.35">
      <c r="A48" t="s">
        <v>43</v>
      </c>
      <c r="B48">
        <v>26</v>
      </c>
      <c r="C48" t="s">
        <v>44</v>
      </c>
      <c r="D48">
        <v>2019</v>
      </c>
      <c r="E48">
        <v>23</v>
      </c>
      <c r="F48">
        <v>47</v>
      </c>
      <c r="G48" t="s">
        <v>7</v>
      </c>
      <c r="H48" t="str">
        <f t="shared" si="3"/>
        <v>05</v>
      </c>
      <c r="I48" t="str">
        <f t="shared" si="4"/>
        <v>a</v>
      </c>
      <c r="J48" t="str">
        <f t="shared" si="5"/>
        <v>MU</v>
      </c>
      <c r="K48">
        <v>4637160.0010000002</v>
      </c>
      <c r="L48">
        <v>416979.07199999999</v>
      </c>
      <c r="M48">
        <v>1.615</v>
      </c>
      <c r="N48" t="s">
        <v>11</v>
      </c>
    </row>
    <row r="49" spans="1:14" x14ac:dyDescent="0.35">
      <c r="A49" t="s">
        <v>43</v>
      </c>
      <c r="B49">
        <v>26</v>
      </c>
      <c r="C49" t="s">
        <v>44</v>
      </c>
      <c r="D49">
        <v>2019</v>
      </c>
      <c r="E49">
        <v>34</v>
      </c>
      <c r="F49">
        <v>48</v>
      </c>
      <c r="G49" t="s">
        <v>9</v>
      </c>
      <c r="H49" t="str">
        <f t="shared" si="3"/>
        <v>04</v>
      </c>
      <c r="I49" t="str">
        <f t="shared" si="4"/>
        <v>a</v>
      </c>
      <c r="J49" t="str">
        <f t="shared" si="5"/>
        <v>Line</v>
      </c>
      <c r="K49">
        <v>4637161.1610000003</v>
      </c>
      <c r="L49">
        <v>416980.21799999999</v>
      </c>
      <c r="M49">
        <v>1.65</v>
      </c>
      <c r="N49" t="s">
        <v>8</v>
      </c>
    </row>
    <row r="50" spans="1:14" x14ac:dyDescent="0.35">
      <c r="A50" t="s">
        <v>43</v>
      </c>
      <c r="B50">
        <v>26</v>
      </c>
      <c r="C50" t="s">
        <v>44</v>
      </c>
      <c r="D50">
        <v>2019</v>
      </c>
      <c r="E50">
        <v>34</v>
      </c>
      <c r="F50">
        <v>49</v>
      </c>
      <c r="G50" t="s">
        <v>9</v>
      </c>
      <c r="H50" t="str">
        <f t="shared" si="3"/>
        <v>04</v>
      </c>
      <c r="I50" t="str">
        <f t="shared" si="4"/>
        <v>a</v>
      </c>
      <c r="J50" t="str">
        <f t="shared" si="5"/>
        <v>Line</v>
      </c>
      <c r="K50">
        <v>4637166.3530000001</v>
      </c>
      <c r="L50">
        <v>416986.43800000002</v>
      </c>
      <c r="M50">
        <v>1.5940000000000001</v>
      </c>
      <c r="N50" t="s">
        <v>8</v>
      </c>
    </row>
    <row r="51" spans="1:14" x14ac:dyDescent="0.35">
      <c r="A51" t="s">
        <v>43</v>
      </c>
      <c r="B51">
        <v>26</v>
      </c>
      <c r="C51" t="s">
        <v>44</v>
      </c>
      <c r="D51">
        <v>2019</v>
      </c>
      <c r="E51">
        <v>34</v>
      </c>
      <c r="F51">
        <v>50</v>
      </c>
      <c r="G51" t="s">
        <v>9</v>
      </c>
      <c r="H51" t="str">
        <f t="shared" si="3"/>
        <v>04</v>
      </c>
      <c r="I51" t="str">
        <f t="shared" si="4"/>
        <v>a</v>
      </c>
      <c r="J51" t="str">
        <f t="shared" si="5"/>
        <v>Line</v>
      </c>
      <c r="K51">
        <v>4637168.392</v>
      </c>
      <c r="L51">
        <v>416983.82</v>
      </c>
      <c r="M51">
        <v>1.597</v>
      </c>
      <c r="N51" t="s">
        <v>8</v>
      </c>
    </row>
    <row r="52" spans="1:14" x14ac:dyDescent="0.35">
      <c r="A52" t="s">
        <v>43</v>
      </c>
      <c r="B52">
        <v>26</v>
      </c>
      <c r="C52" t="s">
        <v>44</v>
      </c>
      <c r="D52">
        <v>2019</v>
      </c>
      <c r="E52">
        <v>35</v>
      </c>
      <c r="F52">
        <v>51</v>
      </c>
      <c r="G52" t="s">
        <v>15</v>
      </c>
      <c r="H52" t="str">
        <f t="shared" si="3"/>
        <v>09</v>
      </c>
      <c r="I52" t="str">
        <f t="shared" si="4"/>
        <v>a</v>
      </c>
      <c r="J52" t="str">
        <f t="shared" si="5"/>
        <v>Line</v>
      </c>
      <c r="K52">
        <v>4637168.3210000005</v>
      </c>
      <c r="L52">
        <v>416982.34</v>
      </c>
      <c r="M52">
        <v>1.6479999999999999</v>
      </c>
      <c r="N52" t="s">
        <v>8</v>
      </c>
    </row>
    <row r="53" spans="1:14" x14ac:dyDescent="0.35">
      <c r="A53" t="s">
        <v>43</v>
      </c>
      <c r="B53">
        <v>26</v>
      </c>
      <c r="C53" t="s">
        <v>44</v>
      </c>
      <c r="D53">
        <v>2019</v>
      </c>
      <c r="E53">
        <v>35</v>
      </c>
      <c r="F53">
        <v>52</v>
      </c>
      <c r="G53" t="s">
        <v>15</v>
      </c>
      <c r="H53" t="str">
        <f t="shared" si="3"/>
        <v>09</v>
      </c>
      <c r="I53" t="str">
        <f t="shared" si="4"/>
        <v>a</v>
      </c>
      <c r="J53" t="str">
        <f t="shared" si="5"/>
        <v>Line</v>
      </c>
      <c r="K53">
        <v>4637162.091</v>
      </c>
      <c r="L53">
        <v>416977.36300000001</v>
      </c>
      <c r="M53">
        <v>1.754</v>
      </c>
      <c r="N53" t="s">
        <v>8</v>
      </c>
    </row>
    <row r="54" spans="1:14" x14ac:dyDescent="0.35">
      <c r="A54" t="s">
        <v>43</v>
      </c>
      <c r="B54">
        <v>26</v>
      </c>
      <c r="C54" t="s">
        <v>44</v>
      </c>
      <c r="D54">
        <v>2019</v>
      </c>
      <c r="E54">
        <v>36</v>
      </c>
      <c r="F54">
        <v>53</v>
      </c>
      <c r="G54" t="s">
        <v>17</v>
      </c>
      <c r="H54" t="str">
        <f t="shared" si="3"/>
        <v>01</v>
      </c>
      <c r="I54" t="str">
        <f t="shared" si="4"/>
        <v>a</v>
      </c>
      <c r="J54" t="str">
        <f t="shared" si="5"/>
        <v>Line</v>
      </c>
      <c r="K54">
        <v>4637348.9110000003</v>
      </c>
      <c r="L54">
        <v>417022.299</v>
      </c>
      <c r="M54">
        <v>1.2310000000000001</v>
      </c>
      <c r="N54" t="s">
        <v>8</v>
      </c>
    </row>
    <row r="55" spans="1:14" x14ac:dyDescent="0.35">
      <c r="A55" t="s">
        <v>43</v>
      </c>
      <c r="B55">
        <v>26</v>
      </c>
      <c r="C55" t="s">
        <v>44</v>
      </c>
      <c r="D55">
        <v>2019</v>
      </c>
      <c r="E55">
        <v>36</v>
      </c>
      <c r="F55">
        <v>54</v>
      </c>
      <c r="G55" t="s">
        <v>17</v>
      </c>
      <c r="H55" t="str">
        <f t="shared" si="3"/>
        <v>01</v>
      </c>
      <c r="I55" t="str">
        <f t="shared" si="4"/>
        <v>a</v>
      </c>
      <c r="J55" t="str">
        <f t="shared" si="5"/>
        <v>Line</v>
      </c>
      <c r="K55">
        <v>4637348.1469999999</v>
      </c>
      <c r="L55">
        <v>417034.42099999997</v>
      </c>
      <c r="M55">
        <v>1.163</v>
      </c>
      <c r="N55" t="s">
        <v>8</v>
      </c>
    </row>
    <row r="56" spans="1:14" x14ac:dyDescent="0.35">
      <c r="A56" t="s">
        <v>43</v>
      </c>
      <c r="B56">
        <v>26</v>
      </c>
      <c r="C56" t="s">
        <v>44</v>
      </c>
      <c r="D56">
        <v>2019</v>
      </c>
      <c r="E56">
        <v>36</v>
      </c>
      <c r="F56">
        <v>55</v>
      </c>
      <c r="G56" t="s">
        <v>17</v>
      </c>
      <c r="H56" t="str">
        <f t="shared" si="3"/>
        <v>01</v>
      </c>
      <c r="I56" t="str">
        <f t="shared" si="4"/>
        <v>a</v>
      </c>
      <c r="J56" t="str">
        <f t="shared" si="5"/>
        <v>Line</v>
      </c>
      <c r="K56">
        <v>4637348.7259999998</v>
      </c>
      <c r="L56">
        <v>417037.88699999999</v>
      </c>
      <c r="M56">
        <v>1.141</v>
      </c>
      <c r="N56" t="s">
        <v>8</v>
      </c>
    </row>
    <row r="57" spans="1:14" x14ac:dyDescent="0.35">
      <c r="A57" t="s">
        <v>43</v>
      </c>
      <c r="B57">
        <v>26</v>
      </c>
      <c r="C57" t="s">
        <v>44</v>
      </c>
      <c r="D57">
        <v>2019</v>
      </c>
      <c r="E57">
        <v>36</v>
      </c>
      <c r="F57">
        <v>56</v>
      </c>
      <c r="G57" t="s">
        <v>17</v>
      </c>
      <c r="H57" t="str">
        <f t="shared" si="3"/>
        <v>01</v>
      </c>
      <c r="I57" t="str">
        <f t="shared" si="4"/>
        <v>a</v>
      </c>
      <c r="J57" t="str">
        <f t="shared" si="5"/>
        <v>Line</v>
      </c>
      <c r="K57">
        <v>4637351.0530000003</v>
      </c>
      <c r="L57">
        <v>417045.239</v>
      </c>
      <c r="M57">
        <v>0.999</v>
      </c>
      <c r="N57" t="s">
        <v>8</v>
      </c>
    </row>
    <row r="58" spans="1:14" x14ac:dyDescent="0.35">
      <c r="A58" t="s">
        <v>43</v>
      </c>
      <c r="B58">
        <v>26</v>
      </c>
      <c r="C58" t="s">
        <v>44</v>
      </c>
      <c r="D58">
        <v>2019</v>
      </c>
      <c r="E58">
        <v>36</v>
      </c>
      <c r="F58">
        <v>57</v>
      </c>
      <c r="G58" t="s">
        <v>17</v>
      </c>
      <c r="H58" t="str">
        <f t="shared" si="3"/>
        <v>01</v>
      </c>
      <c r="I58" t="str">
        <f t="shared" si="4"/>
        <v>a</v>
      </c>
      <c r="J58" t="str">
        <f t="shared" si="5"/>
        <v>Line</v>
      </c>
      <c r="K58">
        <v>4637350.3990000002</v>
      </c>
      <c r="L58">
        <v>417047.88699999999</v>
      </c>
      <c r="M58">
        <v>0.82</v>
      </c>
      <c r="N58" t="s">
        <v>8</v>
      </c>
    </row>
    <row r="59" spans="1:14" x14ac:dyDescent="0.35">
      <c r="A59" t="s">
        <v>43</v>
      </c>
      <c r="B59">
        <v>26</v>
      </c>
      <c r="C59" t="s">
        <v>44</v>
      </c>
      <c r="D59">
        <v>2019</v>
      </c>
      <c r="E59">
        <v>37</v>
      </c>
      <c r="F59">
        <v>58</v>
      </c>
      <c r="G59" t="s">
        <v>18</v>
      </c>
      <c r="H59" t="str">
        <f t="shared" si="3"/>
        <v>01</v>
      </c>
      <c r="I59" t="str">
        <f t="shared" si="4"/>
        <v>bf</v>
      </c>
      <c r="J59" t="str">
        <f t="shared" si="5"/>
        <v>MU</v>
      </c>
      <c r="K59">
        <v>4637349.4289999995</v>
      </c>
      <c r="L59">
        <v>417049.24200000003</v>
      </c>
      <c r="M59">
        <v>0.79700000000000004</v>
      </c>
      <c r="N59" t="s">
        <v>11</v>
      </c>
    </row>
    <row r="60" spans="1:14" x14ac:dyDescent="0.35">
      <c r="A60" t="s">
        <v>43</v>
      </c>
      <c r="B60">
        <v>26</v>
      </c>
      <c r="C60" t="s">
        <v>44</v>
      </c>
      <c r="D60">
        <v>2019</v>
      </c>
      <c r="E60">
        <v>38</v>
      </c>
      <c r="F60">
        <v>59</v>
      </c>
      <c r="G60" t="s">
        <v>17</v>
      </c>
      <c r="H60" t="str">
        <f t="shared" si="3"/>
        <v>01</v>
      </c>
      <c r="I60" t="str">
        <f t="shared" si="4"/>
        <v>a</v>
      </c>
      <c r="J60" t="str">
        <f t="shared" si="5"/>
        <v>MU</v>
      </c>
      <c r="K60">
        <v>4637348.409</v>
      </c>
      <c r="L60">
        <v>417048.44400000002</v>
      </c>
      <c r="M60">
        <v>0.94799999999999995</v>
      </c>
      <c r="N60" t="s">
        <v>11</v>
      </c>
    </row>
    <row r="61" spans="1:14" x14ac:dyDescent="0.35">
      <c r="A61" t="s">
        <v>43</v>
      </c>
      <c r="B61">
        <v>26</v>
      </c>
      <c r="C61" t="s">
        <v>44</v>
      </c>
      <c r="D61">
        <v>2019</v>
      </c>
      <c r="E61">
        <v>39</v>
      </c>
      <c r="F61">
        <v>60</v>
      </c>
      <c r="G61" t="s">
        <v>19</v>
      </c>
      <c r="H61" t="str">
        <f t="shared" si="3"/>
        <v>02</v>
      </c>
      <c r="I61" t="str">
        <f t="shared" si="4"/>
        <v>a</v>
      </c>
      <c r="J61" t="str">
        <f t="shared" si="5"/>
        <v>Line</v>
      </c>
      <c r="K61">
        <v>4637347.8969999999</v>
      </c>
      <c r="L61">
        <v>417047.08299999998</v>
      </c>
      <c r="M61">
        <v>1.085</v>
      </c>
      <c r="N61" t="s">
        <v>8</v>
      </c>
    </row>
    <row r="62" spans="1:14" x14ac:dyDescent="0.35">
      <c r="A62" t="s">
        <v>43</v>
      </c>
      <c r="B62">
        <v>26</v>
      </c>
      <c r="C62" t="s">
        <v>44</v>
      </c>
      <c r="D62">
        <v>2019</v>
      </c>
      <c r="E62">
        <v>39</v>
      </c>
      <c r="F62">
        <v>61</v>
      </c>
      <c r="G62" t="s">
        <v>19</v>
      </c>
      <c r="H62" t="str">
        <f t="shared" si="3"/>
        <v>02</v>
      </c>
      <c r="I62" t="str">
        <f t="shared" si="4"/>
        <v>a</v>
      </c>
      <c r="J62" t="str">
        <f t="shared" si="5"/>
        <v>Line</v>
      </c>
      <c r="K62">
        <v>4637345.3210000005</v>
      </c>
      <c r="L62">
        <v>417046.36499999999</v>
      </c>
      <c r="M62">
        <v>1.278</v>
      </c>
      <c r="N62" t="s">
        <v>8</v>
      </c>
    </row>
    <row r="63" spans="1:14" x14ac:dyDescent="0.35">
      <c r="A63" t="s">
        <v>43</v>
      </c>
      <c r="B63">
        <v>26</v>
      </c>
      <c r="C63" t="s">
        <v>44</v>
      </c>
      <c r="D63">
        <v>2019</v>
      </c>
      <c r="E63">
        <v>40</v>
      </c>
      <c r="F63">
        <v>62</v>
      </c>
      <c r="G63" t="s">
        <v>12</v>
      </c>
      <c r="H63" t="str">
        <f t="shared" si="3"/>
        <v>06</v>
      </c>
      <c r="I63" t="str">
        <f t="shared" si="4"/>
        <v>a</v>
      </c>
      <c r="J63" t="str">
        <f t="shared" si="5"/>
        <v>MU</v>
      </c>
      <c r="K63">
        <v>4637343.8640000001</v>
      </c>
      <c r="L63">
        <v>417046.22100000002</v>
      </c>
      <c r="M63">
        <v>1.323</v>
      </c>
      <c r="N63" t="s">
        <v>11</v>
      </c>
    </row>
    <row r="64" spans="1:14" x14ac:dyDescent="0.35">
      <c r="A64" t="s">
        <v>43</v>
      </c>
      <c r="B64">
        <v>26</v>
      </c>
      <c r="C64" t="s">
        <v>44</v>
      </c>
      <c r="D64">
        <v>2019</v>
      </c>
      <c r="E64">
        <v>41</v>
      </c>
      <c r="F64">
        <v>63</v>
      </c>
      <c r="G64" t="s">
        <v>20</v>
      </c>
      <c r="H64" t="str">
        <f t="shared" si="3"/>
        <v>01</v>
      </c>
      <c r="I64" t="str">
        <f t="shared" si="4"/>
        <v>aef</v>
      </c>
      <c r="J64" t="str">
        <f t="shared" si="5"/>
        <v>MU</v>
      </c>
      <c r="K64">
        <v>4637341.8990000002</v>
      </c>
      <c r="L64">
        <v>417050.25599999999</v>
      </c>
      <c r="M64">
        <v>1.2549999999999999</v>
      </c>
      <c r="N64" t="s">
        <v>11</v>
      </c>
    </row>
    <row r="65" spans="1:14" x14ac:dyDescent="0.35">
      <c r="A65" t="s">
        <v>43</v>
      </c>
      <c r="B65">
        <v>26</v>
      </c>
      <c r="C65" t="s">
        <v>44</v>
      </c>
      <c r="D65">
        <v>2019</v>
      </c>
      <c r="E65">
        <v>42</v>
      </c>
      <c r="F65">
        <v>64</v>
      </c>
      <c r="G65" t="s">
        <v>21</v>
      </c>
      <c r="H65" t="str">
        <f t="shared" si="3"/>
        <v>01</v>
      </c>
      <c r="I65" t="str">
        <f t="shared" si="4"/>
        <v>af</v>
      </c>
      <c r="J65" t="str">
        <f t="shared" si="5"/>
        <v>MU</v>
      </c>
      <c r="K65">
        <v>4637340.9519999996</v>
      </c>
      <c r="L65">
        <v>417050.96500000003</v>
      </c>
      <c r="M65">
        <v>1.274</v>
      </c>
      <c r="N65" t="s">
        <v>11</v>
      </c>
    </row>
    <row r="66" spans="1:14" x14ac:dyDescent="0.35">
      <c r="A66" t="s">
        <v>43</v>
      </c>
      <c r="B66">
        <v>26</v>
      </c>
      <c r="C66" t="s">
        <v>44</v>
      </c>
      <c r="D66">
        <v>2019</v>
      </c>
      <c r="E66">
        <v>43</v>
      </c>
      <c r="F66">
        <v>65</v>
      </c>
      <c r="G66" t="s">
        <v>22</v>
      </c>
      <c r="H66" t="str">
        <f t="shared" si="3"/>
        <v>01</v>
      </c>
      <c r="I66" t="str">
        <f t="shared" si="4"/>
        <v>bef</v>
      </c>
      <c r="J66" t="str">
        <f t="shared" si="5"/>
        <v>Line</v>
      </c>
      <c r="K66">
        <v>4637339.773</v>
      </c>
      <c r="L66">
        <v>417051.54399999999</v>
      </c>
      <c r="M66">
        <v>1.294</v>
      </c>
      <c r="N66" t="s">
        <v>8</v>
      </c>
    </row>
    <row r="67" spans="1:14" x14ac:dyDescent="0.35">
      <c r="A67" t="s">
        <v>43</v>
      </c>
      <c r="B67">
        <v>26</v>
      </c>
      <c r="C67" t="s">
        <v>44</v>
      </c>
      <c r="D67">
        <v>2019</v>
      </c>
      <c r="E67">
        <v>43</v>
      </c>
      <c r="F67">
        <v>66</v>
      </c>
      <c r="G67" t="s">
        <v>22</v>
      </c>
      <c r="H67" t="str">
        <f t="shared" ref="H67:H130" si="6">LEFT(G67,2)</f>
        <v>01</v>
      </c>
      <c r="I67" t="str">
        <f t="shared" ref="I67:I130" si="7">RIGHT(G67,LEN(G67)-LEN(H67))</f>
        <v>bef</v>
      </c>
      <c r="J67" t="str">
        <f t="shared" ref="J67:J130" si="8">IF(OR((E67=E68),(E67=E66)),"Line","MU")</f>
        <v>Line</v>
      </c>
      <c r="K67">
        <v>4637336.9570000004</v>
      </c>
      <c r="L67">
        <v>417053.69799999997</v>
      </c>
      <c r="M67">
        <v>1.2809999999999999</v>
      </c>
      <c r="N67" t="s">
        <v>8</v>
      </c>
    </row>
    <row r="68" spans="1:14" x14ac:dyDescent="0.35">
      <c r="A68" t="s">
        <v>43</v>
      </c>
      <c r="B68">
        <v>26</v>
      </c>
      <c r="C68" t="s">
        <v>44</v>
      </c>
      <c r="D68">
        <v>2019</v>
      </c>
      <c r="E68">
        <v>44</v>
      </c>
      <c r="F68">
        <v>67</v>
      </c>
      <c r="G68" t="s">
        <v>23</v>
      </c>
      <c r="H68" t="str">
        <f t="shared" si="6"/>
        <v>33</v>
      </c>
      <c r="I68" t="str">
        <f t="shared" si="7"/>
        <v>ef</v>
      </c>
      <c r="J68" t="str">
        <f t="shared" si="8"/>
        <v>Line</v>
      </c>
      <c r="K68">
        <v>4637335.9160000002</v>
      </c>
      <c r="L68">
        <v>417053.97899999999</v>
      </c>
      <c r="M68">
        <v>1.254</v>
      </c>
      <c r="N68" t="s">
        <v>8</v>
      </c>
    </row>
    <row r="69" spans="1:14" x14ac:dyDescent="0.35">
      <c r="A69" t="s">
        <v>43</v>
      </c>
      <c r="B69">
        <v>26</v>
      </c>
      <c r="C69" t="s">
        <v>44</v>
      </c>
      <c r="D69">
        <v>2019</v>
      </c>
      <c r="E69">
        <v>44</v>
      </c>
      <c r="F69">
        <v>68</v>
      </c>
      <c r="G69" t="s">
        <v>23</v>
      </c>
      <c r="H69" t="str">
        <f t="shared" si="6"/>
        <v>33</v>
      </c>
      <c r="I69" t="str">
        <f t="shared" si="7"/>
        <v>ef</v>
      </c>
      <c r="J69" t="str">
        <f t="shared" si="8"/>
        <v>Line</v>
      </c>
      <c r="K69">
        <v>4637334.7690000003</v>
      </c>
      <c r="L69">
        <v>417054.27799999999</v>
      </c>
      <c r="M69">
        <v>1.2629999999999999</v>
      </c>
      <c r="N69" t="s">
        <v>8</v>
      </c>
    </row>
    <row r="70" spans="1:14" x14ac:dyDescent="0.35">
      <c r="A70" t="s">
        <v>43</v>
      </c>
      <c r="B70">
        <v>26</v>
      </c>
      <c r="C70" t="s">
        <v>44</v>
      </c>
      <c r="D70">
        <v>2019</v>
      </c>
      <c r="E70">
        <v>45</v>
      </c>
      <c r="F70">
        <v>69</v>
      </c>
      <c r="G70" t="s">
        <v>12</v>
      </c>
      <c r="H70" t="str">
        <f t="shared" si="6"/>
        <v>06</v>
      </c>
      <c r="I70" t="str">
        <f t="shared" si="7"/>
        <v>a</v>
      </c>
      <c r="J70" t="str">
        <f t="shared" si="8"/>
        <v>MU</v>
      </c>
      <c r="K70">
        <v>4637370.5669999998</v>
      </c>
      <c r="L70">
        <v>417002.90899999999</v>
      </c>
      <c r="M70">
        <v>1.5589999999999999</v>
      </c>
      <c r="N70" t="s">
        <v>11</v>
      </c>
    </row>
    <row r="71" spans="1:14" x14ac:dyDescent="0.35">
      <c r="A71" t="s">
        <v>43</v>
      </c>
      <c r="B71">
        <v>26</v>
      </c>
      <c r="C71" t="s">
        <v>44</v>
      </c>
      <c r="D71">
        <v>2019</v>
      </c>
      <c r="E71">
        <v>46</v>
      </c>
      <c r="F71">
        <v>70</v>
      </c>
      <c r="G71" t="s">
        <v>19</v>
      </c>
      <c r="H71" t="str">
        <f t="shared" si="6"/>
        <v>02</v>
      </c>
      <c r="I71" t="str">
        <f t="shared" si="7"/>
        <v>a</v>
      </c>
      <c r="J71" t="str">
        <f t="shared" si="8"/>
        <v>Line</v>
      </c>
      <c r="K71">
        <v>4637371.2970000003</v>
      </c>
      <c r="L71">
        <v>417004.71</v>
      </c>
      <c r="M71">
        <v>1.4850000000000001</v>
      </c>
      <c r="N71" t="s">
        <v>8</v>
      </c>
    </row>
    <row r="72" spans="1:14" x14ac:dyDescent="0.35">
      <c r="A72" t="s">
        <v>43</v>
      </c>
      <c r="B72">
        <v>26</v>
      </c>
      <c r="C72" t="s">
        <v>44</v>
      </c>
      <c r="D72">
        <v>2019</v>
      </c>
      <c r="E72">
        <v>46</v>
      </c>
      <c r="F72">
        <v>71</v>
      </c>
      <c r="G72" t="s">
        <v>19</v>
      </c>
      <c r="H72" t="str">
        <f t="shared" si="6"/>
        <v>02</v>
      </c>
      <c r="I72" t="str">
        <f t="shared" si="7"/>
        <v>a</v>
      </c>
      <c r="J72" t="str">
        <f t="shared" si="8"/>
        <v>Line</v>
      </c>
      <c r="K72">
        <v>4637372.318</v>
      </c>
      <c r="L72">
        <v>417006.70799999998</v>
      </c>
      <c r="M72">
        <v>1.425</v>
      </c>
      <c r="N72" t="s">
        <v>8</v>
      </c>
    </row>
    <row r="73" spans="1:14" x14ac:dyDescent="0.35">
      <c r="A73" t="s">
        <v>43</v>
      </c>
      <c r="B73">
        <v>26</v>
      </c>
      <c r="C73" t="s">
        <v>44</v>
      </c>
      <c r="D73">
        <v>2019</v>
      </c>
      <c r="E73">
        <v>47</v>
      </c>
      <c r="F73">
        <v>72</v>
      </c>
      <c r="G73" t="s">
        <v>17</v>
      </c>
      <c r="H73" t="str">
        <f t="shared" si="6"/>
        <v>01</v>
      </c>
      <c r="I73" t="str">
        <f t="shared" si="7"/>
        <v>a</v>
      </c>
      <c r="J73" t="str">
        <f t="shared" si="8"/>
        <v>MU</v>
      </c>
      <c r="K73">
        <v>4637373.22</v>
      </c>
      <c r="L73">
        <v>417007.95400000003</v>
      </c>
      <c r="M73">
        <v>1.2849999999999999</v>
      </c>
      <c r="N73" t="s">
        <v>11</v>
      </c>
    </row>
    <row r="74" spans="1:14" x14ac:dyDescent="0.35">
      <c r="A74" t="s">
        <v>43</v>
      </c>
      <c r="B74">
        <v>26</v>
      </c>
      <c r="C74" t="s">
        <v>44</v>
      </c>
      <c r="D74">
        <v>2019</v>
      </c>
      <c r="E74">
        <v>48</v>
      </c>
      <c r="F74">
        <v>73</v>
      </c>
      <c r="G74" t="s">
        <v>24</v>
      </c>
      <c r="H74" t="str">
        <f t="shared" si="6"/>
        <v>01</v>
      </c>
      <c r="I74" t="str">
        <f t="shared" si="7"/>
        <v>ae</v>
      </c>
      <c r="J74" t="str">
        <f t="shared" si="8"/>
        <v>Line</v>
      </c>
      <c r="K74">
        <v>4637374.4230000004</v>
      </c>
      <c r="L74">
        <v>417008.91499999998</v>
      </c>
      <c r="M74">
        <v>1.2370000000000001</v>
      </c>
      <c r="N74" t="s">
        <v>8</v>
      </c>
    </row>
    <row r="75" spans="1:14" x14ac:dyDescent="0.35">
      <c r="A75" t="s">
        <v>43</v>
      </c>
      <c r="B75">
        <v>26</v>
      </c>
      <c r="C75" t="s">
        <v>44</v>
      </c>
      <c r="D75">
        <v>2019</v>
      </c>
      <c r="E75">
        <v>48</v>
      </c>
      <c r="F75">
        <v>74</v>
      </c>
      <c r="G75" t="s">
        <v>24</v>
      </c>
      <c r="H75" t="str">
        <f t="shared" si="6"/>
        <v>01</v>
      </c>
      <c r="I75" t="str">
        <f t="shared" si="7"/>
        <v>ae</v>
      </c>
      <c r="J75" t="str">
        <f t="shared" si="8"/>
        <v>Line</v>
      </c>
      <c r="K75">
        <v>4637375.5480000004</v>
      </c>
      <c r="L75">
        <v>417010.00099999999</v>
      </c>
      <c r="M75">
        <v>1.2509999999999999</v>
      </c>
      <c r="N75" t="s">
        <v>8</v>
      </c>
    </row>
    <row r="76" spans="1:14" x14ac:dyDescent="0.35">
      <c r="A76" t="s">
        <v>43</v>
      </c>
      <c r="B76">
        <v>26</v>
      </c>
      <c r="C76" t="s">
        <v>44</v>
      </c>
      <c r="D76">
        <v>2019</v>
      </c>
      <c r="E76">
        <v>49</v>
      </c>
      <c r="F76">
        <v>75</v>
      </c>
      <c r="G76" t="s">
        <v>22</v>
      </c>
      <c r="H76" t="str">
        <f t="shared" si="6"/>
        <v>01</v>
      </c>
      <c r="I76" t="str">
        <f t="shared" si="7"/>
        <v>bef</v>
      </c>
      <c r="J76" t="str">
        <f t="shared" si="8"/>
        <v>Line</v>
      </c>
      <c r="K76">
        <v>4637376.2369999997</v>
      </c>
      <c r="L76">
        <v>417010.92200000002</v>
      </c>
      <c r="M76">
        <v>1.218</v>
      </c>
      <c r="N76" t="s">
        <v>8</v>
      </c>
    </row>
    <row r="77" spans="1:14" x14ac:dyDescent="0.35">
      <c r="A77" t="s">
        <v>43</v>
      </c>
      <c r="B77">
        <v>26</v>
      </c>
      <c r="C77" t="s">
        <v>44</v>
      </c>
      <c r="D77">
        <v>2019</v>
      </c>
      <c r="E77">
        <v>49</v>
      </c>
      <c r="F77">
        <v>76</v>
      </c>
      <c r="G77" t="s">
        <v>22</v>
      </c>
      <c r="H77" t="str">
        <f t="shared" si="6"/>
        <v>01</v>
      </c>
      <c r="I77" t="str">
        <f t="shared" si="7"/>
        <v>bef</v>
      </c>
      <c r="J77" t="str">
        <f t="shared" si="8"/>
        <v>Line</v>
      </c>
      <c r="K77">
        <v>4637377.5199999996</v>
      </c>
      <c r="L77">
        <v>417012.47100000002</v>
      </c>
      <c r="M77">
        <v>1.1759999999999999</v>
      </c>
      <c r="N77" t="s">
        <v>8</v>
      </c>
    </row>
    <row r="78" spans="1:14" x14ac:dyDescent="0.35">
      <c r="A78" t="s">
        <v>43</v>
      </c>
      <c r="B78">
        <v>26</v>
      </c>
      <c r="C78" t="s">
        <v>44</v>
      </c>
      <c r="D78">
        <v>2019</v>
      </c>
      <c r="E78">
        <v>50</v>
      </c>
      <c r="F78">
        <v>77</v>
      </c>
      <c r="G78" t="s">
        <v>20</v>
      </c>
      <c r="H78" t="str">
        <f t="shared" si="6"/>
        <v>01</v>
      </c>
      <c r="I78" t="str">
        <f t="shared" si="7"/>
        <v>aef</v>
      </c>
      <c r="J78" t="str">
        <f t="shared" si="8"/>
        <v>MU</v>
      </c>
      <c r="K78">
        <v>4637378.18</v>
      </c>
      <c r="L78">
        <v>417013.41</v>
      </c>
      <c r="M78">
        <v>1.21</v>
      </c>
      <c r="N78" t="s">
        <v>11</v>
      </c>
    </row>
    <row r="79" spans="1:14" x14ac:dyDescent="0.35">
      <c r="A79" t="s">
        <v>43</v>
      </c>
      <c r="B79">
        <v>26</v>
      </c>
      <c r="C79" t="s">
        <v>44</v>
      </c>
      <c r="D79">
        <v>2019</v>
      </c>
      <c r="E79">
        <v>51</v>
      </c>
      <c r="F79">
        <v>78</v>
      </c>
      <c r="G79" t="s">
        <v>25</v>
      </c>
      <c r="H79" t="str">
        <f t="shared" si="6"/>
        <v>01</v>
      </c>
      <c r="I79" t="str">
        <f t="shared" si="7"/>
        <v>bcef</v>
      </c>
      <c r="J79" t="str">
        <f t="shared" si="8"/>
        <v>MU</v>
      </c>
      <c r="K79">
        <v>4637379.0219999999</v>
      </c>
      <c r="L79">
        <v>417014.49</v>
      </c>
      <c r="M79">
        <v>1.1120000000000001</v>
      </c>
      <c r="N79" t="s">
        <v>11</v>
      </c>
    </row>
    <row r="80" spans="1:14" x14ac:dyDescent="0.35">
      <c r="A80" t="s">
        <v>43</v>
      </c>
      <c r="B80">
        <v>26</v>
      </c>
      <c r="C80" t="s">
        <v>44</v>
      </c>
      <c r="D80">
        <v>2019</v>
      </c>
      <c r="E80">
        <v>52</v>
      </c>
      <c r="F80">
        <v>79</v>
      </c>
      <c r="G80" t="s">
        <v>26</v>
      </c>
      <c r="H80" t="str">
        <f t="shared" si="6"/>
        <v>27</v>
      </c>
      <c r="I80" t="str">
        <f t="shared" si="7"/>
        <v>bcef</v>
      </c>
      <c r="J80" t="str">
        <f t="shared" si="8"/>
        <v>Line</v>
      </c>
      <c r="K80">
        <v>4637379.7170000002</v>
      </c>
      <c r="L80">
        <v>417015.57699999999</v>
      </c>
      <c r="M80">
        <v>1.145</v>
      </c>
      <c r="N80" t="s">
        <v>8</v>
      </c>
    </row>
    <row r="81" spans="1:14" x14ac:dyDescent="0.35">
      <c r="A81" t="s">
        <v>43</v>
      </c>
      <c r="B81">
        <v>26</v>
      </c>
      <c r="C81" t="s">
        <v>44</v>
      </c>
      <c r="D81">
        <v>2019</v>
      </c>
      <c r="E81">
        <v>52</v>
      </c>
      <c r="F81">
        <v>80</v>
      </c>
      <c r="G81" t="s">
        <v>26</v>
      </c>
      <c r="H81" t="str">
        <f t="shared" si="6"/>
        <v>27</v>
      </c>
      <c r="I81" t="str">
        <f t="shared" si="7"/>
        <v>bcef</v>
      </c>
      <c r="J81" t="str">
        <f t="shared" si="8"/>
        <v>Line</v>
      </c>
      <c r="K81">
        <v>4637378.5599999996</v>
      </c>
      <c r="L81">
        <v>417020.03</v>
      </c>
      <c r="M81">
        <v>1.0369999999999999</v>
      </c>
      <c r="N81" t="s">
        <v>8</v>
      </c>
    </row>
    <row r="82" spans="1:14" x14ac:dyDescent="0.35">
      <c r="A82" t="s">
        <v>43</v>
      </c>
      <c r="B82">
        <v>26</v>
      </c>
      <c r="C82" t="s">
        <v>44</v>
      </c>
      <c r="D82">
        <v>2019</v>
      </c>
      <c r="E82">
        <v>53</v>
      </c>
      <c r="F82">
        <v>81</v>
      </c>
      <c r="G82" t="s">
        <v>26</v>
      </c>
      <c r="H82" t="str">
        <f t="shared" si="6"/>
        <v>27</v>
      </c>
      <c r="I82" t="str">
        <f t="shared" si="7"/>
        <v>bcef</v>
      </c>
      <c r="J82" t="str">
        <f t="shared" si="8"/>
        <v>MU</v>
      </c>
      <c r="K82">
        <v>4637387.07</v>
      </c>
      <c r="L82">
        <v>416968.08899999998</v>
      </c>
      <c r="M82">
        <v>0.73799999999999999</v>
      </c>
      <c r="N82" t="s">
        <v>11</v>
      </c>
    </row>
    <row r="83" spans="1:14" x14ac:dyDescent="0.35">
      <c r="A83" t="s">
        <v>43</v>
      </c>
      <c r="B83">
        <v>26</v>
      </c>
      <c r="C83" t="s">
        <v>44</v>
      </c>
      <c r="D83">
        <v>2019</v>
      </c>
      <c r="E83">
        <v>54</v>
      </c>
      <c r="F83">
        <v>82</v>
      </c>
      <c r="G83" t="s">
        <v>13</v>
      </c>
      <c r="H83" t="str">
        <f t="shared" si="6"/>
        <v>07</v>
      </c>
      <c r="I83" t="str">
        <f t="shared" si="7"/>
        <v>a</v>
      </c>
      <c r="J83" t="str">
        <f t="shared" si="8"/>
        <v>Line</v>
      </c>
      <c r="K83">
        <v>4637350.3689999999</v>
      </c>
      <c r="L83">
        <v>416954.47</v>
      </c>
      <c r="M83">
        <v>1.5389999999999999</v>
      </c>
      <c r="N83" t="s">
        <v>8</v>
      </c>
    </row>
    <row r="84" spans="1:14" x14ac:dyDescent="0.35">
      <c r="A84" t="s">
        <v>43</v>
      </c>
      <c r="B84">
        <v>26</v>
      </c>
      <c r="C84" t="s">
        <v>44</v>
      </c>
      <c r="D84">
        <v>2019</v>
      </c>
      <c r="E84">
        <v>54</v>
      </c>
      <c r="F84">
        <v>83</v>
      </c>
      <c r="G84" t="s">
        <v>13</v>
      </c>
      <c r="H84" t="str">
        <f t="shared" si="6"/>
        <v>07</v>
      </c>
      <c r="I84" t="str">
        <f t="shared" si="7"/>
        <v>a</v>
      </c>
      <c r="J84" t="str">
        <f t="shared" si="8"/>
        <v>Line</v>
      </c>
      <c r="K84">
        <v>4637351.7980000004</v>
      </c>
      <c r="L84">
        <v>416952.13199999998</v>
      </c>
      <c r="M84">
        <v>1.474</v>
      </c>
      <c r="N84" t="s">
        <v>8</v>
      </c>
    </row>
    <row r="85" spans="1:14" x14ac:dyDescent="0.35">
      <c r="A85" t="s">
        <v>43</v>
      </c>
      <c r="B85">
        <v>26</v>
      </c>
      <c r="C85" t="s">
        <v>44</v>
      </c>
      <c r="D85">
        <v>2019</v>
      </c>
      <c r="E85">
        <v>55</v>
      </c>
      <c r="F85">
        <v>84</v>
      </c>
      <c r="G85" t="s">
        <v>14</v>
      </c>
      <c r="H85" t="str">
        <f t="shared" si="6"/>
        <v>10</v>
      </c>
      <c r="I85" t="str">
        <f t="shared" si="7"/>
        <v>a</v>
      </c>
      <c r="J85" t="str">
        <f t="shared" si="8"/>
        <v>Line</v>
      </c>
      <c r="K85">
        <v>4637350.87</v>
      </c>
      <c r="L85">
        <v>416951.23499999999</v>
      </c>
      <c r="M85">
        <v>1.4530000000000001</v>
      </c>
      <c r="N85" t="s">
        <v>8</v>
      </c>
    </row>
    <row r="86" spans="1:14" x14ac:dyDescent="0.35">
      <c r="A86" t="s">
        <v>43</v>
      </c>
      <c r="B86">
        <v>26</v>
      </c>
      <c r="C86" t="s">
        <v>44</v>
      </c>
      <c r="D86">
        <v>2019</v>
      </c>
      <c r="E86">
        <v>55</v>
      </c>
      <c r="F86">
        <v>85</v>
      </c>
      <c r="G86" t="s">
        <v>14</v>
      </c>
      <c r="H86" t="str">
        <f t="shared" si="6"/>
        <v>10</v>
      </c>
      <c r="I86" t="str">
        <f t="shared" si="7"/>
        <v>a</v>
      </c>
      <c r="J86" t="str">
        <f t="shared" si="8"/>
        <v>Line</v>
      </c>
      <c r="K86">
        <v>4637348.574</v>
      </c>
      <c r="L86">
        <v>416945.66800000001</v>
      </c>
      <c r="M86">
        <v>1.488</v>
      </c>
      <c r="N86" t="s">
        <v>8</v>
      </c>
    </row>
    <row r="87" spans="1:14" x14ac:dyDescent="0.35">
      <c r="A87" t="s">
        <v>43</v>
      </c>
      <c r="B87">
        <v>26</v>
      </c>
      <c r="C87" t="s">
        <v>44</v>
      </c>
      <c r="D87">
        <v>2019</v>
      </c>
      <c r="E87">
        <v>55</v>
      </c>
      <c r="F87">
        <v>86</v>
      </c>
      <c r="G87" t="s">
        <v>14</v>
      </c>
      <c r="H87" t="str">
        <f t="shared" si="6"/>
        <v>10</v>
      </c>
      <c r="I87" t="str">
        <f t="shared" si="7"/>
        <v>a</v>
      </c>
      <c r="J87" t="str">
        <f t="shared" si="8"/>
        <v>Line</v>
      </c>
      <c r="K87">
        <v>4637346.3380000005</v>
      </c>
      <c r="L87">
        <v>416945.66600000003</v>
      </c>
      <c r="M87">
        <v>1.6240000000000001</v>
      </c>
      <c r="N87" t="s">
        <v>8</v>
      </c>
    </row>
    <row r="88" spans="1:14" x14ac:dyDescent="0.35">
      <c r="A88" t="s">
        <v>43</v>
      </c>
      <c r="B88">
        <v>26</v>
      </c>
      <c r="C88" t="s">
        <v>44</v>
      </c>
      <c r="D88">
        <v>2019</v>
      </c>
      <c r="E88">
        <v>55</v>
      </c>
      <c r="F88">
        <v>87</v>
      </c>
      <c r="G88" t="s">
        <v>14</v>
      </c>
      <c r="H88" t="str">
        <f t="shared" si="6"/>
        <v>10</v>
      </c>
      <c r="I88" t="str">
        <f t="shared" si="7"/>
        <v>a</v>
      </c>
      <c r="J88" t="str">
        <f t="shared" si="8"/>
        <v>Line</v>
      </c>
      <c r="K88">
        <v>4637346.2790000001</v>
      </c>
      <c r="L88">
        <v>416943.23499999999</v>
      </c>
      <c r="M88">
        <v>1.651</v>
      </c>
      <c r="N88" t="s">
        <v>8</v>
      </c>
    </row>
    <row r="89" spans="1:14" x14ac:dyDescent="0.35">
      <c r="A89" t="s">
        <v>43</v>
      </c>
      <c r="B89">
        <v>26</v>
      </c>
      <c r="C89" t="s">
        <v>44</v>
      </c>
      <c r="D89">
        <v>2019</v>
      </c>
      <c r="E89">
        <v>56</v>
      </c>
      <c r="F89">
        <v>88</v>
      </c>
      <c r="G89">
        <v>7</v>
      </c>
      <c r="H89" t="str">
        <f t="shared" si="6"/>
        <v>7</v>
      </c>
      <c r="I89" t="str">
        <f t="shared" si="7"/>
        <v/>
      </c>
      <c r="J89" t="str">
        <f t="shared" si="8"/>
        <v>Line</v>
      </c>
      <c r="K89">
        <v>4637347.023</v>
      </c>
      <c r="L89">
        <v>416942.20400000003</v>
      </c>
      <c r="M89">
        <v>1.619</v>
      </c>
      <c r="N89" t="s">
        <v>8</v>
      </c>
    </row>
    <row r="90" spans="1:14" x14ac:dyDescent="0.35">
      <c r="A90" t="s">
        <v>43</v>
      </c>
      <c r="B90">
        <v>26</v>
      </c>
      <c r="C90" t="s">
        <v>44</v>
      </c>
      <c r="D90">
        <v>2019</v>
      </c>
      <c r="E90">
        <v>56</v>
      </c>
      <c r="F90">
        <v>89</v>
      </c>
      <c r="G90">
        <v>7</v>
      </c>
      <c r="H90" t="str">
        <f t="shared" si="6"/>
        <v>7</v>
      </c>
      <c r="I90" t="str">
        <f t="shared" si="7"/>
        <v/>
      </c>
      <c r="J90" t="str">
        <f t="shared" si="8"/>
        <v>Line</v>
      </c>
      <c r="K90">
        <v>4637349.1270000003</v>
      </c>
      <c r="L90">
        <v>416934.16399999999</v>
      </c>
      <c r="M90">
        <v>1.6220000000000001</v>
      </c>
      <c r="N90" t="s">
        <v>8</v>
      </c>
    </row>
    <row r="91" spans="1:14" x14ac:dyDescent="0.35">
      <c r="A91" t="s">
        <v>43</v>
      </c>
      <c r="B91">
        <v>26</v>
      </c>
      <c r="C91" t="s">
        <v>44</v>
      </c>
      <c r="D91">
        <v>2019</v>
      </c>
      <c r="E91">
        <v>57</v>
      </c>
      <c r="F91">
        <v>90</v>
      </c>
      <c r="G91" t="s">
        <v>12</v>
      </c>
      <c r="H91" t="str">
        <f t="shared" si="6"/>
        <v>06</v>
      </c>
      <c r="I91" t="str">
        <f t="shared" si="7"/>
        <v>a</v>
      </c>
      <c r="J91" t="str">
        <f t="shared" si="8"/>
        <v>Line</v>
      </c>
      <c r="K91">
        <v>4637350.0140000004</v>
      </c>
      <c r="L91">
        <v>416932.73200000002</v>
      </c>
      <c r="M91">
        <v>1.643</v>
      </c>
      <c r="N91" t="s">
        <v>8</v>
      </c>
    </row>
    <row r="92" spans="1:14" x14ac:dyDescent="0.35">
      <c r="A92" t="s">
        <v>43</v>
      </c>
      <c r="B92">
        <v>26</v>
      </c>
      <c r="C92" t="s">
        <v>44</v>
      </c>
      <c r="D92">
        <v>2019</v>
      </c>
      <c r="E92">
        <v>57</v>
      </c>
      <c r="F92">
        <v>91</v>
      </c>
      <c r="G92" t="s">
        <v>12</v>
      </c>
      <c r="H92" t="str">
        <f t="shared" si="6"/>
        <v>06</v>
      </c>
      <c r="I92" t="str">
        <f t="shared" si="7"/>
        <v>a</v>
      </c>
      <c r="J92" t="str">
        <f t="shared" si="8"/>
        <v>Line</v>
      </c>
      <c r="K92">
        <v>4637352.4929999998</v>
      </c>
      <c r="L92">
        <v>416922.91600000003</v>
      </c>
      <c r="M92">
        <v>1.3839999999999999</v>
      </c>
      <c r="N92" t="s">
        <v>8</v>
      </c>
    </row>
    <row r="93" spans="1:14" x14ac:dyDescent="0.35">
      <c r="A93" t="s">
        <v>43</v>
      </c>
      <c r="B93">
        <v>26</v>
      </c>
      <c r="C93" t="s">
        <v>44</v>
      </c>
      <c r="D93">
        <v>2019</v>
      </c>
      <c r="E93">
        <v>58</v>
      </c>
      <c r="F93">
        <v>92</v>
      </c>
      <c r="G93" t="s">
        <v>27</v>
      </c>
      <c r="H93" t="str">
        <f t="shared" si="6"/>
        <v>33</v>
      </c>
      <c r="I93" t="str">
        <f t="shared" si="7"/>
        <v>e</v>
      </c>
      <c r="J93" t="str">
        <f t="shared" si="8"/>
        <v>Line</v>
      </c>
      <c r="K93">
        <v>4637352.8210000005</v>
      </c>
      <c r="L93">
        <v>416921.32400000002</v>
      </c>
      <c r="M93">
        <v>1.321</v>
      </c>
      <c r="N93" t="s">
        <v>8</v>
      </c>
    </row>
    <row r="94" spans="1:14" x14ac:dyDescent="0.35">
      <c r="A94" t="s">
        <v>43</v>
      </c>
      <c r="B94">
        <v>26</v>
      </c>
      <c r="C94" t="s">
        <v>44</v>
      </c>
      <c r="D94">
        <v>2019</v>
      </c>
      <c r="E94">
        <v>58</v>
      </c>
      <c r="F94">
        <v>93</v>
      </c>
      <c r="G94" t="s">
        <v>27</v>
      </c>
      <c r="H94" t="str">
        <f t="shared" si="6"/>
        <v>33</v>
      </c>
      <c r="I94" t="str">
        <f t="shared" si="7"/>
        <v>e</v>
      </c>
      <c r="J94" t="str">
        <f t="shared" si="8"/>
        <v>Line</v>
      </c>
      <c r="K94">
        <v>4637356.6349999998</v>
      </c>
      <c r="L94">
        <v>416907.924</v>
      </c>
      <c r="M94">
        <v>1.363</v>
      </c>
      <c r="N94" t="s">
        <v>8</v>
      </c>
    </row>
    <row r="95" spans="1:14" x14ac:dyDescent="0.35">
      <c r="A95" t="s">
        <v>43</v>
      </c>
      <c r="B95">
        <v>26</v>
      </c>
      <c r="C95" t="s">
        <v>44</v>
      </c>
      <c r="D95">
        <v>2019</v>
      </c>
      <c r="E95">
        <v>59</v>
      </c>
      <c r="F95">
        <v>94</v>
      </c>
      <c r="G95" t="s">
        <v>14</v>
      </c>
      <c r="H95" t="str">
        <f t="shared" si="6"/>
        <v>10</v>
      </c>
      <c r="I95" t="str">
        <f t="shared" si="7"/>
        <v>a</v>
      </c>
      <c r="J95" t="str">
        <f t="shared" si="8"/>
        <v>MU</v>
      </c>
      <c r="K95">
        <v>4637357.2130000005</v>
      </c>
      <c r="L95">
        <v>416905.94500000001</v>
      </c>
      <c r="M95">
        <v>1.3680000000000001</v>
      </c>
      <c r="N95" t="s">
        <v>11</v>
      </c>
    </row>
    <row r="96" spans="1:14" x14ac:dyDescent="0.35">
      <c r="A96" t="s">
        <v>43</v>
      </c>
      <c r="B96">
        <v>26</v>
      </c>
      <c r="C96" t="s">
        <v>44</v>
      </c>
      <c r="D96">
        <v>2019</v>
      </c>
      <c r="E96">
        <v>60</v>
      </c>
      <c r="F96">
        <v>95</v>
      </c>
      <c r="G96" t="s">
        <v>27</v>
      </c>
      <c r="H96" t="str">
        <f t="shared" si="6"/>
        <v>33</v>
      </c>
      <c r="I96" t="str">
        <f t="shared" si="7"/>
        <v>e</v>
      </c>
      <c r="J96" t="str">
        <f t="shared" si="8"/>
        <v>Line</v>
      </c>
      <c r="K96">
        <v>4637357.9869999997</v>
      </c>
      <c r="L96">
        <v>416904.25</v>
      </c>
      <c r="M96">
        <v>1.403</v>
      </c>
      <c r="N96" t="s">
        <v>8</v>
      </c>
    </row>
    <row r="97" spans="1:14" x14ac:dyDescent="0.35">
      <c r="A97" t="s">
        <v>43</v>
      </c>
      <c r="B97">
        <v>26</v>
      </c>
      <c r="C97" t="s">
        <v>44</v>
      </c>
      <c r="D97">
        <v>2019</v>
      </c>
      <c r="E97">
        <v>60</v>
      </c>
      <c r="F97">
        <v>96</v>
      </c>
      <c r="G97" t="s">
        <v>27</v>
      </c>
      <c r="H97" t="str">
        <f t="shared" si="6"/>
        <v>33</v>
      </c>
      <c r="I97" t="str">
        <f t="shared" si="7"/>
        <v>e</v>
      </c>
      <c r="J97" t="str">
        <f t="shared" si="8"/>
        <v>Line</v>
      </c>
      <c r="K97">
        <v>4637361.3820000002</v>
      </c>
      <c r="L97">
        <v>416902.75199999998</v>
      </c>
      <c r="M97">
        <v>1.327</v>
      </c>
      <c r="N97" t="s">
        <v>8</v>
      </c>
    </row>
    <row r="98" spans="1:14" x14ac:dyDescent="0.35">
      <c r="A98" t="s">
        <v>43</v>
      </c>
      <c r="B98">
        <v>26</v>
      </c>
      <c r="C98" t="s">
        <v>44</v>
      </c>
      <c r="D98">
        <v>2019</v>
      </c>
      <c r="E98">
        <v>60</v>
      </c>
      <c r="F98">
        <v>97</v>
      </c>
      <c r="G98" t="s">
        <v>27</v>
      </c>
      <c r="H98" t="str">
        <f t="shared" si="6"/>
        <v>33</v>
      </c>
      <c r="I98" t="str">
        <f t="shared" si="7"/>
        <v>e</v>
      </c>
      <c r="J98" t="str">
        <f t="shared" si="8"/>
        <v>Line</v>
      </c>
      <c r="K98">
        <v>4637362.6770000001</v>
      </c>
      <c r="L98">
        <v>416903.70899999997</v>
      </c>
      <c r="M98">
        <v>1.196</v>
      </c>
      <c r="N98" t="s">
        <v>8</v>
      </c>
    </row>
    <row r="99" spans="1:14" x14ac:dyDescent="0.35">
      <c r="A99" t="s">
        <v>43</v>
      </c>
      <c r="B99">
        <v>26</v>
      </c>
      <c r="C99" t="s">
        <v>44</v>
      </c>
      <c r="D99">
        <v>2019</v>
      </c>
      <c r="E99">
        <v>61</v>
      </c>
      <c r="F99">
        <v>98</v>
      </c>
      <c r="G99" t="s">
        <v>17</v>
      </c>
      <c r="H99" t="str">
        <f t="shared" si="6"/>
        <v>01</v>
      </c>
      <c r="I99" t="str">
        <f t="shared" si="7"/>
        <v>a</v>
      </c>
      <c r="J99" t="str">
        <f t="shared" si="8"/>
        <v>Line</v>
      </c>
      <c r="K99">
        <v>4637363.5199999996</v>
      </c>
      <c r="L99">
        <v>416904.69199999998</v>
      </c>
      <c r="M99">
        <v>1.1970000000000001</v>
      </c>
      <c r="N99" t="s">
        <v>8</v>
      </c>
    </row>
    <row r="100" spans="1:14" x14ac:dyDescent="0.35">
      <c r="A100" t="s">
        <v>43</v>
      </c>
      <c r="B100">
        <v>26</v>
      </c>
      <c r="C100" t="s">
        <v>44</v>
      </c>
      <c r="D100">
        <v>2019</v>
      </c>
      <c r="E100">
        <v>61</v>
      </c>
      <c r="F100">
        <v>99</v>
      </c>
      <c r="G100" t="s">
        <v>17</v>
      </c>
      <c r="H100" t="str">
        <f t="shared" si="6"/>
        <v>01</v>
      </c>
      <c r="I100" t="str">
        <f t="shared" si="7"/>
        <v>a</v>
      </c>
      <c r="J100" t="str">
        <f t="shared" si="8"/>
        <v>Line</v>
      </c>
      <c r="K100">
        <v>4637365.0729999999</v>
      </c>
      <c r="L100">
        <v>416907.25599999999</v>
      </c>
      <c r="M100">
        <v>1.2130000000000001</v>
      </c>
      <c r="N100" t="s">
        <v>8</v>
      </c>
    </row>
    <row r="101" spans="1:14" x14ac:dyDescent="0.35">
      <c r="A101" t="s">
        <v>43</v>
      </c>
      <c r="B101">
        <v>26</v>
      </c>
      <c r="C101" t="s">
        <v>44</v>
      </c>
      <c r="D101">
        <v>2019</v>
      </c>
      <c r="E101">
        <v>62</v>
      </c>
      <c r="F101">
        <v>100</v>
      </c>
      <c r="G101" t="s">
        <v>27</v>
      </c>
      <c r="H101" t="str">
        <f t="shared" si="6"/>
        <v>33</v>
      </c>
      <c r="I101" t="str">
        <f t="shared" si="7"/>
        <v>e</v>
      </c>
      <c r="J101" t="str">
        <f t="shared" si="8"/>
        <v>Line</v>
      </c>
      <c r="K101">
        <v>4637366.125</v>
      </c>
      <c r="L101">
        <v>416908.13799999998</v>
      </c>
      <c r="M101">
        <v>1.1659999999999999</v>
      </c>
      <c r="N101" t="s">
        <v>8</v>
      </c>
    </row>
    <row r="102" spans="1:14" x14ac:dyDescent="0.35">
      <c r="A102" t="s">
        <v>43</v>
      </c>
      <c r="B102">
        <v>26</v>
      </c>
      <c r="C102" t="s">
        <v>44</v>
      </c>
      <c r="D102">
        <v>2019</v>
      </c>
      <c r="E102">
        <v>62</v>
      </c>
      <c r="F102">
        <v>101</v>
      </c>
      <c r="G102" t="s">
        <v>27</v>
      </c>
      <c r="H102" t="str">
        <f t="shared" si="6"/>
        <v>33</v>
      </c>
      <c r="I102" t="str">
        <f t="shared" si="7"/>
        <v>e</v>
      </c>
      <c r="J102" t="str">
        <f t="shared" si="8"/>
        <v>Line</v>
      </c>
      <c r="K102">
        <v>4637367.3470000001</v>
      </c>
      <c r="L102">
        <v>416912.88900000002</v>
      </c>
      <c r="M102">
        <v>1.1950000000000001</v>
      </c>
      <c r="N102" t="s">
        <v>8</v>
      </c>
    </row>
    <row r="103" spans="1:14" x14ac:dyDescent="0.35">
      <c r="A103" t="s">
        <v>43</v>
      </c>
      <c r="B103">
        <v>26</v>
      </c>
      <c r="C103" t="s">
        <v>44</v>
      </c>
      <c r="D103">
        <v>2019</v>
      </c>
      <c r="E103">
        <v>63</v>
      </c>
      <c r="F103">
        <v>102</v>
      </c>
      <c r="G103" t="s">
        <v>23</v>
      </c>
      <c r="H103" t="str">
        <f t="shared" si="6"/>
        <v>33</v>
      </c>
      <c r="I103" t="str">
        <f t="shared" si="7"/>
        <v>ef</v>
      </c>
      <c r="J103" t="str">
        <f t="shared" si="8"/>
        <v>Line</v>
      </c>
      <c r="K103">
        <v>4637369.182</v>
      </c>
      <c r="L103">
        <v>416912.93</v>
      </c>
      <c r="M103">
        <v>1.28</v>
      </c>
      <c r="N103" t="s">
        <v>8</v>
      </c>
    </row>
    <row r="104" spans="1:14" x14ac:dyDescent="0.35">
      <c r="A104" t="s">
        <v>43</v>
      </c>
      <c r="B104">
        <v>26</v>
      </c>
      <c r="C104" t="s">
        <v>44</v>
      </c>
      <c r="D104">
        <v>2019</v>
      </c>
      <c r="E104">
        <v>63</v>
      </c>
      <c r="F104">
        <v>103</v>
      </c>
      <c r="G104" t="s">
        <v>28</v>
      </c>
      <c r="H104" t="str">
        <f t="shared" si="6"/>
        <v>33</v>
      </c>
      <c r="I104" t="str">
        <f t="shared" si="7"/>
        <v>cef</v>
      </c>
      <c r="J104" t="str">
        <f t="shared" si="8"/>
        <v>Line</v>
      </c>
      <c r="K104">
        <v>4637373.0389999999</v>
      </c>
      <c r="L104">
        <v>416916.52899999998</v>
      </c>
      <c r="M104">
        <v>1.3620000000000001</v>
      </c>
      <c r="N104" t="s">
        <v>8</v>
      </c>
    </row>
    <row r="105" spans="1:14" x14ac:dyDescent="0.35">
      <c r="A105" t="s">
        <v>43</v>
      </c>
      <c r="B105">
        <v>26</v>
      </c>
      <c r="C105" t="s">
        <v>44</v>
      </c>
      <c r="D105">
        <v>2019</v>
      </c>
      <c r="E105">
        <v>64</v>
      </c>
      <c r="F105">
        <v>104</v>
      </c>
      <c r="G105" t="s">
        <v>24</v>
      </c>
      <c r="H105" t="str">
        <f t="shared" si="6"/>
        <v>01</v>
      </c>
      <c r="I105" t="str">
        <f t="shared" si="7"/>
        <v>ae</v>
      </c>
      <c r="J105" t="str">
        <f t="shared" si="8"/>
        <v>Line</v>
      </c>
      <c r="K105">
        <v>4637374.1679999996</v>
      </c>
      <c r="L105">
        <v>416917.087</v>
      </c>
      <c r="M105">
        <v>1.31</v>
      </c>
      <c r="N105" t="s">
        <v>8</v>
      </c>
    </row>
    <row r="106" spans="1:14" x14ac:dyDescent="0.35">
      <c r="A106" t="s">
        <v>43</v>
      </c>
      <c r="B106">
        <v>26</v>
      </c>
      <c r="C106" t="s">
        <v>44</v>
      </c>
      <c r="D106">
        <v>2019</v>
      </c>
      <c r="E106">
        <v>64</v>
      </c>
      <c r="F106">
        <v>105</v>
      </c>
      <c r="G106" t="s">
        <v>24</v>
      </c>
      <c r="H106" t="str">
        <f t="shared" si="6"/>
        <v>01</v>
      </c>
      <c r="I106" t="str">
        <f t="shared" si="7"/>
        <v>ae</v>
      </c>
      <c r="J106" t="str">
        <f t="shared" si="8"/>
        <v>Line</v>
      </c>
      <c r="K106">
        <v>4637377.4780000001</v>
      </c>
      <c r="L106">
        <v>416917.81699999998</v>
      </c>
      <c r="M106">
        <v>1.319</v>
      </c>
      <c r="N106" t="s">
        <v>8</v>
      </c>
    </row>
    <row r="107" spans="1:14" x14ac:dyDescent="0.35">
      <c r="A107" t="s">
        <v>43</v>
      </c>
      <c r="B107">
        <v>26</v>
      </c>
      <c r="C107" t="s">
        <v>44</v>
      </c>
      <c r="D107">
        <v>2019</v>
      </c>
      <c r="E107">
        <v>65</v>
      </c>
      <c r="F107">
        <v>106</v>
      </c>
      <c r="G107" t="s">
        <v>23</v>
      </c>
      <c r="H107" t="str">
        <f t="shared" si="6"/>
        <v>33</v>
      </c>
      <c r="I107" t="str">
        <f t="shared" si="7"/>
        <v>ef</v>
      </c>
      <c r="J107" t="str">
        <f t="shared" si="8"/>
        <v>Line</v>
      </c>
      <c r="K107">
        <v>4637379.0609999998</v>
      </c>
      <c r="L107">
        <v>416918.02500000002</v>
      </c>
      <c r="M107">
        <v>1.3839999999999999</v>
      </c>
      <c r="N107" t="s">
        <v>8</v>
      </c>
    </row>
    <row r="108" spans="1:14" x14ac:dyDescent="0.35">
      <c r="A108" t="s">
        <v>43</v>
      </c>
      <c r="B108">
        <v>26</v>
      </c>
      <c r="C108" t="s">
        <v>44</v>
      </c>
      <c r="D108">
        <v>2019</v>
      </c>
      <c r="E108">
        <v>65</v>
      </c>
      <c r="F108">
        <v>107</v>
      </c>
      <c r="G108" t="s">
        <v>23</v>
      </c>
      <c r="H108" t="str">
        <f t="shared" si="6"/>
        <v>33</v>
      </c>
      <c r="I108" t="str">
        <f t="shared" si="7"/>
        <v>ef</v>
      </c>
      <c r="J108" t="str">
        <f t="shared" si="8"/>
        <v>Line</v>
      </c>
      <c r="K108">
        <v>4637398.1040000003</v>
      </c>
      <c r="L108">
        <v>416917.65700000001</v>
      </c>
      <c r="M108">
        <v>1.4730000000000001</v>
      </c>
      <c r="N108" t="s">
        <v>8</v>
      </c>
    </row>
    <row r="109" spans="1:14" x14ac:dyDescent="0.35">
      <c r="A109" t="s">
        <v>43</v>
      </c>
      <c r="B109">
        <v>26</v>
      </c>
      <c r="C109" t="s">
        <v>44</v>
      </c>
      <c r="D109">
        <v>2019</v>
      </c>
      <c r="E109">
        <v>66</v>
      </c>
      <c r="F109">
        <v>108</v>
      </c>
      <c r="G109" t="s">
        <v>29</v>
      </c>
      <c r="H109" t="str">
        <f t="shared" si="6"/>
        <v>06</v>
      </c>
      <c r="I109" t="str">
        <f t="shared" si="7"/>
        <v>be</v>
      </c>
      <c r="J109" t="str">
        <f t="shared" si="8"/>
        <v>Line</v>
      </c>
      <c r="K109">
        <v>4637399.5310000004</v>
      </c>
      <c r="L109">
        <v>416917.592</v>
      </c>
      <c r="M109">
        <v>1.4379999999999999</v>
      </c>
      <c r="N109" t="s">
        <v>8</v>
      </c>
    </row>
    <row r="110" spans="1:14" x14ac:dyDescent="0.35">
      <c r="A110" t="s">
        <v>43</v>
      </c>
      <c r="B110">
        <v>26</v>
      </c>
      <c r="C110" t="s">
        <v>44</v>
      </c>
      <c r="D110">
        <v>2019</v>
      </c>
      <c r="E110">
        <v>66</v>
      </c>
      <c r="F110">
        <v>109</v>
      </c>
      <c r="G110" t="s">
        <v>29</v>
      </c>
      <c r="H110" t="str">
        <f t="shared" si="6"/>
        <v>06</v>
      </c>
      <c r="I110" t="str">
        <f t="shared" si="7"/>
        <v>be</v>
      </c>
      <c r="J110" t="str">
        <f t="shared" si="8"/>
        <v>Line</v>
      </c>
      <c r="K110">
        <v>4637404.2980000004</v>
      </c>
      <c r="L110">
        <v>416917.70500000002</v>
      </c>
      <c r="M110">
        <v>1.4570000000000001</v>
      </c>
      <c r="N110" t="s">
        <v>8</v>
      </c>
    </row>
    <row r="111" spans="1:14" x14ac:dyDescent="0.35">
      <c r="A111" t="s">
        <v>43</v>
      </c>
      <c r="B111">
        <v>26</v>
      </c>
      <c r="C111" t="s">
        <v>44</v>
      </c>
      <c r="D111">
        <v>2019</v>
      </c>
      <c r="E111">
        <v>67</v>
      </c>
      <c r="F111">
        <v>110</v>
      </c>
      <c r="G111" t="s">
        <v>30</v>
      </c>
      <c r="H111" t="str">
        <f t="shared" si="6"/>
        <v>10</v>
      </c>
      <c r="I111" t="str">
        <f t="shared" si="7"/>
        <v>be</v>
      </c>
      <c r="J111" t="str">
        <f t="shared" si="8"/>
        <v>MU</v>
      </c>
      <c r="K111">
        <v>4637405.6380000003</v>
      </c>
      <c r="L111">
        <v>416917.94</v>
      </c>
      <c r="M111">
        <v>1.423</v>
      </c>
      <c r="N111" t="s">
        <v>11</v>
      </c>
    </row>
    <row r="112" spans="1:14" x14ac:dyDescent="0.35">
      <c r="A112" t="s">
        <v>43</v>
      </c>
      <c r="B112">
        <v>26</v>
      </c>
      <c r="C112" t="s">
        <v>44</v>
      </c>
      <c r="D112">
        <v>2019</v>
      </c>
      <c r="E112">
        <v>68</v>
      </c>
      <c r="F112">
        <v>111</v>
      </c>
      <c r="G112" t="s">
        <v>23</v>
      </c>
      <c r="H112" t="str">
        <f t="shared" si="6"/>
        <v>33</v>
      </c>
      <c r="I112" t="str">
        <f t="shared" si="7"/>
        <v>ef</v>
      </c>
      <c r="J112" t="str">
        <f t="shared" si="8"/>
        <v>Line</v>
      </c>
      <c r="K112">
        <v>4637406.9249999998</v>
      </c>
      <c r="L112">
        <v>416917.76000000001</v>
      </c>
      <c r="M112">
        <v>1.397</v>
      </c>
      <c r="N112" t="s">
        <v>8</v>
      </c>
    </row>
    <row r="113" spans="1:14" x14ac:dyDescent="0.35">
      <c r="A113" t="s">
        <v>43</v>
      </c>
      <c r="B113">
        <v>26</v>
      </c>
      <c r="C113" t="s">
        <v>44</v>
      </c>
      <c r="D113">
        <v>2019</v>
      </c>
      <c r="E113">
        <v>68</v>
      </c>
      <c r="F113">
        <v>112</v>
      </c>
      <c r="G113" t="s">
        <v>23</v>
      </c>
      <c r="H113" t="str">
        <f t="shared" si="6"/>
        <v>33</v>
      </c>
      <c r="I113" t="str">
        <f t="shared" si="7"/>
        <v>ef</v>
      </c>
      <c r="J113" t="str">
        <f t="shared" si="8"/>
        <v>Line</v>
      </c>
      <c r="K113">
        <v>4637409.2039999999</v>
      </c>
      <c r="L113">
        <v>416919.18300000002</v>
      </c>
      <c r="M113">
        <v>1.284</v>
      </c>
      <c r="N113" t="s">
        <v>8</v>
      </c>
    </row>
    <row r="114" spans="1:14" x14ac:dyDescent="0.35">
      <c r="A114" t="s">
        <v>43</v>
      </c>
      <c r="B114">
        <v>26</v>
      </c>
      <c r="C114" t="s">
        <v>44</v>
      </c>
      <c r="D114">
        <v>2019</v>
      </c>
      <c r="E114">
        <v>69</v>
      </c>
      <c r="F114">
        <v>113</v>
      </c>
      <c r="G114" t="s">
        <v>31</v>
      </c>
      <c r="H114" t="str">
        <f t="shared" si="6"/>
        <v>27</v>
      </c>
      <c r="I114" t="str">
        <f t="shared" si="7"/>
        <v>g</v>
      </c>
      <c r="J114" t="str">
        <f t="shared" si="8"/>
        <v>Line</v>
      </c>
      <c r="K114">
        <v>4637411.1720000003</v>
      </c>
      <c r="L114">
        <v>416919.652</v>
      </c>
      <c r="M114">
        <v>0.874</v>
      </c>
      <c r="N114" t="s">
        <v>8</v>
      </c>
    </row>
    <row r="115" spans="1:14" x14ac:dyDescent="0.35">
      <c r="A115" t="s">
        <v>43</v>
      </c>
      <c r="B115">
        <v>26</v>
      </c>
      <c r="C115" t="s">
        <v>44</v>
      </c>
      <c r="D115">
        <v>2019</v>
      </c>
      <c r="E115">
        <v>69</v>
      </c>
      <c r="F115">
        <v>114</v>
      </c>
      <c r="G115" t="s">
        <v>31</v>
      </c>
      <c r="H115" t="str">
        <f t="shared" si="6"/>
        <v>27</v>
      </c>
      <c r="I115" t="str">
        <f t="shared" si="7"/>
        <v>g</v>
      </c>
      <c r="J115" t="str">
        <f t="shared" si="8"/>
        <v>Line</v>
      </c>
      <c r="K115">
        <v>4637412.8540000003</v>
      </c>
      <c r="L115">
        <v>416917.49</v>
      </c>
      <c r="M115">
        <v>0.72199999999999998</v>
      </c>
      <c r="N115" t="s">
        <v>8</v>
      </c>
    </row>
    <row r="116" spans="1:14" x14ac:dyDescent="0.35">
      <c r="A116" t="s">
        <v>43</v>
      </c>
      <c r="B116">
        <v>26</v>
      </c>
      <c r="C116" t="s">
        <v>44</v>
      </c>
      <c r="D116">
        <v>2019</v>
      </c>
      <c r="E116">
        <v>69</v>
      </c>
      <c r="F116">
        <v>115</v>
      </c>
      <c r="G116" t="s">
        <v>31</v>
      </c>
      <c r="H116" t="str">
        <f t="shared" si="6"/>
        <v>27</v>
      </c>
      <c r="I116" t="str">
        <f t="shared" si="7"/>
        <v>g</v>
      </c>
      <c r="J116" t="str">
        <f t="shared" si="8"/>
        <v>Line</v>
      </c>
      <c r="K116">
        <v>4637417.2060000002</v>
      </c>
      <c r="L116">
        <v>416914.21100000001</v>
      </c>
      <c r="M116">
        <v>0.57999999999999996</v>
      </c>
      <c r="N116" t="s">
        <v>8</v>
      </c>
    </row>
    <row r="117" spans="1:14" x14ac:dyDescent="0.35">
      <c r="A117" t="s">
        <v>43</v>
      </c>
      <c r="B117">
        <v>26</v>
      </c>
      <c r="C117" t="s">
        <v>44</v>
      </c>
      <c r="D117">
        <v>2019</v>
      </c>
      <c r="E117">
        <v>69</v>
      </c>
      <c r="F117">
        <v>116</v>
      </c>
      <c r="G117" t="s">
        <v>31</v>
      </c>
      <c r="H117" t="str">
        <f t="shared" si="6"/>
        <v>27</v>
      </c>
      <c r="I117" t="str">
        <f t="shared" si="7"/>
        <v>g</v>
      </c>
      <c r="J117" t="str">
        <f t="shared" si="8"/>
        <v>Line</v>
      </c>
      <c r="K117">
        <v>4637426.443</v>
      </c>
      <c r="L117">
        <v>416914.86200000002</v>
      </c>
      <c r="M117">
        <v>0.28000000000000003</v>
      </c>
      <c r="N117" t="s">
        <v>8</v>
      </c>
    </row>
    <row r="118" spans="1:14" x14ac:dyDescent="0.35">
      <c r="A118" t="s">
        <v>43</v>
      </c>
      <c r="B118">
        <v>26</v>
      </c>
      <c r="C118" t="s">
        <v>44</v>
      </c>
      <c r="D118">
        <v>2019</v>
      </c>
      <c r="E118">
        <v>69</v>
      </c>
      <c r="F118">
        <v>117</v>
      </c>
      <c r="G118" t="s">
        <v>31</v>
      </c>
      <c r="H118" t="str">
        <f t="shared" si="6"/>
        <v>27</v>
      </c>
      <c r="I118" t="str">
        <f t="shared" si="7"/>
        <v>g</v>
      </c>
      <c r="J118" t="str">
        <f t="shared" si="8"/>
        <v>Line</v>
      </c>
      <c r="K118">
        <v>4637433.6749999998</v>
      </c>
      <c r="L118">
        <v>416915.95400000003</v>
      </c>
      <c r="M118">
        <v>0.76800000000000002</v>
      </c>
      <c r="N118" t="s">
        <v>8</v>
      </c>
    </row>
    <row r="119" spans="1:14" x14ac:dyDescent="0.35">
      <c r="A119" t="s">
        <v>43</v>
      </c>
      <c r="B119">
        <v>26</v>
      </c>
      <c r="C119" t="s">
        <v>44</v>
      </c>
      <c r="D119">
        <v>2019</v>
      </c>
      <c r="E119">
        <v>70</v>
      </c>
      <c r="F119">
        <v>118</v>
      </c>
      <c r="G119" t="s">
        <v>32</v>
      </c>
      <c r="H119" t="str">
        <f t="shared" si="6"/>
        <v>27</v>
      </c>
      <c r="I119" t="str">
        <f t="shared" si="7"/>
        <v>eg</v>
      </c>
      <c r="J119" t="str">
        <f t="shared" si="8"/>
        <v>MU</v>
      </c>
      <c r="K119">
        <v>4637433.4589999998</v>
      </c>
      <c r="L119">
        <v>416914.929</v>
      </c>
      <c r="M119">
        <v>1.266</v>
      </c>
      <c r="N119" t="s">
        <v>11</v>
      </c>
    </row>
    <row r="120" spans="1:14" x14ac:dyDescent="0.35">
      <c r="A120" t="s">
        <v>43</v>
      </c>
      <c r="B120">
        <v>26</v>
      </c>
      <c r="C120" t="s">
        <v>44</v>
      </c>
      <c r="D120">
        <v>2019</v>
      </c>
      <c r="E120">
        <v>71</v>
      </c>
      <c r="F120">
        <v>119</v>
      </c>
      <c r="G120" t="s">
        <v>27</v>
      </c>
      <c r="H120" t="str">
        <f t="shared" si="6"/>
        <v>33</v>
      </c>
      <c r="I120" t="str">
        <f t="shared" si="7"/>
        <v>e</v>
      </c>
      <c r="J120" t="str">
        <f t="shared" si="8"/>
        <v>MU</v>
      </c>
      <c r="K120">
        <v>4637434.75</v>
      </c>
      <c r="L120">
        <v>416914.05699999997</v>
      </c>
      <c r="M120">
        <v>1.357</v>
      </c>
      <c r="N120" t="s">
        <v>11</v>
      </c>
    </row>
    <row r="121" spans="1:14" x14ac:dyDescent="0.35">
      <c r="A121" t="s">
        <v>43</v>
      </c>
      <c r="B121">
        <v>26</v>
      </c>
      <c r="C121" t="s">
        <v>44</v>
      </c>
      <c r="D121">
        <v>2019</v>
      </c>
      <c r="E121">
        <v>73</v>
      </c>
      <c r="F121">
        <v>133</v>
      </c>
      <c r="G121" t="s">
        <v>33</v>
      </c>
      <c r="H121" t="str">
        <f t="shared" si="6"/>
        <v>22</v>
      </c>
      <c r="I121" t="str">
        <f t="shared" si="7"/>
        <v>gf</v>
      </c>
      <c r="J121" t="str">
        <f t="shared" si="8"/>
        <v>MU</v>
      </c>
      <c r="K121">
        <v>4637415.7130000005</v>
      </c>
      <c r="L121">
        <v>416929.97700000001</v>
      </c>
      <c r="M121">
        <v>0.29599999999999999</v>
      </c>
      <c r="N121" t="s">
        <v>11</v>
      </c>
    </row>
    <row r="122" spans="1:14" x14ac:dyDescent="0.35">
      <c r="A122" t="s">
        <v>43</v>
      </c>
      <c r="B122">
        <v>26</v>
      </c>
      <c r="C122" t="s">
        <v>44</v>
      </c>
      <c r="D122">
        <v>2019</v>
      </c>
      <c r="E122">
        <v>74</v>
      </c>
      <c r="F122">
        <v>134</v>
      </c>
      <c r="G122" t="s">
        <v>34</v>
      </c>
      <c r="H122" t="str">
        <f t="shared" si="6"/>
        <v>22</v>
      </c>
      <c r="I122" t="str">
        <f t="shared" si="7"/>
        <v>g</v>
      </c>
      <c r="J122" t="str">
        <f t="shared" si="8"/>
        <v>Line</v>
      </c>
      <c r="K122">
        <v>4637411.1449999996</v>
      </c>
      <c r="L122">
        <v>416935.39500000002</v>
      </c>
      <c r="M122">
        <v>0.17399999999999999</v>
      </c>
      <c r="N122" t="s">
        <v>8</v>
      </c>
    </row>
    <row r="123" spans="1:14" x14ac:dyDescent="0.35">
      <c r="A123" t="s">
        <v>43</v>
      </c>
      <c r="B123">
        <v>26</v>
      </c>
      <c r="C123" t="s">
        <v>44</v>
      </c>
      <c r="D123">
        <v>2019</v>
      </c>
      <c r="E123">
        <v>74</v>
      </c>
      <c r="F123">
        <v>135</v>
      </c>
      <c r="G123" t="s">
        <v>34</v>
      </c>
      <c r="H123" t="str">
        <f t="shared" si="6"/>
        <v>22</v>
      </c>
      <c r="I123" t="str">
        <f t="shared" si="7"/>
        <v>g</v>
      </c>
      <c r="J123" t="str">
        <f t="shared" si="8"/>
        <v>Line</v>
      </c>
      <c r="K123">
        <v>4637411.1330000004</v>
      </c>
      <c r="L123">
        <v>416935.31599999999</v>
      </c>
      <c r="M123">
        <v>0.20699999999999999</v>
      </c>
      <c r="N123" t="s">
        <v>8</v>
      </c>
    </row>
    <row r="124" spans="1:14" x14ac:dyDescent="0.35">
      <c r="A124" t="s">
        <v>43</v>
      </c>
      <c r="B124">
        <v>26</v>
      </c>
      <c r="C124" t="s">
        <v>44</v>
      </c>
      <c r="D124">
        <v>2019</v>
      </c>
      <c r="E124">
        <v>75</v>
      </c>
      <c r="F124">
        <v>136</v>
      </c>
      <c r="G124" t="s">
        <v>34</v>
      </c>
      <c r="H124" t="str">
        <f t="shared" si="6"/>
        <v>22</v>
      </c>
      <c r="I124" t="str">
        <f t="shared" si="7"/>
        <v>g</v>
      </c>
      <c r="J124" t="str">
        <f t="shared" si="8"/>
        <v>MU</v>
      </c>
      <c r="K124">
        <v>4637415.8640000001</v>
      </c>
      <c r="L124">
        <v>416938.402</v>
      </c>
      <c r="M124">
        <v>0.187</v>
      </c>
      <c r="N124" t="s">
        <v>11</v>
      </c>
    </row>
    <row r="125" spans="1:14" x14ac:dyDescent="0.35">
      <c r="A125" t="s">
        <v>43</v>
      </c>
      <c r="B125">
        <v>26</v>
      </c>
      <c r="C125" t="s">
        <v>44</v>
      </c>
      <c r="D125">
        <v>2019</v>
      </c>
      <c r="E125">
        <v>76</v>
      </c>
      <c r="F125">
        <v>137</v>
      </c>
      <c r="G125" t="s">
        <v>34</v>
      </c>
      <c r="H125" t="str">
        <f t="shared" si="6"/>
        <v>22</v>
      </c>
      <c r="I125" t="str">
        <f t="shared" si="7"/>
        <v>g</v>
      </c>
      <c r="J125" t="str">
        <f t="shared" si="8"/>
        <v>MU</v>
      </c>
      <c r="K125">
        <v>4637414.3039999995</v>
      </c>
      <c r="L125">
        <v>416951.68</v>
      </c>
      <c r="M125">
        <v>0.248</v>
      </c>
      <c r="N125" t="s">
        <v>11</v>
      </c>
    </row>
    <row r="126" spans="1:14" x14ac:dyDescent="0.35">
      <c r="A126" t="s">
        <v>43</v>
      </c>
      <c r="B126">
        <v>26</v>
      </c>
      <c r="C126" t="s">
        <v>44</v>
      </c>
      <c r="D126">
        <v>2019</v>
      </c>
      <c r="E126">
        <v>77</v>
      </c>
      <c r="F126">
        <v>138</v>
      </c>
      <c r="G126" t="s">
        <v>34</v>
      </c>
      <c r="H126" t="str">
        <f t="shared" si="6"/>
        <v>22</v>
      </c>
      <c r="I126" t="str">
        <f t="shared" si="7"/>
        <v>g</v>
      </c>
      <c r="J126" t="str">
        <f t="shared" si="8"/>
        <v>MU</v>
      </c>
      <c r="K126">
        <v>4637409.5470000003</v>
      </c>
      <c r="L126">
        <v>416959.82799999998</v>
      </c>
      <c r="M126">
        <v>0.23799999999999999</v>
      </c>
      <c r="N126" t="s">
        <v>11</v>
      </c>
    </row>
    <row r="127" spans="1:14" x14ac:dyDescent="0.35">
      <c r="A127" t="s">
        <v>43</v>
      </c>
      <c r="B127">
        <v>26</v>
      </c>
      <c r="C127" t="s">
        <v>44</v>
      </c>
      <c r="D127">
        <v>2019</v>
      </c>
      <c r="E127">
        <v>78</v>
      </c>
      <c r="F127">
        <v>139</v>
      </c>
      <c r="G127" t="s">
        <v>35</v>
      </c>
      <c r="H127" t="str">
        <f t="shared" si="6"/>
        <v>22</v>
      </c>
      <c r="I127" t="str">
        <f t="shared" si="7"/>
        <v>cgf</v>
      </c>
      <c r="J127" t="str">
        <f t="shared" si="8"/>
        <v>MU</v>
      </c>
      <c r="K127">
        <v>4637398.3770000003</v>
      </c>
      <c r="L127">
        <v>416954.66800000001</v>
      </c>
      <c r="M127">
        <v>0.72299999999999998</v>
      </c>
      <c r="N127" t="s">
        <v>11</v>
      </c>
    </row>
    <row r="128" spans="1:14" x14ac:dyDescent="0.35">
      <c r="A128" t="s">
        <v>43</v>
      </c>
      <c r="B128">
        <v>26</v>
      </c>
      <c r="C128" t="s">
        <v>44</v>
      </c>
      <c r="D128">
        <v>2019</v>
      </c>
      <c r="E128">
        <v>79</v>
      </c>
      <c r="F128">
        <v>140</v>
      </c>
      <c r="G128" t="s">
        <v>34</v>
      </c>
      <c r="H128" t="str">
        <f t="shared" si="6"/>
        <v>22</v>
      </c>
      <c r="I128" t="str">
        <f t="shared" si="7"/>
        <v>g</v>
      </c>
      <c r="J128" t="str">
        <f t="shared" si="8"/>
        <v>MU</v>
      </c>
      <c r="K128">
        <v>4637401.1009999998</v>
      </c>
      <c r="L128">
        <v>416960.43199999997</v>
      </c>
      <c r="M128">
        <v>0.13100000000000001</v>
      </c>
      <c r="N128" t="s">
        <v>11</v>
      </c>
    </row>
    <row r="129" spans="1:14" x14ac:dyDescent="0.35">
      <c r="A129" t="s">
        <v>43</v>
      </c>
      <c r="B129">
        <v>26</v>
      </c>
      <c r="C129" t="s">
        <v>44</v>
      </c>
      <c r="D129">
        <v>2019</v>
      </c>
      <c r="E129">
        <v>80</v>
      </c>
      <c r="F129">
        <v>141</v>
      </c>
      <c r="G129" t="s">
        <v>34</v>
      </c>
      <c r="H129" t="str">
        <f t="shared" si="6"/>
        <v>22</v>
      </c>
      <c r="I129" t="str">
        <f t="shared" si="7"/>
        <v>g</v>
      </c>
      <c r="J129" t="str">
        <f t="shared" si="8"/>
        <v>Line</v>
      </c>
      <c r="K129">
        <v>4637431.9040000001</v>
      </c>
      <c r="L129">
        <v>416931.38699999999</v>
      </c>
      <c r="M129">
        <v>5.5E-2</v>
      </c>
      <c r="N129" t="s">
        <v>8</v>
      </c>
    </row>
    <row r="130" spans="1:14" x14ac:dyDescent="0.35">
      <c r="A130" t="s">
        <v>43</v>
      </c>
      <c r="B130">
        <v>26</v>
      </c>
      <c r="C130" t="s">
        <v>44</v>
      </c>
      <c r="D130">
        <v>2019</v>
      </c>
      <c r="E130">
        <v>80</v>
      </c>
      <c r="F130">
        <v>142</v>
      </c>
      <c r="G130" t="s">
        <v>34</v>
      </c>
      <c r="H130" t="str">
        <f t="shared" si="6"/>
        <v>22</v>
      </c>
      <c r="I130" t="str">
        <f t="shared" si="7"/>
        <v>g</v>
      </c>
      <c r="J130" t="str">
        <f t="shared" si="8"/>
        <v>Line</v>
      </c>
      <c r="K130">
        <v>4637430.7580000004</v>
      </c>
      <c r="L130">
        <v>416927.16600000003</v>
      </c>
      <c r="M130">
        <v>0.13400000000000001</v>
      </c>
      <c r="N130" t="s">
        <v>8</v>
      </c>
    </row>
    <row r="131" spans="1:14" x14ac:dyDescent="0.35">
      <c r="A131" t="s">
        <v>43</v>
      </c>
      <c r="B131">
        <v>26</v>
      </c>
      <c r="C131" t="s">
        <v>44</v>
      </c>
      <c r="D131">
        <v>2019</v>
      </c>
      <c r="E131">
        <v>80</v>
      </c>
      <c r="F131">
        <v>143</v>
      </c>
      <c r="G131" t="s">
        <v>34</v>
      </c>
      <c r="H131" t="str">
        <f t="shared" ref="H131:H136" si="9">LEFT(G131,2)</f>
        <v>22</v>
      </c>
      <c r="I131" t="str">
        <f t="shared" ref="I131:I136" si="10">RIGHT(G131,LEN(G131)-LEN(H131))</f>
        <v>g</v>
      </c>
      <c r="J131" t="str">
        <f t="shared" ref="J131:J136" si="11">IF(OR((E131=E132),(E131=E130)),"Line","MU")</f>
        <v>Line</v>
      </c>
      <c r="K131">
        <v>4637429.3949999996</v>
      </c>
      <c r="L131">
        <v>416923.96799999999</v>
      </c>
      <c r="M131">
        <v>0.253</v>
      </c>
      <c r="N131" t="s">
        <v>8</v>
      </c>
    </row>
    <row r="132" spans="1:14" x14ac:dyDescent="0.35">
      <c r="A132" t="s">
        <v>43</v>
      </c>
      <c r="B132">
        <v>26</v>
      </c>
      <c r="C132" t="s">
        <v>44</v>
      </c>
      <c r="D132">
        <v>2019</v>
      </c>
      <c r="E132">
        <v>80</v>
      </c>
      <c r="F132">
        <v>144</v>
      </c>
      <c r="G132" t="s">
        <v>34</v>
      </c>
      <c r="H132" t="str">
        <f t="shared" si="9"/>
        <v>22</v>
      </c>
      <c r="I132" t="str">
        <f t="shared" si="10"/>
        <v>g</v>
      </c>
      <c r="J132" t="str">
        <f t="shared" si="11"/>
        <v>Line</v>
      </c>
      <c r="K132">
        <v>4637429.2779999999</v>
      </c>
      <c r="L132">
        <v>416918.15100000001</v>
      </c>
      <c r="M132">
        <v>6.5000000000000002E-2</v>
      </c>
      <c r="N132" t="s">
        <v>8</v>
      </c>
    </row>
    <row r="133" spans="1:14" x14ac:dyDescent="0.35">
      <c r="A133" t="s">
        <v>43</v>
      </c>
      <c r="B133">
        <v>26</v>
      </c>
      <c r="C133" t="s">
        <v>44</v>
      </c>
      <c r="D133">
        <v>2019</v>
      </c>
      <c r="E133">
        <v>80</v>
      </c>
      <c r="F133">
        <v>145</v>
      </c>
      <c r="G133" t="s">
        <v>34</v>
      </c>
      <c r="H133" t="str">
        <f t="shared" si="9"/>
        <v>22</v>
      </c>
      <c r="I133" t="str">
        <f t="shared" si="10"/>
        <v>g</v>
      </c>
      <c r="J133" t="str">
        <f t="shared" si="11"/>
        <v>Line</v>
      </c>
      <c r="K133">
        <v>4637414.7949999999</v>
      </c>
      <c r="L133">
        <v>416918.21399999998</v>
      </c>
      <c r="M133">
        <v>6.4000000000000001E-2</v>
      </c>
      <c r="N133" t="s">
        <v>8</v>
      </c>
    </row>
    <row r="134" spans="1:14" x14ac:dyDescent="0.35">
      <c r="A134" t="s">
        <v>43</v>
      </c>
      <c r="B134">
        <v>26</v>
      </c>
      <c r="C134" t="s">
        <v>44</v>
      </c>
      <c r="D134">
        <v>2019</v>
      </c>
      <c r="E134">
        <v>80</v>
      </c>
      <c r="F134">
        <v>146</v>
      </c>
      <c r="G134" t="s">
        <v>34</v>
      </c>
      <c r="H134" t="str">
        <f t="shared" si="9"/>
        <v>22</v>
      </c>
      <c r="I134" t="str">
        <f t="shared" si="10"/>
        <v>g</v>
      </c>
      <c r="J134" t="str">
        <f t="shared" si="11"/>
        <v>Line</v>
      </c>
      <c r="K134">
        <v>4637415.8119999999</v>
      </c>
      <c r="L134">
        <v>416926.63900000002</v>
      </c>
      <c r="M134">
        <v>0.23899999999999999</v>
      </c>
      <c r="N134" t="s">
        <v>8</v>
      </c>
    </row>
    <row r="135" spans="1:14" x14ac:dyDescent="0.35">
      <c r="A135" t="s">
        <v>43</v>
      </c>
      <c r="B135">
        <v>26</v>
      </c>
      <c r="C135" t="s">
        <v>44</v>
      </c>
      <c r="D135">
        <v>2019</v>
      </c>
      <c r="E135">
        <v>81</v>
      </c>
      <c r="F135">
        <v>147</v>
      </c>
      <c r="G135" t="s">
        <v>34</v>
      </c>
      <c r="H135" t="str">
        <f t="shared" si="9"/>
        <v>22</v>
      </c>
      <c r="I135" t="str">
        <f t="shared" si="10"/>
        <v>g</v>
      </c>
      <c r="J135" t="str">
        <f t="shared" si="11"/>
        <v>MU</v>
      </c>
      <c r="K135">
        <v>4637472.6009999998</v>
      </c>
      <c r="L135">
        <v>416966.45</v>
      </c>
      <c r="M135">
        <v>0.28299999999999997</v>
      </c>
      <c r="N135" t="s">
        <v>11</v>
      </c>
    </row>
    <row r="136" spans="1:14" x14ac:dyDescent="0.35">
      <c r="A136" t="s">
        <v>43</v>
      </c>
      <c r="B136">
        <v>26</v>
      </c>
      <c r="C136" t="s">
        <v>44</v>
      </c>
      <c r="D136">
        <v>2019</v>
      </c>
      <c r="E136">
        <v>83</v>
      </c>
      <c r="F136">
        <v>150</v>
      </c>
      <c r="G136" t="s">
        <v>34</v>
      </c>
      <c r="H136" t="str">
        <f t="shared" si="9"/>
        <v>22</v>
      </c>
      <c r="I136" t="str">
        <f t="shared" si="10"/>
        <v>g</v>
      </c>
      <c r="J136" t="str">
        <f t="shared" si="11"/>
        <v>MU</v>
      </c>
      <c r="K136">
        <v>4637451.6550000003</v>
      </c>
      <c r="L136">
        <v>416971.27299999999</v>
      </c>
      <c r="M136">
        <v>1.012</v>
      </c>
      <c r="N136" t="s">
        <v>11</v>
      </c>
    </row>
  </sheetData>
  <autoFilter ref="A1:N136" xr:uid="{01BFA0F1-3CE7-4297-BA05-94F9147A3F5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47A0-9BD2-4CE5-992F-58763D4033B4}">
  <dimension ref="A1:N106"/>
  <sheetViews>
    <sheetView tabSelected="1" workbookViewId="0"/>
  </sheetViews>
  <sheetFormatPr defaultRowHeight="14.5" x14ac:dyDescent="0.35"/>
  <sheetData>
    <row r="1" spans="1:14" x14ac:dyDescent="0.35">
      <c r="A1" t="s">
        <v>36</v>
      </c>
      <c r="B1" t="s">
        <v>37</v>
      </c>
      <c r="C1" t="s">
        <v>38</v>
      </c>
      <c r="D1" t="s">
        <v>39</v>
      </c>
      <c r="E1" t="s">
        <v>0</v>
      </c>
      <c r="F1" t="s">
        <v>1</v>
      </c>
      <c r="G1" t="s">
        <v>40</v>
      </c>
      <c r="H1" t="s">
        <v>2</v>
      </c>
      <c r="I1" t="s">
        <v>41</v>
      </c>
      <c r="J1" t="s">
        <v>42</v>
      </c>
      <c r="K1" t="s">
        <v>3</v>
      </c>
      <c r="L1" t="s">
        <v>4</v>
      </c>
      <c r="M1" t="s">
        <v>5</v>
      </c>
      <c r="N1" t="s">
        <v>6</v>
      </c>
    </row>
    <row r="2" spans="1:14" x14ac:dyDescent="0.35">
      <c r="A2" t="s">
        <v>43</v>
      </c>
      <c r="B2">
        <v>26</v>
      </c>
      <c r="C2" t="s">
        <v>44</v>
      </c>
      <c r="D2">
        <v>2019</v>
      </c>
      <c r="E2">
        <v>1</v>
      </c>
      <c r="F2">
        <v>1</v>
      </c>
      <c r="G2" t="s">
        <v>7</v>
      </c>
      <c r="H2" t="s">
        <v>45</v>
      </c>
      <c r="I2" t="s">
        <v>46</v>
      </c>
      <c r="J2" t="s">
        <v>47</v>
      </c>
      <c r="K2">
        <v>4637043.8530000001</v>
      </c>
      <c r="L2">
        <v>416968.67700000003</v>
      </c>
      <c r="M2">
        <v>1.655</v>
      </c>
      <c r="N2" t="s">
        <v>8</v>
      </c>
    </row>
    <row r="3" spans="1:14" x14ac:dyDescent="0.35">
      <c r="A3" t="s">
        <v>43</v>
      </c>
      <c r="B3">
        <v>26</v>
      </c>
      <c r="C3" t="s">
        <v>44</v>
      </c>
      <c r="D3">
        <v>2019</v>
      </c>
      <c r="E3">
        <v>1</v>
      </c>
      <c r="F3">
        <v>2</v>
      </c>
      <c r="G3" t="s">
        <v>7</v>
      </c>
      <c r="H3" t="s">
        <v>45</v>
      </c>
      <c r="I3" t="s">
        <v>46</v>
      </c>
      <c r="J3" t="s">
        <v>47</v>
      </c>
      <c r="K3">
        <v>4637044.0669999998</v>
      </c>
      <c r="L3">
        <v>416980.087</v>
      </c>
      <c r="M3">
        <v>1.63</v>
      </c>
      <c r="N3" t="s">
        <v>8</v>
      </c>
    </row>
    <row r="4" spans="1:14" x14ac:dyDescent="0.35">
      <c r="A4" t="s">
        <v>43</v>
      </c>
      <c r="B4">
        <v>26</v>
      </c>
      <c r="C4" t="s">
        <v>44</v>
      </c>
      <c r="D4">
        <v>2019</v>
      </c>
      <c r="E4">
        <v>2</v>
      </c>
      <c r="F4">
        <v>3</v>
      </c>
      <c r="G4" t="s">
        <v>9</v>
      </c>
      <c r="H4" t="s">
        <v>48</v>
      </c>
      <c r="I4" t="s">
        <v>46</v>
      </c>
      <c r="J4" t="s">
        <v>47</v>
      </c>
      <c r="K4">
        <v>4637045.2050000001</v>
      </c>
      <c r="L4">
        <v>416980.64399999997</v>
      </c>
      <c r="M4">
        <v>1.6259999999999999</v>
      </c>
      <c r="N4" t="s">
        <v>8</v>
      </c>
    </row>
    <row r="5" spans="1:14" x14ac:dyDescent="0.35">
      <c r="A5" t="s">
        <v>43</v>
      </c>
      <c r="B5">
        <v>26</v>
      </c>
      <c r="C5" t="s">
        <v>44</v>
      </c>
      <c r="D5">
        <v>2019</v>
      </c>
      <c r="E5">
        <v>2</v>
      </c>
      <c r="F5">
        <v>4</v>
      </c>
      <c r="G5" t="s">
        <v>9</v>
      </c>
      <c r="H5" t="s">
        <v>48</v>
      </c>
      <c r="I5" t="s">
        <v>46</v>
      </c>
      <c r="J5" t="s">
        <v>47</v>
      </c>
      <c r="K5">
        <v>4637044.4790000003</v>
      </c>
      <c r="L5">
        <v>416984.45500000002</v>
      </c>
      <c r="M5">
        <v>1.641</v>
      </c>
      <c r="N5" t="s">
        <v>8</v>
      </c>
    </row>
    <row r="6" spans="1:14" x14ac:dyDescent="0.35">
      <c r="A6" t="s">
        <v>43</v>
      </c>
      <c r="B6">
        <v>26</v>
      </c>
      <c r="C6" t="s">
        <v>44</v>
      </c>
      <c r="D6">
        <v>2019</v>
      </c>
      <c r="E6">
        <v>3</v>
      </c>
      <c r="F6">
        <v>5</v>
      </c>
      <c r="G6" t="s">
        <v>10</v>
      </c>
      <c r="H6" t="s">
        <v>49</v>
      </c>
      <c r="I6" t="s">
        <v>46</v>
      </c>
      <c r="J6" t="s">
        <v>47</v>
      </c>
      <c r="K6">
        <v>4637045.6639999999</v>
      </c>
      <c r="L6">
        <v>416984.44099999999</v>
      </c>
      <c r="M6">
        <v>1.649</v>
      </c>
      <c r="N6" t="s">
        <v>8</v>
      </c>
    </row>
    <row r="7" spans="1:14" x14ac:dyDescent="0.35">
      <c r="A7" t="s">
        <v>43</v>
      </c>
      <c r="B7">
        <v>26</v>
      </c>
      <c r="C7" t="s">
        <v>44</v>
      </c>
      <c r="D7">
        <v>2019</v>
      </c>
      <c r="E7">
        <v>3</v>
      </c>
      <c r="F7">
        <v>6</v>
      </c>
      <c r="G7" t="s">
        <v>10</v>
      </c>
      <c r="H7" t="s">
        <v>49</v>
      </c>
      <c r="I7" t="s">
        <v>46</v>
      </c>
      <c r="J7" t="s">
        <v>47</v>
      </c>
      <c r="K7">
        <v>4637049.1519999998</v>
      </c>
      <c r="L7">
        <v>416984.31800000003</v>
      </c>
      <c r="M7">
        <v>1.5840000000000001</v>
      </c>
      <c r="N7" t="s">
        <v>8</v>
      </c>
    </row>
    <row r="8" spans="1:14" x14ac:dyDescent="0.35">
      <c r="A8" t="s">
        <v>43</v>
      </c>
      <c r="B8">
        <v>26</v>
      </c>
      <c r="C8" t="s">
        <v>44</v>
      </c>
      <c r="D8">
        <v>2019</v>
      </c>
      <c r="E8">
        <v>4</v>
      </c>
      <c r="F8">
        <v>7</v>
      </c>
      <c r="G8" t="s">
        <v>9</v>
      </c>
      <c r="H8" t="s">
        <v>48</v>
      </c>
      <c r="I8" t="s">
        <v>46</v>
      </c>
      <c r="J8" t="s">
        <v>47</v>
      </c>
      <c r="K8">
        <v>4637050.4610000001</v>
      </c>
      <c r="L8">
        <v>416984.24699999997</v>
      </c>
      <c r="M8">
        <v>1.575</v>
      </c>
      <c r="N8" t="s">
        <v>8</v>
      </c>
    </row>
    <row r="9" spans="1:14" x14ac:dyDescent="0.35">
      <c r="A9" t="s">
        <v>43</v>
      </c>
      <c r="B9">
        <v>26</v>
      </c>
      <c r="C9" t="s">
        <v>44</v>
      </c>
      <c r="D9">
        <v>2019</v>
      </c>
      <c r="E9">
        <v>4</v>
      </c>
      <c r="F9">
        <v>8</v>
      </c>
      <c r="G9" t="s">
        <v>9</v>
      </c>
      <c r="H9" t="s">
        <v>48</v>
      </c>
      <c r="I9" t="s">
        <v>46</v>
      </c>
      <c r="J9" t="s">
        <v>47</v>
      </c>
      <c r="K9">
        <v>4637051.5369999995</v>
      </c>
      <c r="L9">
        <v>416992.97399999999</v>
      </c>
      <c r="M9">
        <v>1.601</v>
      </c>
      <c r="N9" t="s">
        <v>8</v>
      </c>
    </row>
    <row r="10" spans="1:14" x14ac:dyDescent="0.35">
      <c r="A10" t="s">
        <v>43</v>
      </c>
      <c r="B10">
        <v>26</v>
      </c>
      <c r="C10" t="s">
        <v>44</v>
      </c>
      <c r="D10">
        <v>2019</v>
      </c>
      <c r="E10">
        <v>4</v>
      </c>
      <c r="F10">
        <v>9</v>
      </c>
      <c r="G10" t="s">
        <v>9</v>
      </c>
      <c r="H10" t="s">
        <v>48</v>
      </c>
      <c r="I10" t="s">
        <v>46</v>
      </c>
      <c r="J10" t="s">
        <v>47</v>
      </c>
      <c r="K10">
        <v>4637053.2039999999</v>
      </c>
      <c r="L10">
        <v>416992.76</v>
      </c>
      <c r="M10">
        <v>1.607</v>
      </c>
      <c r="N10" t="s">
        <v>8</v>
      </c>
    </row>
    <row r="11" spans="1:14" x14ac:dyDescent="0.35">
      <c r="A11" t="s">
        <v>43</v>
      </c>
      <c r="B11">
        <v>26</v>
      </c>
      <c r="C11" t="s">
        <v>44</v>
      </c>
      <c r="D11">
        <v>2019</v>
      </c>
      <c r="E11">
        <v>4</v>
      </c>
      <c r="F11">
        <v>10</v>
      </c>
      <c r="G11" t="s">
        <v>9</v>
      </c>
      <c r="H11" t="s">
        <v>48</v>
      </c>
      <c r="I11" t="s">
        <v>46</v>
      </c>
      <c r="J11" t="s">
        <v>47</v>
      </c>
      <c r="K11">
        <v>4637054.6560000004</v>
      </c>
      <c r="L11">
        <v>416978.45199999999</v>
      </c>
      <c r="M11">
        <v>1.603</v>
      </c>
      <c r="N11" t="s">
        <v>8</v>
      </c>
    </row>
    <row r="12" spans="1:14" x14ac:dyDescent="0.35">
      <c r="A12" t="s">
        <v>43</v>
      </c>
      <c r="B12">
        <v>26</v>
      </c>
      <c r="C12" t="s">
        <v>44</v>
      </c>
      <c r="D12">
        <v>2019</v>
      </c>
      <c r="E12">
        <v>6</v>
      </c>
      <c r="F12">
        <v>12</v>
      </c>
      <c r="G12" t="s">
        <v>9</v>
      </c>
      <c r="H12" t="s">
        <v>48</v>
      </c>
      <c r="I12" t="s">
        <v>46</v>
      </c>
      <c r="J12" t="s">
        <v>47</v>
      </c>
      <c r="K12">
        <v>4637056.3439999996</v>
      </c>
      <c r="L12">
        <v>416977.45199999999</v>
      </c>
      <c r="M12">
        <v>1.5629999999999999</v>
      </c>
      <c r="N12" t="s">
        <v>8</v>
      </c>
    </row>
    <row r="13" spans="1:14" x14ac:dyDescent="0.35">
      <c r="A13" t="s">
        <v>43</v>
      </c>
      <c r="B13">
        <v>26</v>
      </c>
      <c r="C13" t="s">
        <v>44</v>
      </c>
      <c r="D13">
        <v>2019</v>
      </c>
      <c r="E13">
        <v>6</v>
      </c>
      <c r="F13">
        <v>13</v>
      </c>
      <c r="G13" t="s">
        <v>9</v>
      </c>
      <c r="H13" t="s">
        <v>48</v>
      </c>
      <c r="I13" t="s">
        <v>46</v>
      </c>
      <c r="J13" t="s">
        <v>47</v>
      </c>
      <c r="K13">
        <v>4637055.8679999998</v>
      </c>
      <c r="L13">
        <v>416986.23</v>
      </c>
      <c r="M13">
        <v>1.601</v>
      </c>
      <c r="N13" t="s">
        <v>8</v>
      </c>
    </row>
    <row r="14" spans="1:14" x14ac:dyDescent="0.35">
      <c r="A14" t="s">
        <v>43</v>
      </c>
      <c r="B14">
        <v>26</v>
      </c>
      <c r="C14" t="s">
        <v>44</v>
      </c>
      <c r="D14">
        <v>2019</v>
      </c>
      <c r="E14">
        <v>6</v>
      </c>
      <c r="F14">
        <v>14</v>
      </c>
      <c r="G14" t="s">
        <v>7</v>
      </c>
      <c r="H14" t="s">
        <v>45</v>
      </c>
      <c r="I14" t="s">
        <v>46</v>
      </c>
      <c r="J14" t="s">
        <v>47</v>
      </c>
      <c r="K14">
        <v>4637055.6490000002</v>
      </c>
      <c r="L14">
        <v>416987.53899999999</v>
      </c>
      <c r="M14">
        <v>1.609</v>
      </c>
      <c r="N14" t="s">
        <v>8</v>
      </c>
    </row>
    <row r="15" spans="1:14" x14ac:dyDescent="0.35">
      <c r="A15" t="s">
        <v>43</v>
      </c>
      <c r="B15">
        <v>26</v>
      </c>
      <c r="C15" t="s">
        <v>44</v>
      </c>
      <c r="D15">
        <v>2019</v>
      </c>
      <c r="E15">
        <v>6</v>
      </c>
      <c r="F15">
        <v>15</v>
      </c>
      <c r="G15" t="s">
        <v>7</v>
      </c>
      <c r="H15" t="s">
        <v>45</v>
      </c>
      <c r="I15" t="s">
        <v>46</v>
      </c>
      <c r="J15" t="s">
        <v>47</v>
      </c>
      <c r="K15">
        <v>4637054.2949999999</v>
      </c>
      <c r="L15">
        <v>416990.14799999999</v>
      </c>
      <c r="M15">
        <v>1.613</v>
      </c>
      <c r="N15" t="s">
        <v>8</v>
      </c>
    </row>
    <row r="16" spans="1:14" x14ac:dyDescent="0.35">
      <c r="A16" t="s">
        <v>43</v>
      </c>
      <c r="B16">
        <v>26</v>
      </c>
      <c r="C16" t="s">
        <v>44</v>
      </c>
      <c r="D16">
        <v>2019</v>
      </c>
      <c r="E16">
        <v>6</v>
      </c>
      <c r="F16">
        <v>16</v>
      </c>
      <c r="G16" t="s">
        <v>7</v>
      </c>
      <c r="H16" t="s">
        <v>45</v>
      </c>
      <c r="I16" t="s">
        <v>46</v>
      </c>
      <c r="J16" t="s">
        <v>47</v>
      </c>
      <c r="K16">
        <v>4637054.665</v>
      </c>
      <c r="L16">
        <v>416993.13</v>
      </c>
      <c r="M16">
        <v>1.627</v>
      </c>
      <c r="N16" t="s">
        <v>8</v>
      </c>
    </row>
    <row r="17" spans="1:14" x14ac:dyDescent="0.35">
      <c r="A17" t="s">
        <v>43</v>
      </c>
      <c r="B17">
        <v>26</v>
      </c>
      <c r="C17" t="s">
        <v>44</v>
      </c>
      <c r="D17">
        <v>2019</v>
      </c>
      <c r="E17">
        <v>7</v>
      </c>
      <c r="F17">
        <v>17</v>
      </c>
      <c r="G17" t="s">
        <v>12</v>
      </c>
      <c r="H17" t="s">
        <v>50</v>
      </c>
      <c r="I17" t="s">
        <v>46</v>
      </c>
      <c r="J17" t="s">
        <v>47</v>
      </c>
      <c r="K17">
        <v>4637055.8569999998</v>
      </c>
      <c r="L17">
        <v>416993.32400000002</v>
      </c>
      <c r="M17">
        <v>1.6339999999999999</v>
      </c>
      <c r="N17" t="s">
        <v>8</v>
      </c>
    </row>
    <row r="18" spans="1:14" x14ac:dyDescent="0.35">
      <c r="A18" t="s">
        <v>43</v>
      </c>
      <c r="B18">
        <v>26</v>
      </c>
      <c r="C18" t="s">
        <v>44</v>
      </c>
      <c r="D18">
        <v>2019</v>
      </c>
      <c r="E18">
        <v>7</v>
      </c>
      <c r="F18">
        <v>18</v>
      </c>
      <c r="G18" t="s">
        <v>12</v>
      </c>
      <c r="H18" t="s">
        <v>50</v>
      </c>
      <c r="I18" t="s">
        <v>46</v>
      </c>
      <c r="J18" t="s">
        <v>47</v>
      </c>
      <c r="K18">
        <v>4637049.8710000003</v>
      </c>
      <c r="L18">
        <v>417001.52899999998</v>
      </c>
      <c r="M18">
        <v>1.665</v>
      </c>
      <c r="N18" t="s">
        <v>8</v>
      </c>
    </row>
    <row r="19" spans="1:14" x14ac:dyDescent="0.35">
      <c r="A19" t="s">
        <v>43</v>
      </c>
      <c r="B19">
        <v>26</v>
      </c>
      <c r="C19" t="s">
        <v>44</v>
      </c>
      <c r="D19">
        <v>2019</v>
      </c>
      <c r="E19">
        <v>9</v>
      </c>
      <c r="F19">
        <v>20</v>
      </c>
      <c r="G19">
        <v>4</v>
      </c>
      <c r="H19" t="s">
        <v>51</v>
      </c>
      <c r="I19" t="s">
        <v>52</v>
      </c>
      <c r="J19" t="s">
        <v>47</v>
      </c>
      <c r="K19">
        <v>4637046.9179999996</v>
      </c>
      <c r="L19">
        <v>417002.78200000001</v>
      </c>
      <c r="M19">
        <v>1.585</v>
      </c>
      <c r="N19" t="s">
        <v>8</v>
      </c>
    </row>
    <row r="20" spans="1:14" x14ac:dyDescent="0.35">
      <c r="A20" t="s">
        <v>43</v>
      </c>
      <c r="B20">
        <v>26</v>
      </c>
      <c r="C20" t="s">
        <v>44</v>
      </c>
      <c r="D20">
        <v>2019</v>
      </c>
      <c r="E20">
        <v>9</v>
      </c>
      <c r="F20">
        <v>21</v>
      </c>
      <c r="G20">
        <v>4</v>
      </c>
      <c r="H20" t="s">
        <v>51</v>
      </c>
      <c r="I20" t="s">
        <v>52</v>
      </c>
      <c r="J20" t="s">
        <v>47</v>
      </c>
      <c r="K20">
        <v>4637043.8729999997</v>
      </c>
      <c r="L20">
        <v>417003.62599999999</v>
      </c>
      <c r="M20">
        <v>1.7170000000000001</v>
      </c>
      <c r="N20" t="s">
        <v>8</v>
      </c>
    </row>
    <row r="21" spans="1:14" x14ac:dyDescent="0.35">
      <c r="A21" t="s">
        <v>43</v>
      </c>
      <c r="B21">
        <v>26</v>
      </c>
      <c r="C21" t="s">
        <v>44</v>
      </c>
      <c r="D21">
        <v>2019</v>
      </c>
      <c r="E21">
        <v>10</v>
      </c>
      <c r="F21">
        <v>22</v>
      </c>
      <c r="G21" t="s">
        <v>13</v>
      </c>
      <c r="H21" t="s">
        <v>53</v>
      </c>
      <c r="I21" t="s">
        <v>46</v>
      </c>
      <c r="J21" t="s">
        <v>47</v>
      </c>
      <c r="K21">
        <v>4637042.3739999998</v>
      </c>
      <c r="L21">
        <v>417004.31099999999</v>
      </c>
      <c r="M21">
        <v>1.806</v>
      </c>
      <c r="N21" t="s">
        <v>8</v>
      </c>
    </row>
    <row r="22" spans="1:14" x14ac:dyDescent="0.35">
      <c r="A22" t="s">
        <v>43</v>
      </c>
      <c r="B22">
        <v>26</v>
      </c>
      <c r="C22" t="s">
        <v>44</v>
      </c>
      <c r="D22">
        <v>2019</v>
      </c>
      <c r="E22">
        <v>10</v>
      </c>
      <c r="F22">
        <v>23</v>
      </c>
      <c r="G22" t="s">
        <v>13</v>
      </c>
      <c r="H22" t="s">
        <v>53</v>
      </c>
      <c r="I22" t="s">
        <v>46</v>
      </c>
      <c r="J22" t="s">
        <v>47</v>
      </c>
      <c r="K22">
        <v>4637041.5199999996</v>
      </c>
      <c r="L22">
        <v>417006.95299999998</v>
      </c>
      <c r="M22">
        <v>1.891</v>
      </c>
      <c r="N22" t="s">
        <v>8</v>
      </c>
    </row>
    <row r="23" spans="1:14" x14ac:dyDescent="0.35">
      <c r="A23" t="s">
        <v>43</v>
      </c>
      <c r="B23">
        <v>26</v>
      </c>
      <c r="C23" t="s">
        <v>44</v>
      </c>
      <c r="D23">
        <v>2019</v>
      </c>
      <c r="E23">
        <v>11</v>
      </c>
      <c r="F23">
        <v>24</v>
      </c>
      <c r="G23" t="s">
        <v>14</v>
      </c>
      <c r="H23" t="s">
        <v>54</v>
      </c>
      <c r="I23" t="s">
        <v>46</v>
      </c>
      <c r="J23" t="s">
        <v>47</v>
      </c>
      <c r="K23">
        <v>4637040.3439999996</v>
      </c>
      <c r="L23">
        <v>417007.92300000001</v>
      </c>
      <c r="M23">
        <v>1.9810000000000001</v>
      </c>
      <c r="N23" t="s">
        <v>8</v>
      </c>
    </row>
    <row r="24" spans="1:14" x14ac:dyDescent="0.35">
      <c r="A24" t="s">
        <v>43</v>
      </c>
      <c r="B24">
        <v>26</v>
      </c>
      <c r="C24" t="s">
        <v>44</v>
      </c>
      <c r="D24">
        <v>2019</v>
      </c>
      <c r="E24">
        <v>11</v>
      </c>
      <c r="F24">
        <v>25</v>
      </c>
      <c r="G24" t="s">
        <v>14</v>
      </c>
      <c r="H24" t="s">
        <v>54</v>
      </c>
      <c r="I24" t="s">
        <v>46</v>
      </c>
      <c r="J24" t="s">
        <v>47</v>
      </c>
      <c r="K24">
        <v>4637039.3810000001</v>
      </c>
      <c r="L24">
        <v>417016.00199999998</v>
      </c>
      <c r="M24">
        <v>1.94</v>
      </c>
      <c r="N24" t="s">
        <v>8</v>
      </c>
    </row>
    <row r="25" spans="1:14" x14ac:dyDescent="0.35">
      <c r="A25" t="s">
        <v>43</v>
      </c>
      <c r="B25">
        <v>26</v>
      </c>
      <c r="C25" t="s">
        <v>44</v>
      </c>
      <c r="D25">
        <v>2019</v>
      </c>
      <c r="E25">
        <v>11</v>
      </c>
      <c r="F25">
        <v>26</v>
      </c>
      <c r="G25" t="s">
        <v>14</v>
      </c>
      <c r="H25" t="s">
        <v>54</v>
      </c>
      <c r="I25" t="s">
        <v>46</v>
      </c>
      <c r="J25" t="s">
        <v>47</v>
      </c>
      <c r="K25">
        <v>4637040.8619999997</v>
      </c>
      <c r="L25">
        <v>417016.69900000002</v>
      </c>
      <c r="M25">
        <v>1.879</v>
      </c>
      <c r="N25" t="s">
        <v>8</v>
      </c>
    </row>
    <row r="26" spans="1:14" x14ac:dyDescent="0.35">
      <c r="A26" t="s">
        <v>43</v>
      </c>
      <c r="B26">
        <v>26</v>
      </c>
      <c r="C26" t="s">
        <v>44</v>
      </c>
      <c r="D26">
        <v>2019</v>
      </c>
      <c r="E26">
        <v>12</v>
      </c>
      <c r="F26">
        <v>27</v>
      </c>
      <c r="G26" t="s">
        <v>15</v>
      </c>
      <c r="H26" t="s">
        <v>55</v>
      </c>
      <c r="I26" t="s">
        <v>46</v>
      </c>
      <c r="J26" t="s">
        <v>47</v>
      </c>
      <c r="K26">
        <v>4637041.1040000003</v>
      </c>
      <c r="L26">
        <v>417018.00900000002</v>
      </c>
      <c r="M26">
        <v>1.883</v>
      </c>
      <c r="N26" t="s">
        <v>8</v>
      </c>
    </row>
    <row r="27" spans="1:14" x14ac:dyDescent="0.35">
      <c r="A27" t="s">
        <v>43</v>
      </c>
      <c r="B27">
        <v>26</v>
      </c>
      <c r="C27" t="s">
        <v>44</v>
      </c>
      <c r="D27">
        <v>2019</v>
      </c>
      <c r="E27">
        <v>12</v>
      </c>
      <c r="F27">
        <v>28</v>
      </c>
      <c r="G27" t="s">
        <v>15</v>
      </c>
      <c r="H27" t="s">
        <v>55</v>
      </c>
      <c r="I27" t="s">
        <v>46</v>
      </c>
      <c r="J27" t="s">
        <v>47</v>
      </c>
      <c r="K27">
        <v>4637041.3480000002</v>
      </c>
      <c r="L27">
        <v>417023.43199999997</v>
      </c>
      <c r="M27">
        <v>1.915</v>
      </c>
      <c r="N27" t="s">
        <v>8</v>
      </c>
    </row>
    <row r="28" spans="1:14" x14ac:dyDescent="0.35">
      <c r="A28" t="s">
        <v>43</v>
      </c>
      <c r="B28">
        <v>26</v>
      </c>
      <c r="C28" t="s">
        <v>44</v>
      </c>
      <c r="D28">
        <v>2019</v>
      </c>
      <c r="E28">
        <v>13</v>
      </c>
      <c r="F28">
        <v>29</v>
      </c>
      <c r="G28" t="s">
        <v>15</v>
      </c>
      <c r="H28" t="s">
        <v>55</v>
      </c>
      <c r="I28" t="s">
        <v>46</v>
      </c>
      <c r="J28" t="s">
        <v>47</v>
      </c>
      <c r="K28">
        <v>4637041.6509999996</v>
      </c>
      <c r="L28">
        <v>417028.73599999998</v>
      </c>
      <c r="M28">
        <v>1.9470000000000001</v>
      </c>
      <c r="N28" t="s">
        <v>8</v>
      </c>
    </row>
    <row r="29" spans="1:14" x14ac:dyDescent="0.35">
      <c r="A29" t="s">
        <v>43</v>
      </c>
      <c r="B29">
        <v>26</v>
      </c>
      <c r="C29" t="s">
        <v>44</v>
      </c>
      <c r="D29">
        <v>2019</v>
      </c>
      <c r="E29">
        <v>13</v>
      </c>
      <c r="F29">
        <v>30</v>
      </c>
      <c r="G29" t="s">
        <v>15</v>
      </c>
      <c r="H29" t="s">
        <v>55</v>
      </c>
      <c r="I29" t="s">
        <v>46</v>
      </c>
      <c r="J29" t="s">
        <v>47</v>
      </c>
      <c r="K29">
        <v>4637043.9610000001</v>
      </c>
      <c r="L29">
        <v>417032.64899999998</v>
      </c>
      <c r="M29">
        <v>1.8919999999999999</v>
      </c>
      <c r="N29" t="s">
        <v>8</v>
      </c>
    </row>
    <row r="30" spans="1:14" x14ac:dyDescent="0.35">
      <c r="A30" t="s">
        <v>43</v>
      </c>
      <c r="B30">
        <v>26</v>
      </c>
      <c r="C30" t="s">
        <v>44</v>
      </c>
      <c r="D30">
        <v>2019</v>
      </c>
      <c r="E30">
        <v>13</v>
      </c>
      <c r="F30">
        <v>31</v>
      </c>
      <c r="G30" t="s">
        <v>15</v>
      </c>
      <c r="H30" t="s">
        <v>55</v>
      </c>
      <c r="I30" t="s">
        <v>46</v>
      </c>
      <c r="J30" t="s">
        <v>47</v>
      </c>
      <c r="K30">
        <v>4637045.4000000004</v>
      </c>
      <c r="L30">
        <v>417037.07799999998</v>
      </c>
      <c r="M30">
        <v>1.903</v>
      </c>
      <c r="N30" t="s">
        <v>8</v>
      </c>
    </row>
    <row r="31" spans="1:14" x14ac:dyDescent="0.35">
      <c r="A31" t="s">
        <v>43</v>
      </c>
      <c r="B31">
        <v>26</v>
      </c>
      <c r="C31" t="s">
        <v>44</v>
      </c>
      <c r="D31">
        <v>2019</v>
      </c>
      <c r="E31">
        <v>14</v>
      </c>
      <c r="F31">
        <v>32</v>
      </c>
      <c r="G31">
        <v>32</v>
      </c>
      <c r="H31" t="s">
        <v>56</v>
      </c>
      <c r="I31" t="s">
        <v>52</v>
      </c>
      <c r="J31" t="s">
        <v>47</v>
      </c>
      <c r="K31">
        <v>4637045.6689999998</v>
      </c>
      <c r="L31">
        <v>417038.17099999997</v>
      </c>
      <c r="M31">
        <v>1.8640000000000001</v>
      </c>
      <c r="N31" t="s">
        <v>8</v>
      </c>
    </row>
    <row r="32" spans="1:14" x14ac:dyDescent="0.35">
      <c r="A32" t="s">
        <v>43</v>
      </c>
      <c r="B32">
        <v>26</v>
      </c>
      <c r="C32" t="s">
        <v>44</v>
      </c>
      <c r="D32">
        <v>2019</v>
      </c>
      <c r="E32">
        <v>14</v>
      </c>
      <c r="F32">
        <v>33</v>
      </c>
      <c r="G32">
        <v>32</v>
      </c>
      <c r="H32" t="s">
        <v>56</v>
      </c>
      <c r="I32" t="s">
        <v>52</v>
      </c>
      <c r="J32" t="s">
        <v>47</v>
      </c>
      <c r="K32">
        <v>4637046.9850000003</v>
      </c>
      <c r="L32">
        <v>417041.94500000001</v>
      </c>
      <c r="M32">
        <v>1.889</v>
      </c>
      <c r="N32" t="s">
        <v>8</v>
      </c>
    </row>
    <row r="33" spans="1:14" x14ac:dyDescent="0.35">
      <c r="A33" t="s">
        <v>43</v>
      </c>
      <c r="B33">
        <v>26</v>
      </c>
      <c r="C33" t="s">
        <v>44</v>
      </c>
      <c r="D33">
        <v>2019</v>
      </c>
      <c r="E33">
        <v>16</v>
      </c>
      <c r="F33">
        <v>35</v>
      </c>
      <c r="G33" t="s">
        <v>10</v>
      </c>
      <c r="H33" t="s">
        <v>49</v>
      </c>
      <c r="I33" t="s">
        <v>46</v>
      </c>
      <c r="J33" t="s">
        <v>47</v>
      </c>
      <c r="K33">
        <v>4637049.5250000004</v>
      </c>
      <c r="L33">
        <v>417041.60600000003</v>
      </c>
      <c r="M33">
        <v>1.6259999999999999</v>
      </c>
      <c r="N33" t="s">
        <v>8</v>
      </c>
    </row>
    <row r="34" spans="1:14" x14ac:dyDescent="0.35">
      <c r="A34" t="s">
        <v>43</v>
      </c>
      <c r="B34">
        <v>26</v>
      </c>
      <c r="C34" t="s">
        <v>44</v>
      </c>
      <c r="D34">
        <v>2019</v>
      </c>
      <c r="E34">
        <v>16</v>
      </c>
      <c r="F34">
        <v>36</v>
      </c>
      <c r="G34" t="s">
        <v>10</v>
      </c>
      <c r="H34" t="s">
        <v>49</v>
      </c>
      <c r="I34" t="s">
        <v>46</v>
      </c>
      <c r="J34" t="s">
        <v>47</v>
      </c>
      <c r="K34">
        <v>4637056.0630000001</v>
      </c>
      <c r="L34">
        <v>417048.43800000002</v>
      </c>
      <c r="M34">
        <v>1.6140000000000001</v>
      </c>
      <c r="N34" t="s">
        <v>8</v>
      </c>
    </row>
    <row r="35" spans="1:14" x14ac:dyDescent="0.35">
      <c r="A35" t="s">
        <v>43</v>
      </c>
      <c r="B35">
        <v>26</v>
      </c>
      <c r="C35" t="s">
        <v>44</v>
      </c>
      <c r="D35">
        <v>2019</v>
      </c>
      <c r="E35">
        <v>16</v>
      </c>
      <c r="F35">
        <v>37</v>
      </c>
      <c r="G35" t="s">
        <v>10</v>
      </c>
      <c r="H35" t="s">
        <v>49</v>
      </c>
      <c r="I35" t="s">
        <v>46</v>
      </c>
      <c r="J35" t="s">
        <v>47</v>
      </c>
      <c r="K35">
        <v>4637053.18</v>
      </c>
      <c r="L35">
        <v>417060.90899999999</v>
      </c>
      <c r="M35">
        <v>1.744</v>
      </c>
      <c r="N35" t="s">
        <v>8</v>
      </c>
    </row>
    <row r="36" spans="1:14" x14ac:dyDescent="0.35">
      <c r="A36" t="s">
        <v>43</v>
      </c>
      <c r="B36">
        <v>26</v>
      </c>
      <c r="C36" t="s">
        <v>44</v>
      </c>
      <c r="D36">
        <v>2019</v>
      </c>
      <c r="E36">
        <v>19</v>
      </c>
      <c r="F36">
        <v>40</v>
      </c>
      <c r="G36" t="s">
        <v>7</v>
      </c>
      <c r="H36" t="s">
        <v>45</v>
      </c>
      <c r="I36" t="s">
        <v>46</v>
      </c>
      <c r="J36" t="s">
        <v>47</v>
      </c>
      <c r="K36">
        <v>4637074.99</v>
      </c>
      <c r="L36">
        <v>416926.217</v>
      </c>
      <c r="M36">
        <v>1.585</v>
      </c>
      <c r="N36" t="s">
        <v>8</v>
      </c>
    </row>
    <row r="37" spans="1:14" x14ac:dyDescent="0.35">
      <c r="A37" t="s">
        <v>43</v>
      </c>
      <c r="B37">
        <v>26</v>
      </c>
      <c r="C37" t="s">
        <v>44</v>
      </c>
      <c r="D37">
        <v>2019</v>
      </c>
      <c r="E37">
        <v>19</v>
      </c>
      <c r="F37">
        <v>41</v>
      </c>
      <c r="G37" t="s">
        <v>7</v>
      </c>
      <c r="H37" t="s">
        <v>45</v>
      </c>
      <c r="I37" t="s">
        <v>46</v>
      </c>
      <c r="J37" t="s">
        <v>47</v>
      </c>
      <c r="K37">
        <v>4637081.8459999999</v>
      </c>
      <c r="L37">
        <v>416934.34499999997</v>
      </c>
      <c r="M37">
        <v>1.649</v>
      </c>
      <c r="N37" t="s">
        <v>8</v>
      </c>
    </row>
    <row r="38" spans="1:14" x14ac:dyDescent="0.35">
      <c r="A38" t="s">
        <v>43</v>
      </c>
      <c r="B38">
        <v>26</v>
      </c>
      <c r="C38" t="s">
        <v>44</v>
      </c>
      <c r="D38">
        <v>2019</v>
      </c>
      <c r="E38">
        <v>19</v>
      </c>
      <c r="F38">
        <v>42</v>
      </c>
      <c r="G38" t="s">
        <v>7</v>
      </c>
      <c r="H38" t="s">
        <v>45</v>
      </c>
      <c r="I38" t="s">
        <v>46</v>
      </c>
      <c r="J38" t="s">
        <v>47</v>
      </c>
      <c r="K38">
        <v>4637082.82</v>
      </c>
      <c r="L38">
        <v>416938.51899999997</v>
      </c>
      <c r="M38">
        <v>1.645</v>
      </c>
      <c r="N38" t="s">
        <v>8</v>
      </c>
    </row>
    <row r="39" spans="1:14" x14ac:dyDescent="0.35">
      <c r="A39" t="s">
        <v>43</v>
      </c>
      <c r="B39">
        <v>26</v>
      </c>
      <c r="C39" t="s">
        <v>44</v>
      </c>
      <c r="D39">
        <v>2019</v>
      </c>
      <c r="E39">
        <v>20</v>
      </c>
      <c r="F39">
        <v>43</v>
      </c>
      <c r="G39" t="s">
        <v>10</v>
      </c>
      <c r="H39" t="s">
        <v>49</v>
      </c>
      <c r="I39" t="s">
        <v>46</v>
      </c>
      <c r="J39" t="s">
        <v>47</v>
      </c>
      <c r="K39">
        <v>4637081.8039999995</v>
      </c>
      <c r="L39">
        <v>416939.217</v>
      </c>
      <c r="M39">
        <v>1.6479999999999999</v>
      </c>
      <c r="N39" t="s">
        <v>8</v>
      </c>
    </row>
    <row r="40" spans="1:14" x14ac:dyDescent="0.35">
      <c r="A40" t="s">
        <v>43</v>
      </c>
      <c r="B40">
        <v>26</v>
      </c>
      <c r="C40" t="s">
        <v>44</v>
      </c>
      <c r="D40">
        <v>2019</v>
      </c>
      <c r="E40">
        <v>20</v>
      </c>
      <c r="F40">
        <v>44</v>
      </c>
      <c r="G40" t="s">
        <v>10</v>
      </c>
      <c r="H40" t="s">
        <v>49</v>
      </c>
      <c r="I40" t="s">
        <v>46</v>
      </c>
      <c r="J40" t="s">
        <v>47</v>
      </c>
      <c r="K40">
        <v>4637080.9029999999</v>
      </c>
      <c r="L40">
        <v>416940.91800000001</v>
      </c>
      <c r="M40">
        <v>1.62</v>
      </c>
      <c r="N40" t="s">
        <v>8</v>
      </c>
    </row>
    <row r="41" spans="1:14" x14ac:dyDescent="0.35">
      <c r="A41" t="s">
        <v>43</v>
      </c>
      <c r="B41">
        <v>26</v>
      </c>
      <c r="C41" t="s">
        <v>44</v>
      </c>
      <c r="D41">
        <v>2019</v>
      </c>
      <c r="E41">
        <v>34</v>
      </c>
      <c r="F41">
        <v>48</v>
      </c>
      <c r="G41" t="s">
        <v>9</v>
      </c>
      <c r="H41" t="s">
        <v>48</v>
      </c>
      <c r="I41" t="s">
        <v>46</v>
      </c>
      <c r="J41" t="s">
        <v>47</v>
      </c>
      <c r="K41">
        <v>4637161.1610000003</v>
      </c>
      <c r="L41">
        <v>416980.21799999999</v>
      </c>
      <c r="M41">
        <v>1.65</v>
      </c>
      <c r="N41" t="s">
        <v>8</v>
      </c>
    </row>
    <row r="42" spans="1:14" x14ac:dyDescent="0.35">
      <c r="A42" t="s">
        <v>43</v>
      </c>
      <c r="B42">
        <v>26</v>
      </c>
      <c r="C42" t="s">
        <v>44</v>
      </c>
      <c r="D42">
        <v>2019</v>
      </c>
      <c r="E42">
        <v>34</v>
      </c>
      <c r="F42">
        <v>49</v>
      </c>
      <c r="G42" t="s">
        <v>9</v>
      </c>
      <c r="H42" t="s">
        <v>48</v>
      </c>
      <c r="I42" t="s">
        <v>46</v>
      </c>
      <c r="J42" t="s">
        <v>47</v>
      </c>
      <c r="K42">
        <v>4637166.3530000001</v>
      </c>
      <c r="L42">
        <v>416986.43800000002</v>
      </c>
      <c r="M42">
        <v>1.5940000000000001</v>
      </c>
      <c r="N42" t="s">
        <v>8</v>
      </c>
    </row>
    <row r="43" spans="1:14" x14ac:dyDescent="0.35">
      <c r="A43" t="s">
        <v>43</v>
      </c>
      <c r="B43">
        <v>26</v>
      </c>
      <c r="C43" t="s">
        <v>44</v>
      </c>
      <c r="D43">
        <v>2019</v>
      </c>
      <c r="E43">
        <v>34</v>
      </c>
      <c r="F43">
        <v>50</v>
      </c>
      <c r="G43" t="s">
        <v>9</v>
      </c>
      <c r="H43" t="s">
        <v>48</v>
      </c>
      <c r="I43" t="s">
        <v>46</v>
      </c>
      <c r="J43" t="s">
        <v>47</v>
      </c>
      <c r="K43">
        <v>4637168.392</v>
      </c>
      <c r="L43">
        <v>416983.82</v>
      </c>
      <c r="M43">
        <v>1.597</v>
      </c>
      <c r="N43" t="s">
        <v>8</v>
      </c>
    </row>
    <row r="44" spans="1:14" x14ac:dyDescent="0.35">
      <c r="A44" t="s">
        <v>43</v>
      </c>
      <c r="B44">
        <v>26</v>
      </c>
      <c r="C44" t="s">
        <v>44</v>
      </c>
      <c r="D44">
        <v>2019</v>
      </c>
      <c r="E44">
        <v>35</v>
      </c>
      <c r="F44">
        <v>51</v>
      </c>
      <c r="G44" t="s">
        <v>15</v>
      </c>
      <c r="H44" t="s">
        <v>55</v>
      </c>
      <c r="I44" t="s">
        <v>46</v>
      </c>
      <c r="J44" t="s">
        <v>47</v>
      </c>
      <c r="K44">
        <v>4637168.3210000005</v>
      </c>
      <c r="L44">
        <v>416982.34</v>
      </c>
      <c r="M44">
        <v>1.6479999999999999</v>
      </c>
      <c r="N44" t="s">
        <v>8</v>
      </c>
    </row>
    <row r="45" spans="1:14" x14ac:dyDescent="0.35">
      <c r="A45" t="s">
        <v>43</v>
      </c>
      <c r="B45">
        <v>26</v>
      </c>
      <c r="C45" t="s">
        <v>44</v>
      </c>
      <c r="D45">
        <v>2019</v>
      </c>
      <c r="E45">
        <v>35</v>
      </c>
      <c r="F45">
        <v>52</v>
      </c>
      <c r="G45" t="s">
        <v>15</v>
      </c>
      <c r="H45" t="s">
        <v>55</v>
      </c>
      <c r="I45" t="s">
        <v>46</v>
      </c>
      <c r="J45" t="s">
        <v>47</v>
      </c>
      <c r="K45">
        <v>4637162.091</v>
      </c>
      <c r="L45">
        <v>416977.36300000001</v>
      </c>
      <c r="M45">
        <v>1.754</v>
      </c>
      <c r="N45" t="s">
        <v>8</v>
      </c>
    </row>
    <row r="46" spans="1:14" x14ac:dyDescent="0.35">
      <c r="A46" t="s">
        <v>43</v>
      </c>
      <c r="B46">
        <v>26</v>
      </c>
      <c r="C46" t="s">
        <v>44</v>
      </c>
      <c r="D46">
        <v>2019</v>
      </c>
      <c r="E46">
        <v>36</v>
      </c>
      <c r="F46">
        <v>53</v>
      </c>
      <c r="G46" t="s">
        <v>17</v>
      </c>
      <c r="H46" t="s">
        <v>57</v>
      </c>
      <c r="I46" t="s">
        <v>46</v>
      </c>
      <c r="J46" t="s">
        <v>47</v>
      </c>
      <c r="K46">
        <v>4637348.9110000003</v>
      </c>
      <c r="L46">
        <v>417022.299</v>
      </c>
      <c r="M46">
        <v>1.2310000000000001</v>
      </c>
      <c r="N46" t="s">
        <v>8</v>
      </c>
    </row>
    <row r="47" spans="1:14" x14ac:dyDescent="0.35">
      <c r="A47" t="s">
        <v>43</v>
      </c>
      <c r="B47">
        <v>26</v>
      </c>
      <c r="C47" t="s">
        <v>44</v>
      </c>
      <c r="D47">
        <v>2019</v>
      </c>
      <c r="E47">
        <v>36</v>
      </c>
      <c r="F47">
        <v>54</v>
      </c>
      <c r="G47" t="s">
        <v>17</v>
      </c>
      <c r="H47" t="s">
        <v>57</v>
      </c>
      <c r="I47" t="s">
        <v>46</v>
      </c>
      <c r="J47" t="s">
        <v>47</v>
      </c>
      <c r="K47">
        <v>4637348.1469999999</v>
      </c>
      <c r="L47">
        <v>417034.42099999997</v>
      </c>
      <c r="M47">
        <v>1.163</v>
      </c>
      <c r="N47" t="s">
        <v>8</v>
      </c>
    </row>
    <row r="48" spans="1:14" x14ac:dyDescent="0.35">
      <c r="A48" t="s">
        <v>43</v>
      </c>
      <c r="B48">
        <v>26</v>
      </c>
      <c r="C48" t="s">
        <v>44</v>
      </c>
      <c r="D48">
        <v>2019</v>
      </c>
      <c r="E48">
        <v>36</v>
      </c>
      <c r="F48">
        <v>55</v>
      </c>
      <c r="G48" t="s">
        <v>17</v>
      </c>
      <c r="H48" t="s">
        <v>57</v>
      </c>
      <c r="I48" t="s">
        <v>46</v>
      </c>
      <c r="J48" t="s">
        <v>47</v>
      </c>
      <c r="K48">
        <v>4637348.7259999998</v>
      </c>
      <c r="L48">
        <v>417037.88699999999</v>
      </c>
      <c r="M48">
        <v>1.141</v>
      </c>
      <c r="N48" t="s">
        <v>8</v>
      </c>
    </row>
    <row r="49" spans="1:14" x14ac:dyDescent="0.35">
      <c r="A49" t="s">
        <v>43</v>
      </c>
      <c r="B49">
        <v>26</v>
      </c>
      <c r="C49" t="s">
        <v>44</v>
      </c>
      <c r="D49">
        <v>2019</v>
      </c>
      <c r="E49">
        <v>36</v>
      </c>
      <c r="F49">
        <v>56</v>
      </c>
      <c r="G49" t="s">
        <v>17</v>
      </c>
      <c r="H49" t="s">
        <v>57</v>
      </c>
      <c r="I49" t="s">
        <v>46</v>
      </c>
      <c r="J49" t="s">
        <v>47</v>
      </c>
      <c r="K49">
        <v>4637351.0530000003</v>
      </c>
      <c r="L49">
        <v>417045.239</v>
      </c>
      <c r="M49">
        <v>0.999</v>
      </c>
      <c r="N49" t="s">
        <v>8</v>
      </c>
    </row>
    <row r="50" spans="1:14" x14ac:dyDescent="0.35">
      <c r="A50" t="s">
        <v>43</v>
      </c>
      <c r="B50">
        <v>26</v>
      </c>
      <c r="C50" t="s">
        <v>44</v>
      </c>
      <c r="D50">
        <v>2019</v>
      </c>
      <c r="E50">
        <v>36</v>
      </c>
      <c r="F50">
        <v>57</v>
      </c>
      <c r="G50" t="s">
        <v>17</v>
      </c>
      <c r="H50" t="s">
        <v>57</v>
      </c>
      <c r="I50" t="s">
        <v>46</v>
      </c>
      <c r="J50" t="s">
        <v>47</v>
      </c>
      <c r="K50">
        <v>4637350.3990000002</v>
      </c>
      <c r="L50">
        <v>417047.88699999999</v>
      </c>
      <c r="M50">
        <v>0.82</v>
      </c>
      <c r="N50" t="s">
        <v>8</v>
      </c>
    </row>
    <row r="51" spans="1:14" x14ac:dyDescent="0.35">
      <c r="A51" t="s">
        <v>43</v>
      </c>
      <c r="B51">
        <v>26</v>
      </c>
      <c r="C51" t="s">
        <v>44</v>
      </c>
      <c r="D51">
        <v>2019</v>
      </c>
      <c r="E51">
        <v>39</v>
      </c>
      <c r="F51">
        <v>60</v>
      </c>
      <c r="G51" t="s">
        <v>19</v>
      </c>
      <c r="H51" t="s">
        <v>58</v>
      </c>
      <c r="I51" t="s">
        <v>46</v>
      </c>
      <c r="J51" t="s">
        <v>47</v>
      </c>
      <c r="K51">
        <v>4637347.8969999999</v>
      </c>
      <c r="L51">
        <v>417047.08299999998</v>
      </c>
      <c r="M51">
        <v>1.085</v>
      </c>
      <c r="N51" t="s">
        <v>8</v>
      </c>
    </row>
    <row r="52" spans="1:14" x14ac:dyDescent="0.35">
      <c r="A52" t="s">
        <v>43</v>
      </c>
      <c r="B52">
        <v>26</v>
      </c>
      <c r="C52" t="s">
        <v>44</v>
      </c>
      <c r="D52">
        <v>2019</v>
      </c>
      <c r="E52">
        <v>39</v>
      </c>
      <c r="F52">
        <v>61</v>
      </c>
      <c r="G52" t="s">
        <v>19</v>
      </c>
      <c r="H52" t="s">
        <v>58</v>
      </c>
      <c r="I52" t="s">
        <v>46</v>
      </c>
      <c r="J52" t="s">
        <v>47</v>
      </c>
      <c r="K52">
        <v>4637345.3210000005</v>
      </c>
      <c r="L52">
        <v>417046.36499999999</v>
      </c>
      <c r="M52">
        <v>1.278</v>
      </c>
      <c r="N52" t="s">
        <v>8</v>
      </c>
    </row>
    <row r="53" spans="1:14" x14ac:dyDescent="0.35">
      <c r="A53" t="s">
        <v>43</v>
      </c>
      <c r="B53">
        <v>26</v>
      </c>
      <c r="C53" t="s">
        <v>44</v>
      </c>
      <c r="D53">
        <v>2019</v>
      </c>
      <c r="E53">
        <v>43</v>
      </c>
      <c r="F53">
        <v>65</v>
      </c>
      <c r="G53" t="s">
        <v>22</v>
      </c>
      <c r="H53" t="s">
        <v>57</v>
      </c>
      <c r="I53" t="s">
        <v>59</v>
      </c>
      <c r="J53" t="s">
        <v>47</v>
      </c>
      <c r="K53">
        <v>4637339.773</v>
      </c>
      <c r="L53">
        <v>417051.54399999999</v>
      </c>
      <c r="M53">
        <v>1.294</v>
      </c>
      <c r="N53" t="s">
        <v>8</v>
      </c>
    </row>
    <row r="54" spans="1:14" x14ac:dyDescent="0.35">
      <c r="A54" t="s">
        <v>43</v>
      </c>
      <c r="B54">
        <v>26</v>
      </c>
      <c r="C54" t="s">
        <v>44</v>
      </c>
      <c r="D54">
        <v>2019</v>
      </c>
      <c r="E54">
        <v>43</v>
      </c>
      <c r="F54">
        <v>66</v>
      </c>
      <c r="G54" t="s">
        <v>22</v>
      </c>
      <c r="H54" t="s">
        <v>57</v>
      </c>
      <c r="I54" t="s">
        <v>59</v>
      </c>
      <c r="J54" t="s">
        <v>47</v>
      </c>
      <c r="K54">
        <v>4637336.9570000004</v>
      </c>
      <c r="L54">
        <v>417053.69799999997</v>
      </c>
      <c r="M54">
        <v>1.2809999999999999</v>
      </c>
      <c r="N54" t="s">
        <v>8</v>
      </c>
    </row>
    <row r="55" spans="1:14" x14ac:dyDescent="0.35">
      <c r="A55" t="s">
        <v>43</v>
      </c>
      <c r="B55">
        <v>26</v>
      </c>
      <c r="C55" t="s">
        <v>44</v>
      </c>
      <c r="D55">
        <v>2019</v>
      </c>
      <c r="E55">
        <v>44</v>
      </c>
      <c r="F55">
        <v>67</v>
      </c>
      <c r="G55" t="s">
        <v>23</v>
      </c>
      <c r="H55" t="s">
        <v>60</v>
      </c>
      <c r="I55" t="s">
        <v>61</v>
      </c>
      <c r="J55" t="s">
        <v>47</v>
      </c>
      <c r="K55">
        <v>4637335.9160000002</v>
      </c>
      <c r="L55">
        <v>417053.97899999999</v>
      </c>
      <c r="M55">
        <v>1.254</v>
      </c>
      <c r="N55" t="s">
        <v>8</v>
      </c>
    </row>
    <row r="56" spans="1:14" x14ac:dyDescent="0.35">
      <c r="A56" t="s">
        <v>43</v>
      </c>
      <c r="B56">
        <v>26</v>
      </c>
      <c r="C56" t="s">
        <v>44</v>
      </c>
      <c r="D56">
        <v>2019</v>
      </c>
      <c r="E56">
        <v>44</v>
      </c>
      <c r="F56">
        <v>68</v>
      </c>
      <c r="G56" t="s">
        <v>23</v>
      </c>
      <c r="H56" t="s">
        <v>60</v>
      </c>
      <c r="I56" t="s">
        <v>61</v>
      </c>
      <c r="J56" t="s">
        <v>47</v>
      </c>
      <c r="K56">
        <v>4637334.7690000003</v>
      </c>
      <c r="L56">
        <v>417054.27799999999</v>
      </c>
      <c r="M56">
        <v>1.2629999999999999</v>
      </c>
      <c r="N56" t="s">
        <v>8</v>
      </c>
    </row>
    <row r="57" spans="1:14" x14ac:dyDescent="0.35">
      <c r="A57" t="s">
        <v>43</v>
      </c>
      <c r="B57">
        <v>26</v>
      </c>
      <c r="C57" t="s">
        <v>44</v>
      </c>
      <c r="D57">
        <v>2019</v>
      </c>
      <c r="E57">
        <v>46</v>
      </c>
      <c r="F57">
        <v>70</v>
      </c>
      <c r="G57" t="s">
        <v>19</v>
      </c>
      <c r="H57" t="s">
        <v>58</v>
      </c>
      <c r="I57" t="s">
        <v>46</v>
      </c>
      <c r="J57" t="s">
        <v>47</v>
      </c>
      <c r="K57">
        <v>4637371.2970000003</v>
      </c>
      <c r="L57">
        <v>417004.71</v>
      </c>
      <c r="M57">
        <v>1.4850000000000001</v>
      </c>
      <c r="N57" t="s">
        <v>8</v>
      </c>
    </row>
    <row r="58" spans="1:14" x14ac:dyDescent="0.35">
      <c r="A58" t="s">
        <v>43</v>
      </c>
      <c r="B58">
        <v>26</v>
      </c>
      <c r="C58" t="s">
        <v>44</v>
      </c>
      <c r="D58">
        <v>2019</v>
      </c>
      <c r="E58">
        <v>46</v>
      </c>
      <c r="F58">
        <v>71</v>
      </c>
      <c r="G58" t="s">
        <v>19</v>
      </c>
      <c r="H58" t="s">
        <v>58</v>
      </c>
      <c r="I58" t="s">
        <v>46</v>
      </c>
      <c r="J58" t="s">
        <v>47</v>
      </c>
      <c r="K58">
        <v>4637372.318</v>
      </c>
      <c r="L58">
        <v>417006.70799999998</v>
      </c>
      <c r="M58">
        <v>1.425</v>
      </c>
      <c r="N58" t="s">
        <v>8</v>
      </c>
    </row>
    <row r="59" spans="1:14" x14ac:dyDescent="0.35">
      <c r="A59" t="s">
        <v>43</v>
      </c>
      <c r="B59">
        <v>26</v>
      </c>
      <c r="C59" t="s">
        <v>44</v>
      </c>
      <c r="D59">
        <v>2019</v>
      </c>
      <c r="E59">
        <v>48</v>
      </c>
      <c r="F59">
        <v>73</v>
      </c>
      <c r="G59" t="s">
        <v>24</v>
      </c>
      <c r="H59" t="s">
        <v>57</v>
      </c>
      <c r="I59" t="s">
        <v>62</v>
      </c>
      <c r="J59" t="s">
        <v>47</v>
      </c>
      <c r="K59">
        <v>4637374.4230000004</v>
      </c>
      <c r="L59">
        <v>417008.91499999998</v>
      </c>
      <c r="M59">
        <v>1.2370000000000001</v>
      </c>
      <c r="N59" t="s">
        <v>8</v>
      </c>
    </row>
    <row r="60" spans="1:14" x14ac:dyDescent="0.35">
      <c r="A60" t="s">
        <v>43</v>
      </c>
      <c r="B60">
        <v>26</v>
      </c>
      <c r="C60" t="s">
        <v>44</v>
      </c>
      <c r="D60">
        <v>2019</v>
      </c>
      <c r="E60">
        <v>48</v>
      </c>
      <c r="F60">
        <v>74</v>
      </c>
      <c r="G60" t="s">
        <v>24</v>
      </c>
      <c r="H60" t="s">
        <v>57</v>
      </c>
      <c r="I60" t="s">
        <v>62</v>
      </c>
      <c r="J60" t="s">
        <v>47</v>
      </c>
      <c r="K60">
        <v>4637375.5480000004</v>
      </c>
      <c r="L60">
        <v>417010.00099999999</v>
      </c>
      <c r="M60">
        <v>1.2509999999999999</v>
      </c>
      <c r="N60" t="s">
        <v>8</v>
      </c>
    </row>
    <row r="61" spans="1:14" x14ac:dyDescent="0.35">
      <c r="A61" t="s">
        <v>43</v>
      </c>
      <c r="B61">
        <v>26</v>
      </c>
      <c r="C61" t="s">
        <v>44</v>
      </c>
      <c r="D61">
        <v>2019</v>
      </c>
      <c r="E61">
        <v>49</v>
      </c>
      <c r="F61">
        <v>75</v>
      </c>
      <c r="G61" t="s">
        <v>22</v>
      </c>
      <c r="H61" t="s">
        <v>57</v>
      </c>
      <c r="I61" t="s">
        <v>59</v>
      </c>
      <c r="J61" t="s">
        <v>47</v>
      </c>
      <c r="K61">
        <v>4637376.2369999997</v>
      </c>
      <c r="L61">
        <v>417010.92200000002</v>
      </c>
      <c r="M61">
        <v>1.218</v>
      </c>
      <c r="N61" t="s">
        <v>8</v>
      </c>
    </row>
    <row r="62" spans="1:14" x14ac:dyDescent="0.35">
      <c r="A62" t="s">
        <v>43</v>
      </c>
      <c r="B62">
        <v>26</v>
      </c>
      <c r="C62" t="s">
        <v>44</v>
      </c>
      <c r="D62">
        <v>2019</v>
      </c>
      <c r="E62">
        <v>49</v>
      </c>
      <c r="F62">
        <v>76</v>
      </c>
      <c r="G62" t="s">
        <v>22</v>
      </c>
      <c r="H62" t="s">
        <v>57</v>
      </c>
      <c r="I62" t="s">
        <v>59</v>
      </c>
      <c r="J62" t="s">
        <v>47</v>
      </c>
      <c r="K62">
        <v>4637377.5199999996</v>
      </c>
      <c r="L62">
        <v>417012.47100000002</v>
      </c>
      <c r="M62">
        <v>1.1759999999999999</v>
      </c>
      <c r="N62" t="s">
        <v>8</v>
      </c>
    </row>
    <row r="63" spans="1:14" x14ac:dyDescent="0.35">
      <c r="A63" t="s">
        <v>43</v>
      </c>
      <c r="B63">
        <v>26</v>
      </c>
      <c r="C63" t="s">
        <v>44</v>
      </c>
      <c r="D63">
        <v>2019</v>
      </c>
      <c r="E63">
        <v>52</v>
      </c>
      <c r="F63">
        <v>79</v>
      </c>
      <c r="G63" t="s">
        <v>26</v>
      </c>
      <c r="H63" t="s">
        <v>63</v>
      </c>
      <c r="I63" t="s">
        <v>64</v>
      </c>
      <c r="J63" t="s">
        <v>47</v>
      </c>
      <c r="K63">
        <v>4637379.7170000002</v>
      </c>
      <c r="L63">
        <v>417015.57699999999</v>
      </c>
      <c r="M63">
        <v>1.145</v>
      </c>
      <c r="N63" t="s">
        <v>8</v>
      </c>
    </row>
    <row r="64" spans="1:14" x14ac:dyDescent="0.35">
      <c r="A64" t="s">
        <v>43</v>
      </c>
      <c r="B64">
        <v>26</v>
      </c>
      <c r="C64" t="s">
        <v>44</v>
      </c>
      <c r="D64">
        <v>2019</v>
      </c>
      <c r="E64">
        <v>52</v>
      </c>
      <c r="F64">
        <v>80</v>
      </c>
      <c r="G64" t="s">
        <v>26</v>
      </c>
      <c r="H64" t="s">
        <v>63</v>
      </c>
      <c r="I64" t="s">
        <v>64</v>
      </c>
      <c r="J64" t="s">
        <v>47</v>
      </c>
      <c r="K64">
        <v>4637378.5599999996</v>
      </c>
      <c r="L64">
        <v>417020.03</v>
      </c>
      <c r="M64">
        <v>1.0369999999999999</v>
      </c>
      <c r="N64" t="s">
        <v>8</v>
      </c>
    </row>
    <row r="65" spans="1:14" x14ac:dyDescent="0.35">
      <c r="A65" t="s">
        <v>43</v>
      </c>
      <c r="B65">
        <v>26</v>
      </c>
      <c r="C65" t="s">
        <v>44</v>
      </c>
      <c r="D65">
        <v>2019</v>
      </c>
      <c r="E65">
        <v>54</v>
      </c>
      <c r="F65">
        <v>82</v>
      </c>
      <c r="G65" t="s">
        <v>13</v>
      </c>
      <c r="H65" t="s">
        <v>53</v>
      </c>
      <c r="I65" t="s">
        <v>46</v>
      </c>
      <c r="J65" t="s">
        <v>47</v>
      </c>
      <c r="K65">
        <v>4637350.3689999999</v>
      </c>
      <c r="L65">
        <v>416954.47</v>
      </c>
      <c r="M65">
        <v>1.5389999999999999</v>
      </c>
      <c r="N65" t="s">
        <v>8</v>
      </c>
    </row>
    <row r="66" spans="1:14" x14ac:dyDescent="0.35">
      <c r="A66" t="s">
        <v>43</v>
      </c>
      <c r="B66">
        <v>26</v>
      </c>
      <c r="C66" t="s">
        <v>44</v>
      </c>
      <c r="D66">
        <v>2019</v>
      </c>
      <c r="E66">
        <v>54</v>
      </c>
      <c r="F66">
        <v>83</v>
      </c>
      <c r="G66" t="s">
        <v>13</v>
      </c>
      <c r="H66" t="s">
        <v>53</v>
      </c>
      <c r="I66" t="s">
        <v>46</v>
      </c>
      <c r="J66" t="s">
        <v>47</v>
      </c>
      <c r="K66">
        <v>4637351.7980000004</v>
      </c>
      <c r="L66">
        <v>416952.13199999998</v>
      </c>
      <c r="M66">
        <v>1.474</v>
      </c>
      <c r="N66" t="s">
        <v>8</v>
      </c>
    </row>
    <row r="67" spans="1:14" x14ac:dyDescent="0.35">
      <c r="A67" t="s">
        <v>43</v>
      </c>
      <c r="B67">
        <v>26</v>
      </c>
      <c r="C67" t="s">
        <v>44</v>
      </c>
      <c r="D67">
        <v>2019</v>
      </c>
      <c r="E67">
        <v>55</v>
      </c>
      <c r="F67">
        <v>84</v>
      </c>
      <c r="G67" t="s">
        <v>14</v>
      </c>
      <c r="H67" t="s">
        <v>54</v>
      </c>
      <c r="I67" t="s">
        <v>46</v>
      </c>
      <c r="J67" t="s">
        <v>47</v>
      </c>
      <c r="K67">
        <v>4637350.87</v>
      </c>
      <c r="L67">
        <v>416951.23499999999</v>
      </c>
      <c r="M67">
        <v>1.4530000000000001</v>
      </c>
      <c r="N67" t="s">
        <v>8</v>
      </c>
    </row>
    <row r="68" spans="1:14" x14ac:dyDescent="0.35">
      <c r="A68" t="s">
        <v>43</v>
      </c>
      <c r="B68">
        <v>26</v>
      </c>
      <c r="C68" t="s">
        <v>44</v>
      </c>
      <c r="D68">
        <v>2019</v>
      </c>
      <c r="E68">
        <v>55</v>
      </c>
      <c r="F68">
        <v>85</v>
      </c>
      <c r="G68" t="s">
        <v>14</v>
      </c>
      <c r="H68" t="s">
        <v>54</v>
      </c>
      <c r="I68" t="s">
        <v>46</v>
      </c>
      <c r="J68" t="s">
        <v>47</v>
      </c>
      <c r="K68">
        <v>4637348.574</v>
      </c>
      <c r="L68">
        <v>416945.66800000001</v>
      </c>
      <c r="M68">
        <v>1.488</v>
      </c>
      <c r="N68" t="s">
        <v>8</v>
      </c>
    </row>
    <row r="69" spans="1:14" x14ac:dyDescent="0.35">
      <c r="A69" t="s">
        <v>43</v>
      </c>
      <c r="B69">
        <v>26</v>
      </c>
      <c r="C69" t="s">
        <v>44</v>
      </c>
      <c r="D69">
        <v>2019</v>
      </c>
      <c r="E69">
        <v>55</v>
      </c>
      <c r="F69">
        <v>86</v>
      </c>
      <c r="G69" t="s">
        <v>14</v>
      </c>
      <c r="H69" t="s">
        <v>54</v>
      </c>
      <c r="I69" t="s">
        <v>46</v>
      </c>
      <c r="J69" t="s">
        <v>47</v>
      </c>
      <c r="K69">
        <v>4637346.3380000005</v>
      </c>
      <c r="L69">
        <v>416945.66600000003</v>
      </c>
      <c r="M69">
        <v>1.6240000000000001</v>
      </c>
      <c r="N69" t="s">
        <v>8</v>
      </c>
    </row>
    <row r="70" spans="1:14" x14ac:dyDescent="0.35">
      <c r="A70" t="s">
        <v>43</v>
      </c>
      <c r="B70">
        <v>26</v>
      </c>
      <c r="C70" t="s">
        <v>44</v>
      </c>
      <c r="D70">
        <v>2019</v>
      </c>
      <c r="E70">
        <v>55</v>
      </c>
      <c r="F70">
        <v>87</v>
      </c>
      <c r="G70" t="s">
        <v>14</v>
      </c>
      <c r="H70" t="s">
        <v>54</v>
      </c>
      <c r="I70" t="s">
        <v>46</v>
      </c>
      <c r="J70" t="s">
        <v>47</v>
      </c>
      <c r="K70">
        <v>4637346.2790000001</v>
      </c>
      <c r="L70">
        <v>416943.23499999999</v>
      </c>
      <c r="M70">
        <v>1.651</v>
      </c>
      <c r="N70" t="s">
        <v>8</v>
      </c>
    </row>
    <row r="71" spans="1:14" x14ac:dyDescent="0.35">
      <c r="A71" t="s">
        <v>43</v>
      </c>
      <c r="B71">
        <v>26</v>
      </c>
      <c r="C71" t="s">
        <v>44</v>
      </c>
      <c r="D71">
        <v>2019</v>
      </c>
      <c r="E71">
        <v>56</v>
      </c>
      <c r="F71">
        <v>88</v>
      </c>
      <c r="G71">
        <v>7</v>
      </c>
      <c r="H71" t="s">
        <v>65</v>
      </c>
      <c r="I71" t="s">
        <v>52</v>
      </c>
      <c r="J71" t="s">
        <v>47</v>
      </c>
      <c r="K71">
        <v>4637347.023</v>
      </c>
      <c r="L71">
        <v>416942.20400000003</v>
      </c>
      <c r="M71">
        <v>1.619</v>
      </c>
      <c r="N71" t="s">
        <v>8</v>
      </c>
    </row>
    <row r="72" spans="1:14" x14ac:dyDescent="0.35">
      <c r="A72" t="s">
        <v>43</v>
      </c>
      <c r="B72">
        <v>26</v>
      </c>
      <c r="C72" t="s">
        <v>44</v>
      </c>
      <c r="D72">
        <v>2019</v>
      </c>
      <c r="E72">
        <v>56</v>
      </c>
      <c r="F72">
        <v>89</v>
      </c>
      <c r="G72">
        <v>7</v>
      </c>
      <c r="H72" t="s">
        <v>65</v>
      </c>
      <c r="I72" t="s">
        <v>52</v>
      </c>
      <c r="J72" t="s">
        <v>47</v>
      </c>
      <c r="K72">
        <v>4637349.1270000003</v>
      </c>
      <c r="L72">
        <v>416934.16399999999</v>
      </c>
      <c r="M72">
        <v>1.6220000000000001</v>
      </c>
      <c r="N72" t="s">
        <v>8</v>
      </c>
    </row>
    <row r="73" spans="1:14" x14ac:dyDescent="0.35">
      <c r="A73" t="s">
        <v>43</v>
      </c>
      <c r="B73">
        <v>26</v>
      </c>
      <c r="C73" t="s">
        <v>44</v>
      </c>
      <c r="D73">
        <v>2019</v>
      </c>
      <c r="E73">
        <v>57</v>
      </c>
      <c r="F73">
        <v>90</v>
      </c>
      <c r="G73" t="s">
        <v>12</v>
      </c>
      <c r="H73" t="s">
        <v>50</v>
      </c>
      <c r="I73" t="s">
        <v>46</v>
      </c>
      <c r="J73" t="s">
        <v>47</v>
      </c>
      <c r="K73">
        <v>4637350.0140000004</v>
      </c>
      <c r="L73">
        <v>416932.73200000002</v>
      </c>
      <c r="M73">
        <v>1.643</v>
      </c>
      <c r="N73" t="s">
        <v>8</v>
      </c>
    </row>
    <row r="74" spans="1:14" x14ac:dyDescent="0.35">
      <c r="A74" t="s">
        <v>43</v>
      </c>
      <c r="B74">
        <v>26</v>
      </c>
      <c r="C74" t="s">
        <v>44</v>
      </c>
      <c r="D74">
        <v>2019</v>
      </c>
      <c r="E74">
        <v>57</v>
      </c>
      <c r="F74">
        <v>91</v>
      </c>
      <c r="G74" t="s">
        <v>12</v>
      </c>
      <c r="H74" t="s">
        <v>50</v>
      </c>
      <c r="I74" t="s">
        <v>46</v>
      </c>
      <c r="J74" t="s">
        <v>47</v>
      </c>
      <c r="K74">
        <v>4637352.4929999998</v>
      </c>
      <c r="L74">
        <v>416922.91600000003</v>
      </c>
      <c r="M74">
        <v>1.3839999999999999</v>
      </c>
      <c r="N74" t="s">
        <v>8</v>
      </c>
    </row>
    <row r="75" spans="1:14" x14ac:dyDescent="0.35">
      <c r="A75" t="s">
        <v>43</v>
      </c>
      <c r="B75">
        <v>26</v>
      </c>
      <c r="C75" t="s">
        <v>44</v>
      </c>
      <c r="D75">
        <v>2019</v>
      </c>
      <c r="E75">
        <v>58</v>
      </c>
      <c r="F75">
        <v>92</v>
      </c>
      <c r="G75" t="s">
        <v>27</v>
      </c>
      <c r="H75" t="s">
        <v>60</v>
      </c>
      <c r="I75" t="s">
        <v>66</v>
      </c>
      <c r="J75" t="s">
        <v>47</v>
      </c>
      <c r="K75">
        <v>4637352.8210000005</v>
      </c>
      <c r="L75">
        <v>416921.32400000002</v>
      </c>
      <c r="M75">
        <v>1.321</v>
      </c>
      <c r="N75" t="s">
        <v>8</v>
      </c>
    </row>
    <row r="76" spans="1:14" x14ac:dyDescent="0.35">
      <c r="A76" t="s">
        <v>43</v>
      </c>
      <c r="B76">
        <v>26</v>
      </c>
      <c r="C76" t="s">
        <v>44</v>
      </c>
      <c r="D76">
        <v>2019</v>
      </c>
      <c r="E76">
        <v>58</v>
      </c>
      <c r="F76">
        <v>93</v>
      </c>
      <c r="G76" t="s">
        <v>27</v>
      </c>
      <c r="H76" t="s">
        <v>60</v>
      </c>
      <c r="I76" t="s">
        <v>66</v>
      </c>
      <c r="J76" t="s">
        <v>47</v>
      </c>
      <c r="K76">
        <v>4637356.6349999998</v>
      </c>
      <c r="L76">
        <v>416907.924</v>
      </c>
      <c r="M76">
        <v>1.363</v>
      </c>
      <c r="N76" t="s">
        <v>8</v>
      </c>
    </row>
    <row r="77" spans="1:14" x14ac:dyDescent="0.35">
      <c r="A77" t="s">
        <v>43</v>
      </c>
      <c r="B77">
        <v>26</v>
      </c>
      <c r="C77" t="s">
        <v>44</v>
      </c>
      <c r="D77">
        <v>2019</v>
      </c>
      <c r="E77">
        <v>60</v>
      </c>
      <c r="F77">
        <v>95</v>
      </c>
      <c r="G77" t="s">
        <v>27</v>
      </c>
      <c r="H77" t="s">
        <v>60</v>
      </c>
      <c r="I77" t="s">
        <v>66</v>
      </c>
      <c r="J77" t="s">
        <v>47</v>
      </c>
      <c r="K77">
        <v>4637357.9869999997</v>
      </c>
      <c r="L77">
        <v>416904.25</v>
      </c>
      <c r="M77">
        <v>1.403</v>
      </c>
      <c r="N77" t="s">
        <v>8</v>
      </c>
    </row>
    <row r="78" spans="1:14" x14ac:dyDescent="0.35">
      <c r="A78" t="s">
        <v>43</v>
      </c>
      <c r="B78">
        <v>26</v>
      </c>
      <c r="C78" t="s">
        <v>44</v>
      </c>
      <c r="D78">
        <v>2019</v>
      </c>
      <c r="E78">
        <v>60</v>
      </c>
      <c r="F78">
        <v>96</v>
      </c>
      <c r="G78" t="s">
        <v>27</v>
      </c>
      <c r="H78" t="s">
        <v>60</v>
      </c>
      <c r="I78" t="s">
        <v>66</v>
      </c>
      <c r="J78" t="s">
        <v>47</v>
      </c>
      <c r="K78">
        <v>4637361.3820000002</v>
      </c>
      <c r="L78">
        <v>416902.75199999998</v>
      </c>
      <c r="M78">
        <v>1.327</v>
      </c>
      <c r="N78" t="s">
        <v>8</v>
      </c>
    </row>
    <row r="79" spans="1:14" x14ac:dyDescent="0.35">
      <c r="A79" t="s">
        <v>43</v>
      </c>
      <c r="B79">
        <v>26</v>
      </c>
      <c r="C79" t="s">
        <v>44</v>
      </c>
      <c r="D79">
        <v>2019</v>
      </c>
      <c r="E79">
        <v>60</v>
      </c>
      <c r="F79">
        <v>97</v>
      </c>
      <c r="G79" t="s">
        <v>27</v>
      </c>
      <c r="H79" t="s">
        <v>60</v>
      </c>
      <c r="I79" t="s">
        <v>66</v>
      </c>
      <c r="J79" t="s">
        <v>47</v>
      </c>
      <c r="K79">
        <v>4637362.6770000001</v>
      </c>
      <c r="L79">
        <v>416903.70899999997</v>
      </c>
      <c r="M79">
        <v>1.196</v>
      </c>
      <c r="N79" t="s">
        <v>8</v>
      </c>
    </row>
    <row r="80" spans="1:14" x14ac:dyDescent="0.35">
      <c r="A80" t="s">
        <v>43</v>
      </c>
      <c r="B80">
        <v>26</v>
      </c>
      <c r="C80" t="s">
        <v>44</v>
      </c>
      <c r="D80">
        <v>2019</v>
      </c>
      <c r="E80">
        <v>61</v>
      </c>
      <c r="F80">
        <v>98</v>
      </c>
      <c r="G80" t="s">
        <v>17</v>
      </c>
      <c r="H80" t="s">
        <v>57</v>
      </c>
      <c r="I80" t="s">
        <v>46</v>
      </c>
      <c r="J80" t="s">
        <v>47</v>
      </c>
      <c r="K80">
        <v>4637363.5199999996</v>
      </c>
      <c r="L80">
        <v>416904.69199999998</v>
      </c>
      <c r="M80">
        <v>1.1970000000000001</v>
      </c>
      <c r="N80" t="s">
        <v>8</v>
      </c>
    </row>
    <row r="81" spans="1:14" x14ac:dyDescent="0.35">
      <c r="A81" t="s">
        <v>43</v>
      </c>
      <c r="B81">
        <v>26</v>
      </c>
      <c r="C81" t="s">
        <v>44</v>
      </c>
      <c r="D81">
        <v>2019</v>
      </c>
      <c r="E81">
        <v>61</v>
      </c>
      <c r="F81">
        <v>99</v>
      </c>
      <c r="G81" t="s">
        <v>17</v>
      </c>
      <c r="H81" t="s">
        <v>57</v>
      </c>
      <c r="I81" t="s">
        <v>46</v>
      </c>
      <c r="J81" t="s">
        <v>47</v>
      </c>
      <c r="K81">
        <v>4637365.0729999999</v>
      </c>
      <c r="L81">
        <v>416907.25599999999</v>
      </c>
      <c r="M81">
        <v>1.2130000000000001</v>
      </c>
      <c r="N81" t="s">
        <v>8</v>
      </c>
    </row>
    <row r="82" spans="1:14" x14ac:dyDescent="0.35">
      <c r="A82" t="s">
        <v>43</v>
      </c>
      <c r="B82">
        <v>26</v>
      </c>
      <c r="C82" t="s">
        <v>44</v>
      </c>
      <c r="D82">
        <v>2019</v>
      </c>
      <c r="E82">
        <v>62</v>
      </c>
      <c r="F82">
        <v>100</v>
      </c>
      <c r="G82" t="s">
        <v>27</v>
      </c>
      <c r="H82" t="s">
        <v>60</v>
      </c>
      <c r="I82" t="s">
        <v>66</v>
      </c>
      <c r="J82" t="s">
        <v>47</v>
      </c>
      <c r="K82">
        <v>4637366.125</v>
      </c>
      <c r="L82">
        <v>416908.13799999998</v>
      </c>
      <c r="M82">
        <v>1.1659999999999999</v>
      </c>
      <c r="N82" t="s">
        <v>8</v>
      </c>
    </row>
    <row r="83" spans="1:14" x14ac:dyDescent="0.35">
      <c r="A83" t="s">
        <v>43</v>
      </c>
      <c r="B83">
        <v>26</v>
      </c>
      <c r="C83" t="s">
        <v>44</v>
      </c>
      <c r="D83">
        <v>2019</v>
      </c>
      <c r="E83">
        <v>62</v>
      </c>
      <c r="F83">
        <v>101</v>
      </c>
      <c r="G83" t="s">
        <v>27</v>
      </c>
      <c r="H83" t="s">
        <v>60</v>
      </c>
      <c r="I83" t="s">
        <v>66</v>
      </c>
      <c r="J83" t="s">
        <v>47</v>
      </c>
      <c r="K83">
        <v>4637367.3470000001</v>
      </c>
      <c r="L83">
        <v>416912.88900000002</v>
      </c>
      <c r="M83">
        <v>1.1950000000000001</v>
      </c>
      <c r="N83" t="s">
        <v>8</v>
      </c>
    </row>
    <row r="84" spans="1:14" x14ac:dyDescent="0.35">
      <c r="A84" t="s">
        <v>43</v>
      </c>
      <c r="B84">
        <v>26</v>
      </c>
      <c r="C84" t="s">
        <v>44</v>
      </c>
      <c r="D84">
        <v>2019</v>
      </c>
      <c r="E84">
        <v>63</v>
      </c>
      <c r="F84">
        <v>102</v>
      </c>
      <c r="G84" t="s">
        <v>23</v>
      </c>
      <c r="H84" t="s">
        <v>60</v>
      </c>
      <c r="I84" t="s">
        <v>61</v>
      </c>
      <c r="J84" t="s">
        <v>47</v>
      </c>
      <c r="K84">
        <v>4637369.182</v>
      </c>
      <c r="L84">
        <v>416912.93</v>
      </c>
      <c r="M84">
        <v>1.28</v>
      </c>
      <c r="N84" t="s">
        <v>8</v>
      </c>
    </row>
    <row r="85" spans="1:14" x14ac:dyDescent="0.35">
      <c r="A85" t="s">
        <v>43</v>
      </c>
      <c r="B85">
        <v>26</v>
      </c>
      <c r="C85" t="s">
        <v>44</v>
      </c>
      <c r="D85">
        <v>2019</v>
      </c>
      <c r="E85">
        <v>63</v>
      </c>
      <c r="F85">
        <v>103</v>
      </c>
      <c r="G85" t="s">
        <v>28</v>
      </c>
      <c r="H85" t="s">
        <v>60</v>
      </c>
      <c r="I85" t="s">
        <v>67</v>
      </c>
      <c r="J85" t="s">
        <v>47</v>
      </c>
      <c r="K85">
        <v>4637373.0389999999</v>
      </c>
      <c r="L85">
        <v>416916.52899999998</v>
      </c>
      <c r="M85">
        <v>1.3620000000000001</v>
      </c>
      <c r="N85" t="s">
        <v>8</v>
      </c>
    </row>
    <row r="86" spans="1:14" x14ac:dyDescent="0.35">
      <c r="A86" t="s">
        <v>43</v>
      </c>
      <c r="B86">
        <v>26</v>
      </c>
      <c r="C86" t="s">
        <v>44</v>
      </c>
      <c r="D86">
        <v>2019</v>
      </c>
      <c r="E86">
        <v>64</v>
      </c>
      <c r="F86">
        <v>104</v>
      </c>
      <c r="G86" t="s">
        <v>24</v>
      </c>
      <c r="H86" t="s">
        <v>57</v>
      </c>
      <c r="I86" t="s">
        <v>62</v>
      </c>
      <c r="J86" t="s">
        <v>47</v>
      </c>
      <c r="K86">
        <v>4637374.1679999996</v>
      </c>
      <c r="L86">
        <v>416917.087</v>
      </c>
      <c r="M86">
        <v>1.31</v>
      </c>
      <c r="N86" t="s">
        <v>8</v>
      </c>
    </row>
    <row r="87" spans="1:14" x14ac:dyDescent="0.35">
      <c r="A87" t="s">
        <v>43</v>
      </c>
      <c r="B87">
        <v>26</v>
      </c>
      <c r="C87" t="s">
        <v>44</v>
      </c>
      <c r="D87">
        <v>2019</v>
      </c>
      <c r="E87">
        <v>64</v>
      </c>
      <c r="F87">
        <v>105</v>
      </c>
      <c r="G87" t="s">
        <v>24</v>
      </c>
      <c r="H87" t="s">
        <v>57</v>
      </c>
      <c r="I87" t="s">
        <v>62</v>
      </c>
      <c r="J87" t="s">
        <v>47</v>
      </c>
      <c r="K87">
        <v>4637377.4780000001</v>
      </c>
      <c r="L87">
        <v>416917.81699999998</v>
      </c>
      <c r="M87">
        <v>1.319</v>
      </c>
      <c r="N87" t="s">
        <v>8</v>
      </c>
    </row>
    <row r="88" spans="1:14" x14ac:dyDescent="0.35">
      <c r="A88" t="s">
        <v>43</v>
      </c>
      <c r="B88">
        <v>26</v>
      </c>
      <c r="C88" t="s">
        <v>44</v>
      </c>
      <c r="D88">
        <v>2019</v>
      </c>
      <c r="E88">
        <v>65</v>
      </c>
      <c r="F88">
        <v>106</v>
      </c>
      <c r="G88" t="s">
        <v>23</v>
      </c>
      <c r="H88" t="s">
        <v>60</v>
      </c>
      <c r="I88" t="s">
        <v>61</v>
      </c>
      <c r="J88" t="s">
        <v>47</v>
      </c>
      <c r="K88">
        <v>4637379.0609999998</v>
      </c>
      <c r="L88">
        <v>416918.02500000002</v>
      </c>
      <c r="M88">
        <v>1.3839999999999999</v>
      </c>
      <c r="N88" t="s">
        <v>8</v>
      </c>
    </row>
    <row r="89" spans="1:14" x14ac:dyDescent="0.35">
      <c r="A89" t="s">
        <v>43</v>
      </c>
      <c r="B89">
        <v>26</v>
      </c>
      <c r="C89" t="s">
        <v>44</v>
      </c>
      <c r="D89">
        <v>2019</v>
      </c>
      <c r="E89">
        <v>65</v>
      </c>
      <c r="F89">
        <v>107</v>
      </c>
      <c r="G89" t="s">
        <v>23</v>
      </c>
      <c r="H89" t="s">
        <v>60</v>
      </c>
      <c r="I89" t="s">
        <v>61</v>
      </c>
      <c r="J89" t="s">
        <v>47</v>
      </c>
      <c r="K89">
        <v>4637398.1040000003</v>
      </c>
      <c r="L89">
        <v>416917.65700000001</v>
      </c>
      <c r="M89">
        <v>1.4730000000000001</v>
      </c>
      <c r="N89" t="s">
        <v>8</v>
      </c>
    </row>
    <row r="90" spans="1:14" x14ac:dyDescent="0.35">
      <c r="A90" t="s">
        <v>43</v>
      </c>
      <c r="B90">
        <v>26</v>
      </c>
      <c r="C90" t="s">
        <v>44</v>
      </c>
      <c r="D90">
        <v>2019</v>
      </c>
      <c r="E90">
        <v>66</v>
      </c>
      <c r="F90">
        <v>108</v>
      </c>
      <c r="G90" t="s">
        <v>29</v>
      </c>
      <c r="H90" t="s">
        <v>50</v>
      </c>
      <c r="I90" t="s">
        <v>68</v>
      </c>
      <c r="J90" t="s">
        <v>47</v>
      </c>
      <c r="K90">
        <v>4637399.5310000004</v>
      </c>
      <c r="L90">
        <v>416917.592</v>
      </c>
      <c r="M90">
        <v>1.4379999999999999</v>
      </c>
      <c r="N90" t="s">
        <v>8</v>
      </c>
    </row>
    <row r="91" spans="1:14" x14ac:dyDescent="0.35">
      <c r="A91" t="s">
        <v>43</v>
      </c>
      <c r="B91">
        <v>26</v>
      </c>
      <c r="C91" t="s">
        <v>44</v>
      </c>
      <c r="D91">
        <v>2019</v>
      </c>
      <c r="E91">
        <v>66</v>
      </c>
      <c r="F91">
        <v>109</v>
      </c>
      <c r="G91" t="s">
        <v>29</v>
      </c>
      <c r="H91" t="s">
        <v>50</v>
      </c>
      <c r="I91" t="s">
        <v>68</v>
      </c>
      <c r="J91" t="s">
        <v>47</v>
      </c>
      <c r="K91">
        <v>4637404.2980000004</v>
      </c>
      <c r="L91">
        <v>416917.70500000002</v>
      </c>
      <c r="M91">
        <v>1.4570000000000001</v>
      </c>
      <c r="N91" t="s">
        <v>8</v>
      </c>
    </row>
    <row r="92" spans="1:14" x14ac:dyDescent="0.35">
      <c r="A92" t="s">
        <v>43</v>
      </c>
      <c r="B92">
        <v>26</v>
      </c>
      <c r="C92" t="s">
        <v>44</v>
      </c>
      <c r="D92">
        <v>2019</v>
      </c>
      <c r="E92">
        <v>68</v>
      </c>
      <c r="F92">
        <v>111</v>
      </c>
      <c r="G92" t="s">
        <v>23</v>
      </c>
      <c r="H92" t="s">
        <v>60</v>
      </c>
      <c r="I92" t="s">
        <v>61</v>
      </c>
      <c r="J92" t="s">
        <v>47</v>
      </c>
      <c r="K92">
        <v>4637406.9249999998</v>
      </c>
      <c r="L92">
        <v>416917.76000000001</v>
      </c>
      <c r="M92">
        <v>1.397</v>
      </c>
      <c r="N92" t="s">
        <v>8</v>
      </c>
    </row>
    <row r="93" spans="1:14" x14ac:dyDescent="0.35">
      <c r="A93" t="s">
        <v>43</v>
      </c>
      <c r="B93">
        <v>26</v>
      </c>
      <c r="C93" t="s">
        <v>44</v>
      </c>
      <c r="D93">
        <v>2019</v>
      </c>
      <c r="E93">
        <v>68</v>
      </c>
      <c r="F93">
        <v>112</v>
      </c>
      <c r="G93" t="s">
        <v>23</v>
      </c>
      <c r="H93" t="s">
        <v>60</v>
      </c>
      <c r="I93" t="s">
        <v>61</v>
      </c>
      <c r="J93" t="s">
        <v>47</v>
      </c>
      <c r="K93">
        <v>4637409.2039999999</v>
      </c>
      <c r="L93">
        <v>416919.18300000002</v>
      </c>
      <c r="M93">
        <v>1.284</v>
      </c>
      <c r="N93" t="s">
        <v>8</v>
      </c>
    </row>
    <row r="94" spans="1:14" x14ac:dyDescent="0.35">
      <c r="A94" t="s">
        <v>43</v>
      </c>
      <c r="B94">
        <v>26</v>
      </c>
      <c r="C94" t="s">
        <v>44</v>
      </c>
      <c r="D94">
        <v>2019</v>
      </c>
      <c r="E94">
        <v>69</v>
      </c>
      <c r="F94">
        <v>113</v>
      </c>
      <c r="G94" t="s">
        <v>31</v>
      </c>
      <c r="H94" t="s">
        <v>63</v>
      </c>
      <c r="I94" t="s">
        <v>69</v>
      </c>
      <c r="J94" t="s">
        <v>47</v>
      </c>
      <c r="K94">
        <v>4637411.1720000003</v>
      </c>
      <c r="L94">
        <v>416919.652</v>
      </c>
      <c r="M94">
        <v>0.874</v>
      </c>
      <c r="N94" t="s">
        <v>8</v>
      </c>
    </row>
    <row r="95" spans="1:14" x14ac:dyDescent="0.35">
      <c r="A95" t="s">
        <v>43</v>
      </c>
      <c r="B95">
        <v>26</v>
      </c>
      <c r="C95" t="s">
        <v>44</v>
      </c>
      <c r="D95">
        <v>2019</v>
      </c>
      <c r="E95">
        <v>69</v>
      </c>
      <c r="F95">
        <v>114</v>
      </c>
      <c r="G95" t="s">
        <v>31</v>
      </c>
      <c r="H95" t="s">
        <v>63</v>
      </c>
      <c r="I95" t="s">
        <v>69</v>
      </c>
      <c r="J95" t="s">
        <v>47</v>
      </c>
      <c r="K95">
        <v>4637412.8540000003</v>
      </c>
      <c r="L95">
        <v>416917.49</v>
      </c>
      <c r="M95">
        <v>0.72199999999999998</v>
      </c>
      <c r="N95" t="s">
        <v>8</v>
      </c>
    </row>
    <row r="96" spans="1:14" x14ac:dyDescent="0.35">
      <c r="A96" t="s">
        <v>43</v>
      </c>
      <c r="B96">
        <v>26</v>
      </c>
      <c r="C96" t="s">
        <v>44</v>
      </c>
      <c r="D96">
        <v>2019</v>
      </c>
      <c r="E96">
        <v>69</v>
      </c>
      <c r="F96">
        <v>115</v>
      </c>
      <c r="G96" t="s">
        <v>31</v>
      </c>
      <c r="H96" t="s">
        <v>63</v>
      </c>
      <c r="I96" t="s">
        <v>69</v>
      </c>
      <c r="J96" t="s">
        <v>47</v>
      </c>
      <c r="K96">
        <v>4637417.2060000002</v>
      </c>
      <c r="L96">
        <v>416914.21100000001</v>
      </c>
      <c r="M96">
        <v>0.57999999999999996</v>
      </c>
      <c r="N96" t="s">
        <v>8</v>
      </c>
    </row>
    <row r="97" spans="1:14" x14ac:dyDescent="0.35">
      <c r="A97" t="s">
        <v>43</v>
      </c>
      <c r="B97">
        <v>26</v>
      </c>
      <c r="C97" t="s">
        <v>44</v>
      </c>
      <c r="D97">
        <v>2019</v>
      </c>
      <c r="E97">
        <v>69</v>
      </c>
      <c r="F97">
        <v>116</v>
      </c>
      <c r="G97" t="s">
        <v>31</v>
      </c>
      <c r="H97" t="s">
        <v>63</v>
      </c>
      <c r="I97" t="s">
        <v>69</v>
      </c>
      <c r="J97" t="s">
        <v>47</v>
      </c>
      <c r="K97">
        <v>4637426.443</v>
      </c>
      <c r="L97">
        <v>416914.86200000002</v>
      </c>
      <c r="M97">
        <v>0.28000000000000003</v>
      </c>
      <c r="N97" t="s">
        <v>8</v>
      </c>
    </row>
    <row r="98" spans="1:14" x14ac:dyDescent="0.35">
      <c r="A98" t="s">
        <v>43</v>
      </c>
      <c r="B98">
        <v>26</v>
      </c>
      <c r="C98" t="s">
        <v>44</v>
      </c>
      <c r="D98">
        <v>2019</v>
      </c>
      <c r="E98">
        <v>69</v>
      </c>
      <c r="F98">
        <v>117</v>
      </c>
      <c r="G98" t="s">
        <v>31</v>
      </c>
      <c r="H98" t="s">
        <v>63</v>
      </c>
      <c r="I98" t="s">
        <v>69</v>
      </c>
      <c r="J98" t="s">
        <v>47</v>
      </c>
      <c r="K98">
        <v>4637433.6749999998</v>
      </c>
      <c r="L98">
        <v>416915.95400000003</v>
      </c>
      <c r="M98">
        <v>0.76800000000000002</v>
      </c>
      <c r="N98" t="s">
        <v>8</v>
      </c>
    </row>
    <row r="99" spans="1:14" x14ac:dyDescent="0.35">
      <c r="A99" t="s">
        <v>43</v>
      </c>
      <c r="B99">
        <v>26</v>
      </c>
      <c r="C99" t="s">
        <v>44</v>
      </c>
      <c r="D99">
        <v>2019</v>
      </c>
      <c r="E99">
        <v>74</v>
      </c>
      <c r="F99">
        <v>134</v>
      </c>
      <c r="G99" t="s">
        <v>34</v>
      </c>
      <c r="H99" t="s">
        <v>70</v>
      </c>
      <c r="I99" t="s">
        <v>69</v>
      </c>
      <c r="J99" t="s">
        <v>47</v>
      </c>
      <c r="K99">
        <v>4637411.1449999996</v>
      </c>
      <c r="L99">
        <v>416935.39500000002</v>
      </c>
      <c r="M99">
        <v>0.17399999999999999</v>
      </c>
      <c r="N99" t="s">
        <v>8</v>
      </c>
    </row>
    <row r="100" spans="1:14" x14ac:dyDescent="0.35">
      <c r="A100" t="s">
        <v>43</v>
      </c>
      <c r="B100">
        <v>26</v>
      </c>
      <c r="C100" t="s">
        <v>44</v>
      </c>
      <c r="D100">
        <v>2019</v>
      </c>
      <c r="E100">
        <v>74</v>
      </c>
      <c r="F100">
        <v>135</v>
      </c>
      <c r="G100" t="s">
        <v>34</v>
      </c>
      <c r="H100" t="s">
        <v>70</v>
      </c>
      <c r="I100" t="s">
        <v>69</v>
      </c>
      <c r="J100" t="s">
        <v>47</v>
      </c>
      <c r="K100">
        <v>4637411.1330000004</v>
      </c>
      <c r="L100">
        <v>416935.31599999999</v>
      </c>
      <c r="M100">
        <v>0.20699999999999999</v>
      </c>
      <c r="N100" t="s">
        <v>8</v>
      </c>
    </row>
    <row r="101" spans="1:14" x14ac:dyDescent="0.35">
      <c r="A101" t="s">
        <v>43</v>
      </c>
      <c r="B101">
        <v>26</v>
      </c>
      <c r="C101" t="s">
        <v>44</v>
      </c>
      <c r="D101">
        <v>2019</v>
      </c>
      <c r="E101">
        <v>80</v>
      </c>
      <c r="F101">
        <v>141</v>
      </c>
      <c r="G101" t="s">
        <v>34</v>
      </c>
      <c r="H101" t="s">
        <v>70</v>
      </c>
      <c r="I101" t="s">
        <v>69</v>
      </c>
      <c r="J101" t="s">
        <v>47</v>
      </c>
      <c r="K101">
        <v>4637431.9040000001</v>
      </c>
      <c r="L101">
        <v>416931.38699999999</v>
      </c>
      <c r="M101">
        <v>5.5E-2</v>
      </c>
      <c r="N101" t="s">
        <v>8</v>
      </c>
    </row>
    <row r="102" spans="1:14" x14ac:dyDescent="0.35">
      <c r="A102" t="s">
        <v>43</v>
      </c>
      <c r="B102">
        <v>26</v>
      </c>
      <c r="C102" t="s">
        <v>44</v>
      </c>
      <c r="D102">
        <v>2019</v>
      </c>
      <c r="E102">
        <v>80</v>
      </c>
      <c r="F102">
        <v>142</v>
      </c>
      <c r="G102" t="s">
        <v>34</v>
      </c>
      <c r="H102" t="s">
        <v>70</v>
      </c>
      <c r="I102" t="s">
        <v>69</v>
      </c>
      <c r="J102" t="s">
        <v>47</v>
      </c>
      <c r="K102">
        <v>4637430.7580000004</v>
      </c>
      <c r="L102">
        <v>416927.16600000003</v>
      </c>
      <c r="M102">
        <v>0.13400000000000001</v>
      </c>
      <c r="N102" t="s">
        <v>8</v>
      </c>
    </row>
    <row r="103" spans="1:14" x14ac:dyDescent="0.35">
      <c r="A103" t="s">
        <v>43</v>
      </c>
      <c r="B103">
        <v>26</v>
      </c>
      <c r="C103" t="s">
        <v>44</v>
      </c>
      <c r="D103">
        <v>2019</v>
      </c>
      <c r="E103">
        <v>80</v>
      </c>
      <c r="F103">
        <v>143</v>
      </c>
      <c r="G103" t="s">
        <v>34</v>
      </c>
      <c r="H103" t="s">
        <v>70</v>
      </c>
      <c r="I103" t="s">
        <v>69</v>
      </c>
      <c r="J103" t="s">
        <v>47</v>
      </c>
      <c r="K103">
        <v>4637429.3949999996</v>
      </c>
      <c r="L103">
        <v>416923.96799999999</v>
      </c>
      <c r="M103">
        <v>0.253</v>
      </c>
      <c r="N103" t="s">
        <v>8</v>
      </c>
    </row>
    <row r="104" spans="1:14" x14ac:dyDescent="0.35">
      <c r="A104" t="s">
        <v>43</v>
      </c>
      <c r="B104">
        <v>26</v>
      </c>
      <c r="C104" t="s">
        <v>44</v>
      </c>
      <c r="D104">
        <v>2019</v>
      </c>
      <c r="E104">
        <v>80</v>
      </c>
      <c r="F104">
        <v>144</v>
      </c>
      <c r="G104" t="s">
        <v>34</v>
      </c>
      <c r="H104" t="s">
        <v>70</v>
      </c>
      <c r="I104" t="s">
        <v>69</v>
      </c>
      <c r="J104" t="s">
        <v>47</v>
      </c>
      <c r="K104">
        <v>4637429.2779999999</v>
      </c>
      <c r="L104">
        <v>416918.15100000001</v>
      </c>
      <c r="M104">
        <v>6.5000000000000002E-2</v>
      </c>
      <c r="N104" t="s">
        <v>8</v>
      </c>
    </row>
    <row r="105" spans="1:14" x14ac:dyDescent="0.35">
      <c r="A105" t="s">
        <v>43</v>
      </c>
      <c r="B105">
        <v>26</v>
      </c>
      <c r="C105" t="s">
        <v>44</v>
      </c>
      <c r="D105">
        <v>2019</v>
      </c>
      <c r="E105">
        <v>80</v>
      </c>
      <c r="F105">
        <v>145</v>
      </c>
      <c r="G105" t="s">
        <v>34</v>
      </c>
      <c r="H105" t="s">
        <v>70</v>
      </c>
      <c r="I105" t="s">
        <v>69</v>
      </c>
      <c r="J105" t="s">
        <v>47</v>
      </c>
      <c r="K105">
        <v>4637414.7949999999</v>
      </c>
      <c r="L105">
        <v>416918.21399999998</v>
      </c>
      <c r="M105">
        <v>6.4000000000000001E-2</v>
      </c>
      <c r="N105" t="s">
        <v>8</v>
      </c>
    </row>
    <row r="106" spans="1:14" x14ac:dyDescent="0.35">
      <c r="A106" t="s">
        <v>43</v>
      </c>
      <c r="B106">
        <v>26</v>
      </c>
      <c r="C106" t="s">
        <v>44</v>
      </c>
      <c r="D106">
        <v>2019</v>
      </c>
      <c r="E106">
        <v>80</v>
      </c>
      <c r="F106">
        <v>146</v>
      </c>
      <c r="G106" t="s">
        <v>34</v>
      </c>
      <c r="H106" t="s">
        <v>70</v>
      </c>
      <c r="I106" t="s">
        <v>69</v>
      </c>
      <c r="J106" t="s">
        <v>47</v>
      </c>
      <c r="K106">
        <v>4637415.8119999999</v>
      </c>
      <c r="L106">
        <v>416926.63900000002</v>
      </c>
      <c r="M106">
        <v>0.23899999999999999</v>
      </c>
      <c r="N10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2967-B987-44D2-9D80-33CA5DC2C49D}">
  <dimension ref="A1:N31"/>
  <sheetViews>
    <sheetView workbookViewId="0">
      <selection activeCell="D9" sqref="D9"/>
    </sheetView>
  </sheetViews>
  <sheetFormatPr defaultRowHeight="14.5" x14ac:dyDescent="0.35"/>
  <sheetData>
    <row r="1" spans="1:14" x14ac:dyDescent="0.35">
      <c r="A1" t="s">
        <v>36</v>
      </c>
      <c r="B1" t="s">
        <v>37</v>
      </c>
      <c r="C1" t="s">
        <v>38</v>
      </c>
      <c r="D1" t="s">
        <v>39</v>
      </c>
      <c r="E1" t="s">
        <v>0</v>
      </c>
      <c r="F1" t="s">
        <v>1</v>
      </c>
      <c r="G1" t="s">
        <v>40</v>
      </c>
      <c r="H1" t="s">
        <v>2</v>
      </c>
      <c r="I1" t="s">
        <v>41</v>
      </c>
      <c r="J1" t="s">
        <v>42</v>
      </c>
      <c r="K1" t="s">
        <v>3</v>
      </c>
      <c r="L1" t="s">
        <v>4</v>
      </c>
      <c r="M1" t="s">
        <v>5</v>
      </c>
      <c r="N1" t="s">
        <v>6</v>
      </c>
    </row>
    <row r="2" spans="1:14" x14ac:dyDescent="0.35">
      <c r="A2" t="s">
        <v>43</v>
      </c>
      <c r="B2">
        <v>26</v>
      </c>
      <c r="C2" t="s">
        <v>44</v>
      </c>
      <c r="D2">
        <v>2019</v>
      </c>
      <c r="E2">
        <v>5</v>
      </c>
      <c r="F2">
        <v>11</v>
      </c>
      <c r="G2" t="s">
        <v>10</v>
      </c>
      <c r="H2" t="s">
        <v>49</v>
      </c>
      <c r="I2" t="s">
        <v>46</v>
      </c>
      <c r="J2" t="s">
        <v>71</v>
      </c>
      <c r="K2">
        <v>4637054.8619999997</v>
      </c>
      <c r="L2">
        <v>416977.15299999999</v>
      </c>
      <c r="M2">
        <v>1.59</v>
      </c>
      <c r="N2" t="s">
        <v>11</v>
      </c>
    </row>
    <row r="3" spans="1:14" x14ac:dyDescent="0.35">
      <c r="A3" t="s">
        <v>43</v>
      </c>
      <c r="B3">
        <v>26</v>
      </c>
      <c r="C3" t="s">
        <v>44</v>
      </c>
      <c r="D3">
        <v>2019</v>
      </c>
      <c r="E3">
        <v>8</v>
      </c>
      <c r="F3">
        <v>19</v>
      </c>
      <c r="G3" t="s">
        <v>7</v>
      </c>
      <c r="H3" t="s">
        <v>45</v>
      </c>
      <c r="I3" t="s">
        <v>46</v>
      </c>
      <c r="J3" t="s">
        <v>71</v>
      </c>
      <c r="K3">
        <v>4637048.7089999998</v>
      </c>
      <c r="L3">
        <v>417002.36700000003</v>
      </c>
      <c r="M3">
        <v>1.63</v>
      </c>
      <c r="N3" t="s">
        <v>11</v>
      </c>
    </row>
    <row r="4" spans="1:14" x14ac:dyDescent="0.35">
      <c r="A4" t="s">
        <v>43</v>
      </c>
      <c r="B4">
        <v>26</v>
      </c>
      <c r="C4" t="s">
        <v>44</v>
      </c>
      <c r="D4">
        <v>2019</v>
      </c>
      <c r="E4">
        <v>15</v>
      </c>
      <c r="F4">
        <v>34</v>
      </c>
      <c r="G4" t="s">
        <v>14</v>
      </c>
      <c r="H4" t="s">
        <v>54</v>
      </c>
      <c r="I4" t="s">
        <v>46</v>
      </c>
      <c r="J4" t="s">
        <v>71</v>
      </c>
      <c r="K4">
        <v>4637048.3370000003</v>
      </c>
      <c r="L4">
        <v>417041.83100000001</v>
      </c>
      <c r="M4">
        <v>1.804</v>
      </c>
      <c r="N4" t="s">
        <v>11</v>
      </c>
    </row>
    <row r="5" spans="1:14" x14ac:dyDescent="0.35">
      <c r="A5" t="s">
        <v>43</v>
      </c>
      <c r="B5">
        <v>26</v>
      </c>
      <c r="C5" t="s">
        <v>44</v>
      </c>
      <c r="D5">
        <v>2019</v>
      </c>
      <c r="E5">
        <v>17</v>
      </c>
      <c r="F5">
        <v>38</v>
      </c>
      <c r="G5" t="s">
        <v>14</v>
      </c>
      <c r="H5" t="s">
        <v>54</v>
      </c>
      <c r="I5" t="s">
        <v>46</v>
      </c>
      <c r="J5" t="s">
        <v>71</v>
      </c>
      <c r="K5">
        <v>4637052.3770000003</v>
      </c>
      <c r="L5">
        <v>417062.03100000002</v>
      </c>
      <c r="M5">
        <v>1.782</v>
      </c>
      <c r="N5" t="s">
        <v>11</v>
      </c>
    </row>
    <row r="6" spans="1:14" x14ac:dyDescent="0.35">
      <c r="A6" t="s">
        <v>43</v>
      </c>
      <c r="B6">
        <v>26</v>
      </c>
      <c r="C6" t="s">
        <v>44</v>
      </c>
      <c r="D6">
        <v>2019</v>
      </c>
      <c r="E6">
        <v>18</v>
      </c>
      <c r="F6">
        <v>39</v>
      </c>
      <c r="G6" t="s">
        <v>15</v>
      </c>
      <c r="H6" t="s">
        <v>55</v>
      </c>
      <c r="I6" t="s">
        <v>46</v>
      </c>
      <c r="J6" t="s">
        <v>71</v>
      </c>
      <c r="K6">
        <v>4637051.2589999996</v>
      </c>
      <c r="L6">
        <v>417063.30599999998</v>
      </c>
      <c r="M6">
        <v>1.879</v>
      </c>
      <c r="N6" t="s">
        <v>11</v>
      </c>
    </row>
    <row r="7" spans="1:14" x14ac:dyDescent="0.35">
      <c r="A7" t="s">
        <v>43</v>
      </c>
      <c r="B7">
        <v>26</v>
      </c>
      <c r="C7" t="s">
        <v>44</v>
      </c>
      <c r="D7">
        <v>2019</v>
      </c>
      <c r="E7">
        <v>21</v>
      </c>
      <c r="F7">
        <v>45</v>
      </c>
      <c r="G7" t="s">
        <v>16</v>
      </c>
      <c r="H7" t="s">
        <v>49</v>
      </c>
      <c r="I7" t="s">
        <v>72</v>
      </c>
      <c r="J7" t="s">
        <v>71</v>
      </c>
      <c r="K7">
        <v>4637081.5350000001</v>
      </c>
      <c r="L7">
        <v>416941.88900000002</v>
      </c>
      <c r="M7">
        <v>1.62</v>
      </c>
      <c r="N7" t="s">
        <v>11</v>
      </c>
    </row>
    <row r="8" spans="1:14" x14ac:dyDescent="0.35">
      <c r="A8" t="s">
        <v>43</v>
      </c>
      <c r="B8">
        <v>26</v>
      </c>
      <c r="C8" t="s">
        <v>44</v>
      </c>
      <c r="D8">
        <v>2019</v>
      </c>
      <c r="E8">
        <v>22</v>
      </c>
      <c r="F8">
        <v>46</v>
      </c>
      <c r="G8" t="s">
        <v>7</v>
      </c>
      <c r="H8" t="s">
        <v>45</v>
      </c>
      <c r="I8" t="s">
        <v>46</v>
      </c>
      <c r="J8" t="s">
        <v>71</v>
      </c>
      <c r="K8">
        <v>4637155.2759999996</v>
      </c>
      <c r="L8">
        <v>416976.08500000002</v>
      </c>
      <c r="M8">
        <v>1.629</v>
      </c>
      <c r="N8" t="s">
        <v>11</v>
      </c>
    </row>
    <row r="9" spans="1:14" x14ac:dyDescent="0.35">
      <c r="A9" t="s">
        <v>43</v>
      </c>
      <c r="B9">
        <v>26</v>
      </c>
      <c r="C9" t="s">
        <v>44</v>
      </c>
      <c r="D9">
        <v>2019</v>
      </c>
      <c r="E9">
        <v>23</v>
      </c>
      <c r="F9">
        <v>47</v>
      </c>
      <c r="G9" t="s">
        <v>7</v>
      </c>
      <c r="H9" t="s">
        <v>45</v>
      </c>
      <c r="I9" t="s">
        <v>46</v>
      </c>
      <c r="J9" t="s">
        <v>71</v>
      </c>
      <c r="K9">
        <v>4637160.0010000002</v>
      </c>
      <c r="L9">
        <v>416979.07199999999</v>
      </c>
      <c r="M9">
        <v>1.615</v>
      </c>
      <c r="N9" t="s">
        <v>11</v>
      </c>
    </row>
    <row r="10" spans="1:14" x14ac:dyDescent="0.35">
      <c r="A10" t="s">
        <v>43</v>
      </c>
      <c r="B10">
        <v>26</v>
      </c>
      <c r="C10" t="s">
        <v>44</v>
      </c>
      <c r="D10">
        <v>2019</v>
      </c>
      <c r="E10">
        <v>37</v>
      </c>
      <c r="F10">
        <v>58</v>
      </c>
      <c r="G10" t="s">
        <v>18</v>
      </c>
      <c r="H10" t="s">
        <v>57</v>
      </c>
      <c r="I10" t="s">
        <v>73</v>
      </c>
      <c r="J10" t="s">
        <v>71</v>
      </c>
      <c r="K10">
        <v>4637349.4289999995</v>
      </c>
      <c r="L10">
        <v>417049.24200000003</v>
      </c>
      <c r="M10">
        <v>0.79700000000000004</v>
      </c>
      <c r="N10" t="s">
        <v>11</v>
      </c>
    </row>
    <row r="11" spans="1:14" x14ac:dyDescent="0.35">
      <c r="A11" t="s">
        <v>43</v>
      </c>
      <c r="B11">
        <v>26</v>
      </c>
      <c r="C11" t="s">
        <v>44</v>
      </c>
      <c r="D11">
        <v>2019</v>
      </c>
      <c r="E11">
        <v>38</v>
      </c>
      <c r="F11">
        <v>59</v>
      </c>
      <c r="G11" t="s">
        <v>17</v>
      </c>
      <c r="H11" t="s">
        <v>57</v>
      </c>
      <c r="I11" t="s">
        <v>46</v>
      </c>
      <c r="J11" t="s">
        <v>71</v>
      </c>
      <c r="K11">
        <v>4637348.409</v>
      </c>
      <c r="L11">
        <v>417048.44400000002</v>
      </c>
      <c r="M11">
        <v>0.94799999999999995</v>
      </c>
      <c r="N11" t="s">
        <v>11</v>
      </c>
    </row>
    <row r="12" spans="1:14" x14ac:dyDescent="0.35">
      <c r="A12" t="s">
        <v>43</v>
      </c>
      <c r="B12">
        <v>26</v>
      </c>
      <c r="C12" t="s">
        <v>44</v>
      </c>
      <c r="D12">
        <v>2019</v>
      </c>
      <c r="E12">
        <v>40</v>
      </c>
      <c r="F12">
        <v>62</v>
      </c>
      <c r="G12" t="s">
        <v>12</v>
      </c>
      <c r="H12" t="s">
        <v>50</v>
      </c>
      <c r="I12" t="s">
        <v>46</v>
      </c>
      <c r="J12" t="s">
        <v>71</v>
      </c>
      <c r="K12">
        <v>4637343.8640000001</v>
      </c>
      <c r="L12">
        <v>417046.22100000002</v>
      </c>
      <c r="M12">
        <v>1.323</v>
      </c>
      <c r="N12" t="s">
        <v>11</v>
      </c>
    </row>
    <row r="13" spans="1:14" x14ac:dyDescent="0.35">
      <c r="A13" t="s">
        <v>43</v>
      </c>
      <c r="B13">
        <v>26</v>
      </c>
      <c r="C13" t="s">
        <v>44</v>
      </c>
      <c r="D13">
        <v>2019</v>
      </c>
      <c r="E13">
        <v>41</v>
      </c>
      <c r="F13">
        <v>63</v>
      </c>
      <c r="G13" t="s">
        <v>20</v>
      </c>
      <c r="H13" t="s">
        <v>57</v>
      </c>
      <c r="I13" t="s">
        <v>74</v>
      </c>
      <c r="J13" t="s">
        <v>71</v>
      </c>
      <c r="K13">
        <v>4637341.8990000002</v>
      </c>
      <c r="L13">
        <v>417050.25599999999</v>
      </c>
      <c r="M13">
        <v>1.2549999999999999</v>
      </c>
      <c r="N13" t="s">
        <v>11</v>
      </c>
    </row>
    <row r="14" spans="1:14" x14ac:dyDescent="0.35">
      <c r="A14" t="s">
        <v>43</v>
      </c>
      <c r="B14">
        <v>26</v>
      </c>
      <c r="C14" t="s">
        <v>44</v>
      </c>
      <c r="D14">
        <v>2019</v>
      </c>
      <c r="E14">
        <v>42</v>
      </c>
      <c r="F14">
        <v>64</v>
      </c>
      <c r="G14" t="s">
        <v>21</v>
      </c>
      <c r="H14" t="s">
        <v>57</v>
      </c>
      <c r="I14" t="s">
        <v>75</v>
      </c>
      <c r="J14" t="s">
        <v>71</v>
      </c>
      <c r="K14">
        <v>4637340.9519999996</v>
      </c>
      <c r="L14">
        <v>417050.96500000003</v>
      </c>
      <c r="M14">
        <v>1.274</v>
      </c>
      <c r="N14" t="s">
        <v>11</v>
      </c>
    </row>
    <row r="15" spans="1:14" x14ac:dyDescent="0.35">
      <c r="A15" t="s">
        <v>43</v>
      </c>
      <c r="B15">
        <v>26</v>
      </c>
      <c r="C15" t="s">
        <v>44</v>
      </c>
      <c r="D15">
        <v>2019</v>
      </c>
      <c r="E15">
        <v>45</v>
      </c>
      <c r="F15">
        <v>69</v>
      </c>
      <c r="G15" t="s">
        <v>12</v>
      </c>
      <c r="H15" t="s">
        <v>50</v>
      </c>
      <c r="I15" t="s">
        <v>46</v>
      </c>
      <c r="J15" t="s">
        <v>71</v>
      </c>
      <c r="K15">
        <v>4637370.5669999998</v>
      </c>
      <c r="L15">
        <v>417002.90899999999</v>
      </c>
      <c r="M15">
        <v>1.5589999999999999</v>
      </c>
      <c r="N15" t="s">
        <v>11</v>
      </c>
    </row>
    <row r="16" spans="1:14" x14ac:dyDescent="0.35">
      <c r="A16" t="s">
        <v>43</v>
      </c>
      <c r="B16">
        <v>26</v>
      </c>
      <c r="C16" t="s">
        <v>44</v>
      </c>
      <c r="D16">
        <v>2019</v>
      </c>
      <c r="E16">
        <v>47</v>
      </c>
      <c r="F16">
        <v>72</v>
      </c>
      <c r="G16" t="s">
        <v>17</v>
      </c>
      <c r="H16" t="s">
        <v>57</v>
      </c>
      <c r="I16" t="s">
        <v>46</v>
      </c>
      <c r="J16" t="s">
        <v>71</v>
      </c>
      <c r="K16">
        <v>4637373.22</v>
      </c>
      <c r="L16">
        <v>417007.95400000003</v>
      </c>
      <c r="M16">
        <v>1.2849999999999999</v>
      </c>
      <c r="N16" t="s">
        <v>11</v>
      </c>
    </row>
    <row r="17" spans="1:14" x14ac:dyDescent="0.35">
      <c r="A17" t="s">
        <v>43</v>
      </c>
      <c r="B17">
        <v>26</v>
      </c>
      <c r="C17" t="s">
        <v>44</v>
      </c>
      <c r="D17">
        <v>2019</v>
      </c>
      <c r="E17">
        <v>50</v>
      </c>
      <c r="F17">
        <v>77</v>
      </c>
      <c r="G17" t="s">
        <v>20</v>
      </c>
      <c r="H17" t="s">
        <v>57</v>
      </c>
      <c r="I17" t="s">
        <v>74</v>
      </c>
      <c r="J17" t="s">
        <v>71</v>
      </c>
      <c r="K17">
        <v>4637378.18</v>
      </c>
      <c r="L17">
        <v>417013.41</v>
      </c>
      <c r="M17">
        <v>1.21</v>
      </c>
      <c r="N17" t="s">
        <v>11</v>
      </c>
    </row>
    <row r="18" spans="1:14" x14ac:dyDescent="0.35">
      <c r="A18" t="s">
        <v>43</v>
      </c>
      <c r="B18">
        <v>26</v>
      </c>
      <c r="C18" t="s">
        <v>44</v>
      </c>
      <c r="D18">
        <v>2019</v>
      </c>
      <c r="E18">
        <v>51</v>
      </c>
      <c r="F18">
        <v>78</v>
      </c>
      <c r="G18" t="s">
        <v>25</v>
      </c>
      <c r="H18" t="s">
        <v>57</v>
      </c>
      <c r="I18" t="s">
        <v>64</v>
      </c>
      <c r="J18" t="s">
        <v>71</v>
      </c>
      <c r="K18">
        <v>4637379.0219999999</v>
      </c>
      <c r="L18">
        <v>417014.49</v>
      </c>
      <c r="M18">
        <v>1.1120000000000001</v>
      </c>
      <c r="N18" t="s">
        <v>11</v>
      </c>
    </row>
    <row r="19" spans="1:14" x14ac:dyDescent="0.35">
      <c r="A19" t="s">
        <v>43</v>
      </c>
      <c r="B19">
        <v>26</v>
      </c>
      <c r="C19" t="s">
        <v>44</v>
      </c>
      <c r="D19">
        <v>2019</v>
      </c>
      <c r="E19">
        <v>53</v>
      </c>
      <c r="F19">
        <v>81</v>
      </c>
      <c r="G19" t="s">
        <v>26</v>
      </c>
      <c r="H19" t="s">
        <v>63</v>
      </c>
      <c r="I19" t="s">
        <v>64</v>
      </c>
      <c r="J19" t="s">
        <v>71</v>
      </c>
      <c r="K19">
        <v>4637387.07</v>
      </c>
      <c r="L19">
        <v>416968.08899999998</v>
      </c>
      <c r="M19">
        <v>0.73799999999999999</v>
      </c>
      <c r="N19" t="s">
        <v>11</v>
      </c>
    </row>
    <row r="20" spans="1:14" x14ac:dyDescent="0.35">
      <c r="A20" t="s">
        <v>43</v>
      </c>
      <c r="B20">
        <v>26</v>
      </c>
      <c r="C20" t="s">
        <v>44</v>
      </c>
      <c r="D20">
        <v>2019</v>
      </c>
      <c r="E20">
        <v>59</v>
      </c>
      <c r="F20">
        <v>94</v>
      </c>
      <c r="G20" t="s">
        <v>14</v>
      </c>
      <c r="H20" t="s">
        <v>54</v>
      </c>
      <c r="I20" t="s">
        <v>46</v>
      </c>
      <c r="J20" t="s">
        <v>71</v>
      </c>
      <c r="K20">
        <v>4637357.2130000005</v>
      </c>
      <c r="L20">
        <v>416905.94500000001</v>
      </c>
      <c r="M20">
        <v>1.3680000000000001</v>
      </c>
      <c r="N20" t="s">
        <v>11</v>
      </c>
    </row>
    <row r="21" spans="1:14" x14ac:dyDescent="0.35">
      <c r="A21" t="s">
        <v>43</v>
      </c>
      <c r="B21">
        <v>26</v>
      </c>
      <c r="C21" t="s">
        <v>44</v>
      </c>
      <c r="D21">
        <v>2019</v>
      </c>
      <c r="E21">
        <v>67</v>
      </c>
      <c r="F21">
        <v>110</v>
      </c>
      <c r="G21" t="s">
        <v>30</v>
      </c>
      <c r="H21" t="s">
        <v>54</v>
      </c>
      <c r="I21" t="s">
        <v>68</v>
      </c>
      <c r="J21" t="s">
        <v>71</v>
      </c>
      <c r="K21">
        <v>4637405.6380000003</v>
      </c>
      <c r="L21">
        <v>416917.94</v>
      </c>
      <c r="M21">
        <v>1.423</v>
      </c>
      <c r="N21" t="s">
        <v>11</v>
      </c>
    </row>
    <row r="22" spans="1:14" x14ac:dyDescent="0.35">
      <c r="A22" t="s">
        <v>43</v>
      </c>
      <c r="B22">
        <v>26</v>
      </c>
      <c r="C22" t="s">
        <v>44</v>
      </c>
      <c r="D22">
        <v>2019</v>
      </c>
      <c r="E22">
        <v>70</v>
      </c>
      <c r="F22">
        <v>118</v>
      </c>
      <c r="G22" t="s">
        <v>32</v>
      </c>
      <c r="H22" t="s">
        <v>63</v>
      </c>
      <c r="I22" t="s">
        <v>76</v>
      </c>
      <c r="J22" t="s">
        <v>71</v>
      </c>
      <c r="K22">
        <v>4637433.4589999998</v>
      </c>
      <c r="L22">
        <v>416914.929</v>
      </c>
      <c r="M22">
        <v>1.266</v>
      </c>
      <c r="N22" t="s">
        <v>11</v>
      </c>
    </row>
    <row r="23" spans="1:14" x14ac:dyDescent="0.35">
      <c r="A23" t="s">
        <v>43</v>
      </c>
      <c r="B23">
        <v>26</v>
      </c>
      <c r="C23" t="s">
        <v>44</v>
      </c>
      <c r="D23">
        <v>2019</v>
      </c>
      <c r="E23">
        <v>71</v>
      </c>
      <c r="F23">
        <v>119</v>
      </c>
      <c r="G23" t="s">
        <v>27</v>
      </c>
      <c r="H23" t="s">
        <v>60</v>
      </c>
      <c r="I23" t="s">
        <v>66</v>
      </c>
      <c r="J23" t="s">
        <v>71</v>
      </c>
      <c r="K23">
        <v>4637434.75</v>
      </c>
      <c r="L23">
        <v>416914.05699999997</v>
      </c>
      <c r="M23">
        <v>1.357</v>
      </c>
      <c r="N23" t="s">
        <v>11</v>
      </c>
    </row>
    <row r="24" spans="1:14" x14ac:dyDescent="0.35">
      <c r="A24" t="s">
        <v>43</v>
      </c>
      <c r="B24">
        <v>26</v>
      </c>
      <c r="C24" t="s">
        <v>44</v>
      </c>
      <c r="D24">
        <v>2019</v>
      </c>
      <c r="E24">
        <v>73</v>
      </c>
      <c r="F24">
        <v>133</v>
      </c>
      <c r="G24" t="s">
        <v>33</v>
      </c>
      <c r="H24" t="s">
        <v>70</v>
      </c>
      <c r="I24" t="s">
        <v>77</v>
      </c>
      <c r="J24" t="s">
        <v>71</v>
      </c>
      <c r="K24">
        <v>4637415.7130000005</v>
      </c>
      <c r="L24">
        <v>416929.97700000001</v>
      </c>
      <c r="M24">
        <v>0.29599999999999999</v>
      </c>
      <c r="N24" t="s">
        <v>11</v>
      </c>
    </row>
    <row r="25" spans="1:14" x14ac:dyDescent="0.35">
      <c r="A25" t="s">
        <v>43</v>
      </c>
      <c r="B25">
        <v>26</v>
      </c>
      <c r="C25" t="s">
        <v>44</v>
      </c>
      <c r="D25">
        <v>2019</v>
      </c>
      <c r="E25">
        <v>75</v>
      </c>
      <c r="F25">
        <v>136</v>
      </c>
      <c r="G25" t="s">
        <v>34</v>
      </c>
      <c r="H25" t="s">
        <v>70</v>
      </c>
      <c r="I25" t="s">
        <v>69</v>
      </c>
      <c r="J25" t="s">
        <v>71</v>
      </c>
      <c r="K25">
        <v>4637415.8640000001</v>
      </c>
      <c r="L25">
        <v>416938.402</v>
      </c>
      <c r="M25">
        <v>0.187</v>
      </c>
      <c r="N25" t="s">
        <v>11</v>
      </c>
    </row>
    <row r="26" spans="1:14" x14ac:dyDescent="0.35">
      <c r="A26" t="s">
        <v>43</v>
      </c>
      <c r="B26">
        <v>26</v>
      </c>
      <c r="C26" t="s">
        <v>44</v>
      </c>
      <c r="D26">
        <v>2019</v>
      </c>
      <c r="E26">
        <v>76</v>
      </c>
      <c r="F26">
        <v>137</v>
      </c>
      <c r="G26" t="s">
        <v>34</v>
      </c>
      <c r="H26" t="s">
        <v>70</v>
      </c>
      <c r="I26" t="s">
        <v>69</v>
      </c>
      <c r="J26" t="s">
        <v>71</v>
      </c>
      <c r="K26">
        <v>4637414.3039999995</v>
      </c>
      <c r="L26">
        <v>416951.68</v>
      </c>
      <c r="M26">
        <v>0.248</v>
      </c>
      <c r="N26" t="s">
        <v>11</v>
      </c>
    </row>
    <row r="27" spans="1:14" x14ac:dyDescent="0.35">
      <c r="A27" t="s">
        <v>43</v>
      </c>
      <c r="B27">
        <v>26</v>
      </c>
      <c r="C27" t="s">
        <v>44</v>
      </c>
      <c r="D27">
        <v>2019</v>
      </c>
      <c r="E27">
        <v>77</v>
      </c>
      <c r="F27">
        <v>138</v>
      </c>
      <c r="G27" t="s">
        <v>34</v>
      </c>
      <c r="H27" t="s">
        <v>70</v>
      </c>
      <c r="I27" t="s">
        <v>69</v>
      </c>
      <c r="J27" t="s">
        <v>71</v>
      </c>
      <c r="K27">
        <v>4637409.5470000003</v>
      </c>
      <c r="L27">
        <v>416959.82799999998</v>
      </c>
      <c r="M27">
        <v>0.23799999999999999</v>
      </c>
      <c r="N27" t="s">
        <v>11</v>
      </c>
    </row>
    <row r="28" spans="1:14" x14ac:dyDescent="0.35">
      <c r="A28" t="s">
        <v>43</v>
      </c>
      <c r="B28">
        <v>26</v>
      </c>
      <c r="C28" t="s">
        <v>44</v>
      </c>
      <c r="D28">
        <v>2019</v>
      </c>
      <c r="E28">
        <v>78</v>
      </c>
      <c r="F28">
        <v>139</v>
      </c>
      <c r="G28" t="s">
        <v>35</v>
      </c>
      <c r="H28" t="s">
        <v>70</v>
      </c>
      <c r="I28" t="s">
        <v>78</v>
      </c>
      <c r="J28" t="s">
        <v>71</v>
      </c>
      <c r="K28">
        <v>4637398.3770000003</v>
      </c>
      <c r="L28">
        <v>416954.66800000001</v>
      </c>
      <c r="M28">
        <v>0.72299999999999998</v>
      </c>
      <c r="N28" t="s">
        <v>11</v>
      </c>
    </row>
    <row r="29" spans="1:14" x14ac:dyDescent="0.35">
      <c r="A29" t="s">
        <v>43</v>
      </c>
      <c r="B29">
        <v>26</v>
      </c>
      <c r="C29" t="s">
        <v>44</v>
      </c>
      <c r="D29">
        <v>2019</v>
      </c>
      <c r="E29">
        <v>79</v>
      </c>
      <c r="F29">
        <v>140</v>
      </c>
      <c r="G29" t="s">
        <v>34</v>
      </c>
      <c r="H29" t="s">
        <v>70</v>
      </c>
      <c r="I29" t="s">
        <v>69</v>
      </c>
      <c r="J29" t="s">
        <v>71</v>
      </c>
      <c r="K29">
        <v>4637401.1009999998</v>
      </c>
      <c r="L29">
        <v>416960.43199999997</v>
      </c>
      <c r="M29">
        <v>0.13100000000000001</v>
      </c>
      <c r="N29" t="s">
        <v>11</v>
      </c>
    </row>
    <row r="30" spans="1:14" x14ac:dyDescent="0.35">
      <c r="A30" t="s">
        <v>43</v>
      </c>
      <c r="B30">
        <v>26</v>
      </c>
      <c r="C30" t="s">
        <v>44</v>
      </c>
      <c r="D30">
        <v>2019</v>
      </c>
      <c r="E30">
        <v>81</v>
      </c>
      <c r="F30">
        <v>147</v>
      </c>
      <c r="G30" t="s">
        <v>34</v>
      </c>
      <c r="H30" t="s">
        <v>70</v>
      </c>
      <c r="I30" t="s">
        <v>69</v>
      </c>
      <c r="J30" t="s">
        <v>71</v>
      </c>
      <c r="K30">
        <v>4637472.6009999998</v>
      </c>
      <c r="L30">
        <v>416966.45</v>
      </c>
      <c r="M30">
        <v>0.28299999999999997</v>
      </c>
      <c r="N30" t="s">
        <v>11</v>
      </c>
    </row>
    <row r="31" spans="1:14" x14ac:dyDescent="0.35">
      <c r="A31" t="s">
        <v>43</v>
      </c>
      <c r="B31">
        <v>26</v>
      </c>
      <c r="C31" t="s">
        <v>44</v>
      </c>
      <c r="D31">
        <v>2019</v>
      </c>
      <c r="E31">
        <v>83</v>
      </c>
      <c r="F31">
        <v>150</v>
      </c>
      <c r="G31" t="s">
        <v>34</v>
      </c>
      <c r="H31" t="s">
        <v>70</v>
      </c>
      <c r="I31" t="s">
        <v>69</v>
      </c>
      <c r="J31" t="s">
        <v>71</v>
      </c>
      <c r="K31">
        <v>4637451.6550000003</v>
      </c>
      <c r="L31">
        <v>416971.27299999999</v>
      </c>
      <c r="M31">
        <v>1.012</v>
      </c>
      <c r="N3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15ED-5758-4EDD-9EA2-A8A1587371F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wellfleet26oct2019_revised</vt:lpstr>
      <vt:lpstr>Line</vt:lpstr>
      <vt:lpstr>MU</vt:lpstr>
      <vt:lpstr>Poly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Wicks</cp:lastModifiedBy>
  <dcterms:created xsi:type="dcterms:W3CDTF">2025-04-15T18:14:33Z</dcterms:created>
  <dcterms:modified xsi:type="dcterms:W3CDTF">2025-04-17T02:18:06Z</dcterms:modified>
</cp:coreProperties>
</file>