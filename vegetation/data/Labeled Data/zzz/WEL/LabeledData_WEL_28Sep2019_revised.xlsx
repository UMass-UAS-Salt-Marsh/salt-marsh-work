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icks\Desktop\Temp\TempEPASaltmarsh\"/>
    </mc:Choice>
  </mc:AlternateContent>
  <xr:revisionPtr revIDLastSave="0" documentId="13_ncr:1_{2F6DED8F-B7C2-4DA4-8428-C1CE150EDC19}" xr6:coauthVersionLast="47" xr6:coauthVersionMax="47" xr10:uidLastSave="{00000000-0000-0000-0000-000000000000}"/>
  <bookViews>
    <workbookView xWindow="-110" yWindow="-110" windowWidth="19420" windowHeight="11620" xr2:uid="{309FA2D9-0E74-4005-9D17-5D52EA0EC534}"/>
  </bookViews>
  <sheets>
    <sheet name="wellfleet28sep2019" sheetId="1" r:id="rId1"/>
    <sheet name="Line" sheetId="2" r:id="rId2"/>
    <sheet name="MU" sheetId="3" r:id="rId3"/>
    <sheet name="Poly" sheetId="4" r:id="rId4"/>
  </sheets>
  <definedNames>
    <definedName name="_xlnm._FilterDatabase" localSheetId="0" hidden="1">wellfleet28sep2019!$A$1:$N$163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  <c r="J2" i="1" l="1"/>
  <c r="J3" i="1" l="1"/>
  <c r="J4" i="1" l="1"/>
  <c r="J5" i="1" l="1"/>
  <c r="J6" i="1" l="1"/>
  <c r="J7" i="1" l="1"/>
  <c r="J11" i="1"/>
  <c r="J12" i="1" l="1"/>
  <c r="J13" i="1" l="1"/>
  <c r="J14" i="1" l="1"/>
  <c r="J15" i="1" l="1"/>
  <c r="J16" i="1" l="1"/>
  <c r="J17" i="1" l="1"/>
  <c r="J18" i="1" l="1"/>
  <c r="J19" i="1" l="1"/>
  <c r="J20" i="1" l="1"/>
  <c r="J21" i="1" l="1"/>
  <c r="J22" i="1" l="1"/>
  <c r="J23" i="1" l="1"/>
  <c r="J24" i="1" l="1"/>
  <c r="J25" i="1" l="1"/>
  <c r="J26" i="1" l="1"/>
  <c r="J27" i="1" l="1"/>
  <c r="J28" i="1" l="1"/>
  <c r="J29" i="1" l="1"/>
  <c r="J30" i="1" l="1"/>
  <c r="J31" i="1" l="1"/>
  <c r="J32" i="1" l="1"/>
  <c r="J34" i="1" l="1"/>
  <c r="J33" i="1"/>
  <c r="J35" i="1" l="1"/>
  <c r="J36" i="1" l="1"/>
  <c r="J37" i="1" l="1"/>
  <c r="J38" i="1" l="1"/>
  <c r="J39" i="1" l="1"/>
  <c r="J40" i="1" l="1"/>
  <c r="J41" i="1" l="1"/>
  <c r="J42" i="1" l="1"/>
  <c r="J43" i="1" l="1"/>
  <c r="J44" i="1" l="1"/>
  <c r="J45" i="1" l="1"/>
  <c r="J46" i="1" l="1"/>
  <c r="J47" i="1" l="1"/>
  <c r="J48" i="1" l="1"/>
  <c r="J49" i="1" l="1"/>
  <c r="J50" i="1" l="1"/>
  <c r="J51" i="1" l="1"/>
  <c r="J52" i="1" l="1"/>
  <c r="J53" i="1" l="1"/>
  <c r="J54" i="1" l="1"/>
  <c r="J55" i="1" l="1"/>
  <c r="J56" i="1" l="1"/>
  <c r="J57" i="1" l="1"/>
  <c r="J58" i="1" l="1"/>
  <c r="J59" i="1" l="1"/>
  <c r="J60" i="1" l="1"/>
  <c r="J61" i="1" l="1"/>
  <c r="J62" i="1" l="1"/>
  <c r="J63" i="1" l="1"/>
  <c r="J64" i="1" l="1"/>
  <c r="J65" i="1" l="1"/>
  <c r="J66" i="1" l="1"/>
  <c r="J67" i="1" l="1"/>
  <c r="J68" i="1" l="1"/>
  <c r="J69" i="1" l="1"/>
  <c r="J70" i="1" l="1"/>
  <c r="J71" i="1" l="1"/>
  <c r="J72" i="1" l="1"/>
  <c r="J73" i="1" l="1"/>
  <c r="J74" i="1" l="1"/>
  <c r="J75" i="1" l="1"/>
  <c r="J76" i="1" l="1"/>
  <c r="J77" i="1" l="1"/>
  <c r="J78" i="1" l="1"/>
  <c r="J79" i="1" l="1"/>
  <c r="J80" i="1" l="1"/>
  <c r="J81" i="1" l="1"/>
  <c r="J82" i="1" l="1"/>
  <c r="J83" i="1" l="1"/>
  <c r="J84" i="1" l="1"/>
  <c r="J85" i="1" l="1"/>
  <c r="J86" i="1" l="1"/>
  <c r="J87" i="1" l="1"/>
  <c r="J88" i="1" l="1"/>
  <c r="J89" i="1" l="1"/>
  <c r="J90" i="1" l="1"/>
  <c r="J91" i="1" l="1"/>
  <c r="J92" i="1" l="1"/>
  <c r="J93" i="1" l="1"/>
  <c r="J94" i="1" l="1"/>
  <c r="J95" i="1" l="1"/>
  <c r="J96" i="1" l="1"/>
  <c r="J97" i="1" l="1"/>
  <c r="J98" i="1" l="1"/>
  <c r="J99" i="1" l="1"/>
  <c r="J100" i="1" l="1"/>
  <c r="J101" i="1" l="1"/>
  <c r="J102" i="1" l="1"/>
  <c r="J103" i="1" l="1"/>
  <c r="J104" i="1" l="1"/>
  <c r="J105" i="1" l="1"/>
  <c r="J107" i="1" l="1"/>
  <c r="J106" i="1"/>
  <c r="J108" i="1" l="1"/>
  <c r="J109" i="1" l="1"/>
  <c r="J110" i="1" l="1"/>
  <c r="J111" i="1" l="1"/>
  <c r="J112" i="1" l="1"/>
  <c r="J114" i="1" l="1"/>
  <c r="J113" i="1"/>
  <c r="J115" i="1" l="1"/>
  <c r="J116" i="1" l="1"/>
  <c r="J117" i="1" l="1"/>
  <c r="J118" i="1" l="1"/>
  <c r="J119" i="1" l="1"/>
  <c r="J120" i="1" l="1"/>
  <c r="J121" i="1" l="1"/>
  <c r="J122" i="1" l="1"/>
  <c r="J123" i="1" l="1"/>
  <c r="J124" i="1" l="1"/>
  <c r="J125" i="1" l="1"/>
  <c r="J126" i="1" l="1"/>
  <c r="J127" i="1" l="1"/>
  <c r="J128" i="1" l="1"/>
  <c r="J129" i="1" l="1"/>
  <c r="J130" i="1" l="1"/>
  <c r="J131" i="1" l="1"/>
  <c r="J132" i="1" l="1"/>
  <c r="J133" i="1" l="1"/>
  <c r="J134" i="1" l="1"/>
  <c r="J135" i="1" l="1"/>
  <c r="J136" i="1" l="1"/>
  <c r="J137" i="1" l="1"/>
  <c r="J138" i="1" l="1"/>
  <c r="J139" i="1" l="1"/>
  <c r="J140" i="1" l="1"/>
  <c r="J141" i="1" l="1"/>
  <c r="J143" i="1" l="1"/>
  <c r="J142" i="1"/>
  <c r="J144" i="1" l="1"/>
  <c r="J145" i="1" l="1"/>
  <c r="J146" i="1" l="1"/>
  <c r="J147" i="1" l="1"/>
  <c r="J148" i="1" l="1"/>
  <c r="J149" i="1" l="1"/>
  <c r="J150" i="1" l="1"/>
  <c r="J151" i="1" l="1"/>
  <c r="J152" i="1" l="1"/>
  <c r="J153" i="1" l="1"/>
  <c r="J154" i="1" l="1"/>
  <c r="J155" i="1" l="1"/>
  <c r="J156" i="1" l="1"/>
  <c r="J157" i="1" l="1"/>
  <c r="J158" i="1" l="1"/>
  <c r="J160" i="1" l="1"/>
  <c r="J159" i="1"/>
  <c r="J161" i="1" l="1"/>
  <c r="J163" i="1" l="1"/>
  <c r="J162" i="1" l="1"/>
</calcChain>
</file>

<file path=xl/sharedStrings.xml><?xml version="1.0" encoding="utf-8"?>
<sst xmlns="http://schemas.openxmlformats.org/spreadsheetml/2006/main" count="1551" uniqueCount="85">
  <si>
    <t>Subclass</t>
  </si>
  <si>
    <t>Northing</t>
  </si>
  <si>
    <t>Easting</t>
  </si>
  <si>
    <t>Notes</t>
  </si>
  <si>
    <t>06a</t>
  </si>
  <si>
    <t>1 mu</t>
  </si>
  <si>
    <t>03a</t>
  </si>
  <si>
    <t>03bc</t>
  </si>
  <si>
    <t>thinning</t>
  </si>
  <si>
    <t>33ck</t>
  </si>
  <si>
    <t>25jn</t>
  </si>
  <si>
    <t>triangulate 7-9</t>
  </si>
  <si>
    <t>patchy dense peat</t>
  </si>
  <si>
    <t>06af</t>
  </si>
  <si>
    <t>1mu</t>
  </si>
  <si>
    <t>02a</t>
  </si>
  <si>
    <t>01ef</t>
  </si>
  <si>
    <t>green crabs using burrows</t>
  </si>
  <si>
    <t>33ef</t>
  </si>
  <si>
    <t>due to curvature</t>
  </si>
  <si>
    <t>01ae</t>
  </si>
  <si>
    <t>low density peat in surrounding area</t>
  </si>
  <si>
    <t>06bf</t>
  </si>
  <si>
    <t>patches of high marsh, water present</t>
  </si>
  <si>
    <t>02af</t>
  </si>
  <si>
    <t>01aef</t>
  </si>
  <si>
    <t>zig zagged</t>
  </si>
  <si>
    <t>11a</t>
  </si>
  <si>
    <t>missed point 79</t>
  </si>
  <si>
    <t>10a</t>
  </si>
  <si>
    <t>new area, non linear transect</t>
  </si>
  <si>
    <t>01a</t>
  </si>
  <si>
    <t>01cef</t>
  </si>
  <si>
    <t>01bce</t>
  </si>
  <si>
    <t>01b</t>
  </si>
  <si>
    <t>01bc</t>
  </si>
  <si>
    <t>01bcf</t>
  </si>
  <si>
    <t>01ce</t>
  </si>
  <si>
    <t>10ae</t>
  </si>
  <si>
    <t>06ae</t>
  </si>
  <si>
    <t>33e</t>
  </si>
  <si>
    <t>start on other side of boardwalk</t>
  </si>
  <si>
    <t>01ace</t>
  </si>
  <si>
    <t>25fj</t>
  </si>
  <si>
    <t>Site</t>
  </si>
  <si>
    <t>Day</t>
  </si>
  <si>
    <t>Month</t>
  </si>
  <si>
    <t>Year</t>
  </si>
  <si>
    <t>PolygonNum</t>
  </si>
  <si>
    <t>PointNum</t>
  </si>
  <si>
    <t>Sub&amp;Att</t>
  </si>
  <si>
    <t>Attributes</t>
  </si>
  <si>
    <t>SampFormat</t>
  </si>
  <si>
    <t>Altitude</t>
  </si>
  <si>
    <t>WEL</t>
  </si>
  <si>
    <t>Sep</t>
  </si>
  <si>
    <t>Poly</t>
  </si>
  <si>
    <t>03</t>
  </si>
  <si>
    <t>a</t>
  </si>
  <si>
    <t>Line</t>
  </si>
  <si>
    <t>bc</t>
  </si>
  <si>
    <t>06</t>
  </si>
  <si>
    <t>01</t>
  </si>
  <si>
    <t>ef</t>
  </si>
  <si>
    <t>33</t>
  </si>
  <si>
    <t>02</t>
  </si>
  <si>
    <t>bf</t>
  </si>
  <si>
    <t>af</t>
  </si>
  <si>
    <t>aef</t>
  </si>
  <si>
    <t>32</t>
  </si>
  <si>
    <t/>
  </si>
  <si>
    <t>11</t>
  </si>
  <si>
    <t>ae</t>
  </si>
  <si>
    <t>bce</t>
  </si>
  <si>
    <t>ce</t>
  </si>
  <si>
    <t>10</t>
  </si>
  <si>
    <t>e</t>
  </si>
  <si>
    <t>ace</t>
  </si>
  <si>
    <t>MU</t>
  </si>
  <si>
    <t>ck</t>
  </si>
  <si>
    <t>cef</t>
  </si>
  <si>
    <t>b</t>
  </si>
  <si>
    <t>bcf</t>
  </si>
  <si>
    <t>25</t>
  </si>
  <si>
    <t>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</si>
</sst>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BC75-A819-4E20-A770-74CF79D64A38}">
  <dimension ref="A1:N163"/>
  <sheetViews>
    <sheetView tabSelected="1" workbookViewId="0">
      <selection activeCell="E6" sqref="E6"/>
    </sheetView>
  </sheetViews>
  <sheetFormatPr defaultRowHeight="14.5" x14ac:dyDescent="0.35"/>
  <sheetData>
    <row r="1" spans="1:14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0</v>
      </c>
      <c r="I1" t="s">
        <v>51</v>
      </c>
      <c r="J1" t="s">
        <v>52</v>
      </c>
      <c r="K1" t="s">
        <v>1</v>
      </c>
      <c r="L1" t="s">
        <v>2</v>
      </c>
      <c r="M1" t="s">
        <v>53</v>
      </c>
      <c r="N1" t="s">
        <v>3</v>
      </c>
    </row>
    <row r="2" spans="1:14" x14ac:dyDescent="0.35">
      <c r="A2" t="s">
        <v>54</v>
      </c>
      <c r="B2">
        <v>28</v>
      </c>
      <c r="C2" t="s">
        <v>55</v>
      </c>
      <c r="D2">
        <v>2019</v>
      </c>
      <c r="E2">
        <v>1</v>
      </c>
      <c r="F2">
        <v>1</v>
      </c>
      <c r="G2" t="s">
        <v>4</v>
      </c>
      <c r="H2" t="str">
        <f>LEFT(G2,2)</f>
        <v>06</v>
      </c>
      <c r="I2" t="str">
        <f t="shared" ref="I2" si="0">RIGHT(G2,LEN(G2)-LEN(H2))</f>
        <v>a</v>
      </c>
      <c r="J2" t="str">
        <f>IF(OR((E2=E3),(E2=E1)),"Line","MU")</f>
        <v>MU</v>
      </c>
      <c r="K2">
        <v>4637509.2819999997</v>
      </c>
      <c r="L2">
        <v>417264.60499999998</v>
      </c>
      <c r="M2">
        <v>1.663</v>
      </c>
      <c r="N2" t="s">
        <v>5</v>
      </c>
    </row>
    <row r="3" spans="1:14" x14ac:dyDescent="0.35">
      <c r="A3" t="s">
        <v>54</v>
      </c>
      <c r="B3">
        <v>28</v>
      </c>
      <c r="C3" t="s">
        <v>55</v>
      </c>
      <c r="D3">
        <v>2019</v>
      </c>
      <c r="E3">
        <f t="shared" ref="E3:E66" si="1">IF(G3=G2,E2,E2+1)</f>
        <v>2</v>
      </c>
      <c r="F3">
        <v>2</v>
      </c>
      <c r="G3" t="s">
        <v>6</v>
      </c>
      <c r="H3" t="str">
        <f t="shared" ref="H3:H66" si="2">LEFT(G3,2)</f>
        <v>03</v>
      </c>
      <c r="I3" t="str">
        <f t="shared" ref="I3:I66" si="3">RIGHT(G3,LEN(G3)-LEN(H3))</f>
        <v>a</v>
      </c>
      <c r="J3" t="str">
        <f t="shared" ref="J3:J66" si="4">IF(OR((E3=E4),(E3=E2)),"Line","MU")</f>
        <v>Line</v>
      </c>
      <c r="K3">
        <v>4637502.4369999999</v>
      </c>
      <c r="L3">
        <v>417266.40299999999</v>
      </c>
      <c r="M3">
        <v>1.45</v>
      </c>
    </row>
    <row r="4" spans="1:14" x14ac:dyDescent="0.35">
      <c r="A4" t="s">
        <v>54</v>
      </c>
      <c r="B4">
        <v>28</v>
      </c>
      <c r="C4" t="s">
        <v>55</v>
      </c>
      <c r="D4">
        <v>2019</v>
      </c>
      <c r="E4">
        <f t="shared" si="1"/>
        <v>2</v>
      </c>
      <c r="F4">
        <v>3</v>
      </c>
      <c r="G4" t="s">
        <v>6</v>
      </c>
      <c r="H4" t="str">
        <f t="shared" si="2"/>
        <v>03</v>
      </c>
      <c r="I4" t="str">
        <f t="shared" si="3"/>
        <v>a</v>
      </c>
      <c r="J4" t="str">
        <f>IF(OR((E4=E5),(E4=E3)),"Line","MU")</f>
        <v>Line</v>
      </c>
      <c r="K4">
        <v>4637493.8250000002</v>
      </c>
      <c r="L4">
        <v>417271.77899999998</v>
      </c>
      <c r="M4">
        <v>1.4630000000000001</v>
      </c>
    </row>
    <row r="5" spans="1:14" x14ac:dyDescent="0.35">
      <c r="A5" t="s">
        <v>54</v>
      </c>
      <c r="B5">
        <v>28</v>
      </c>
      <c r="C5" t="s">
        <v>55</v>
      </c>
      <c r="D5">
        <v>2019</v>
      </c>
      <c r="E5">
        <f t="shared" si="1"/>
        <v>3</v>
      </c>
      <c r="F5">
        <v>4</v>
      </c>
      <c r="G5" t="s">
        <v>7</v>
      </c>
      <c r="H5" t="str">
        <f t="shared" si="2"/>
        <v>03</v>
      </c>
      <c r="I5" t="str">
        <f t="shared" si="3"/>
        <v>bc</v>
      </c>
      <c r="J5" t="str">
        <f t="shared" si="4"/>
        <v>Line</v>
      </c>
      <c r="K5">
        <v>4637492.1710000001</v>
      </c>
      <c r="L5">
        <v>417272.94199999998</v>
      </c>
      <c r="M5">
        <v>1.464</v>
      </c>
      <c r="N5" t="s">
        <v>8</v>
      </c>
    </row>
    <row r="6" spans="1:14" x14ac:dyDescent="0.35">
      <c r="A6" t="s">
        <v>54</v>
      </c>
      <c r="B6">
        <v>28</v>
      </c>
      <c r="C6" t="s">
        <v>55</v>
      </c>
      <c r="D6">
        <v>2019</v>
      </c>
      <c r="E6">
        <f t="shared" si="1"/>
        <v>3</v>
      </c>
      <c r="F6">
        <v>5</v>
      </c>
      <c r="G6" t="s">
        <v>7</v>
      </c>
      <c r="H6" t="str">
        <f t="shared" si="2"/>
        <v>03</v>
      </c>
      <c r="I6" t="str">
        <f t="shared" si="3"/>
        <v>bc</v>
      </c>
      <c r="J6" t="str">
        <f t="shared" si="4"/>
        <v>Line</v>
      </c>
      <c r="K6">
        <v>4637480.8679999998</v>
      </c>
      <c r="L6">
        <v>417281.81099999999</v>
      </c>
      <c r="M6">
        <v>1.5069999999999999</v>
      </c>
    </row>
    <row r="7" spans="1:14" x14ac:dyDescent="0.35">
      <c r="A7" t="s">
        <v>54</v>
      </c>
      <c r="B7">
        <v>28</v>
      </c>
      <c r="C7" t="s">
        <v>55</v>
      </c>
      <c r="D7">
        <v>2019</v>
      </c>
      <c r="E7">
        <f t="shared" si="1"/>
        <v>4</v>
      </c>
      <c r="F7">
        <v>6</v>
      </c>
      <c r="G7" t="s">
        <v>9</v>
      </c>
      <c r="H7" t="str">
        <f t="shared" si="2"/>
        <v>33</v>
      </c>
      <c r="I7" t="str">
        <f t="shared" si="3"/>
        <v>ck</v>
      </c>
      <c r="J7" t="str">
        <f t="shared" si="4"/>
        <v>MU</v>
      </c>
      <c r="K7">
        <v>4637481.6059999997</v>
      </c>
      <c r="L7">
        <v>417283.065</v>
      </c>
      <c r="M7">
        <v>1.496</v>
      </c>
      <c r="N7" t="s">
        <v>5</v>
      </c>
    </row>
    <row r="8" spans="1:14" x14ac:dyDescent="0.35">
      <c r="A8" t="s">
        <v>54</v>
      </c>
      <c r="B8">
        <v>28</v>
      </c>
      <c r="C8" t="s">
        <v>55</v>
      </c>
      <c r="D8">
        <v>2019</v>
      </c>
      <c r="E8">
        <f t="shared" si="1"/>
        <v>5</v>
      </c>
      <c r="F8">
        <v>7</v>
      </c>
      <c r="G8" t="s">
        <v>10</v>
      </c>
      <c r="H8" t="str">
        <f t="shared" si="2"/>
        <v>25</v>
      </c>
      <c r="I8" t="str">
        <f t="shared" si="3"/>
        <v>jn</v>
      </c>
      <c r="J8" t="s">
        <v>56</v>
      </c>
      <c r="K8">
        <v>4637480.0219999999</v>
      </c>
      <c r="L8">
        <v>417281.48300000001</v>
      </c>
      <c r="M8">
        <v>1.462</v>
      </c>
      <c r="N8" t="s">
        <v>11</v>
      </c>
    </row>
    <row r="9" spans="1:14" x14ac:dyDescent="0.35">
      <c r="A9" t="s">
        <v>54</v>
      </c>
      <c r="B9">
        <v>28</v>
      </c>
      <c r="C9" t="s">
        <v>55</v>
      </c>
      <c r="D9">
        <v>2019</v>
      </c>
      <c r="E9">
        <f t="shared" si="1"/>
        <v>5</v>
      </c>
      <c r="F9">
        <v>8</v>
      </c>
      <c r="G9" t="s">
        <v>10</v>
      </c>
      <c r="H9" t="str">
        <f t="shared" si="2"/>
        <v>25</v>
      </c>
      <c r="I9" t="str">
        <f t="shared" si="3"/>
        <v>jn</v>
      </c>
      <c r="J9" t="s">
        <v>56</v>
      </c>
      <c r="K9">
        <v>4637476.8250000002</v>
      </c>
      <c r="L9">
        <v>417279.05200000003</v>
      </c>
      <c r="M9">
        <v>1.4650000000000001</v>
      </c>
    </row>
    <row r="10" spans="1:14" x14ac:dyDescent="0.35">
      <c r="A10" t="s">
        <v>54</v>
      </c>
      <c r="B10">
        <v>28</v>
      </c>
      <c r="C10" t="s">
        <v>55</v>
      </c>
      <c r="D10">
        <v>2019</v>
      </c>
      <c r="E10">
        <f t="shared" si="1"/>
        <v>5</v>
      </c>
      <c r="F10">
        <v>9</v>
      </c>
      <c r="G10" t="s">
        <v>10</v>
      </c>
      <c r="H10" t="str">
        <f t="shared" si="2"/>
        <v>25</v>
      </c>
      <c r="I10" t="str">
        <f t="shared" si="3"/>
        <v>jn</v>
      </c>
      <c r="J10" t="s">
        <v>56</v>
      </c>
      <c r="K10">
        <v>4637480.1890000002</v>
      </c>
      <c r="L10">
        <v>417275.74599999998</v>
      </c>
      <c r="M10">
        <v>1.4470000000000001</v>
      </c>
    </row>
    <row r="11" spans="1:14" x14ac:dyDescent="0.35">
      <c r="A11" t="s">
        <v>54</v>
      </c>
      <c r="B11">
        <v>28</v>
      </c>
      <c r="C11" t="s">
        <v>55</v>
      </c>
      <c r="D11">
        <v>2019</v>
      </c>
      <c r="E11">
        <f t="shared" si="1"/>
        <v>6</v>
      </c>
      <c r="F11">
        <v>10</v>
      </c>
      <c r="G11" t="s">
        <v>6</v>
      </c>
      <c r="H11" t="str">
        <f t="shared" si="2"/>
        <v>03</v>
      </c>
      <c r="I11" t="str">
        <f t="shared" si="3"/>
        <v>a</v>
      </c>
      <c r="J11" t="str">
        <f t="shared" si="4"/>
        <v>Line</v>
      </c>
      <c r="K11">
        <v>4637475.0920000002</v>
      </c>
      <c r="L11">
        <v>417277.071</v>
      </c>
      <c r="M11">
        <v>1.456</v>
      </c>
    </row>
    <row r="12" spans="1:14" x14ac:dyDescent="0.35">
      <c r="A12" t="s">
        <v>54</v>
      </c>
      <c r="B12">
        <v>28</v>
      </c>
      <c r="C12" t="s">
        <v>55</v>
      </c>
      <c r="D12">
        <v>2019</v>
      </c>
      <c r="E12">
        <f t="shared" si="1"/>
        <v>6</v>
      </c>
      <c r="F12">
        <v>11</v>
      </c>
      <c r="G12" t="s">
        <v>6</v>
      </c>
      <c r="H12" t="str">
        <f t="shared" si="2"/>
        <v>03</v>
      </c>
      <c r="I12" t="str">
        <f t="shared" si="3"/>
        <v>a</v>
      </c>
      <c r="J12" t="str">
        <f t="shared" si="4"/>
        <v>Line</v>
      </c>
      <c r="K12">
        <v>4637468.0650000004</v>
      </c>
      <c r="L12">
        <v>417269.91600000003</v>
      </c>
      <c r="M12">
        <v>1.4179999999999999</v>
      </c>
    </row>
    <row r="13" spans="1:14" x14ac:dyDescent="0.35">
      <c r="A13" t="s">
        <v>54</v>
      </c>
      <c r="B13">
        <v>28</v>
      </c>
      <c r="C13" t="s">
        <v>55</v>
      </c>
      <c r="D13">
        <v>2019</v>
      </c>
      <c r="E13">
        <f t="shared" si="1"/>
        <v>7</v>
      </c>
      <c r="F13">
        <v>12</v>
      </c>
      <c r="G13" t="s">
        <v>4</v>
      </c>
      <c r="H13" t="str">
        <f t="shared" si="2"/>
        <v>06</v>
      </c>
      <c r="I13" t="str">
        <f t="shared" si="3"/>
        <v>a</v>
      </c>
      <c r="J13" t="str">
        <f t="shared" si="4"/>
        <v>Line</v>
      </c>
      <c r="K13">
        <v>4637466.6169999996</v>
      </c>
      <c r="L13">
        <v>417268.58600000001</v>
      </c>
      <c r="M13">
        <v>1.385</v>
      </c>
      <c r="N13" t="s">
        <v>12</v>
      </c>
    </row>
    <row r="14" spans="1:14" x14ac:dyDescent="0.35">
      <c r="A14" t="s">
        <v>54</v>
      </c>
      <c r="B14">
        <v>28</v>
      </c>
      <c r="C14" t="s">
        <v>55</v>
      </c>
      <c r="D14">
        <v>2019</v>
      </c>
      <c r="E14">
        <f t="shared" si="1"/>
        <v>7</v>
      </c>
      <c r="F14">
        <v>13</v>
      </c>
      <c r="G14" t="s">
        <v>4</v>
      </c>
      <c r="H14" t="str">
        <f t="shared" si="2"/>
        <v>06</v>
      </c>
      <c r="I14" t="str">
        <f t="shared" si="3"/>
        <v>a</v>
      </c>
      <c r="J14" t="str">
        <f t="shared" si="4"/>
        <v>Line</v>
      </c>
      <c r="K14">
        <v>4637464.4800000004</v>
      </c>
      <c r="L14">
        <v>417266.61499999999</v>
      </c>
      <c r="M14">
        <v>1.337</v>
      </c>
      <c r="N14" t="s">
        <v>12</v>
      </c>
    </row>
    <row r="15" spans="1:14" x14ac:dyDescent="0.35">
      <c r="A15" t="s">
        <v>54</v>
      </c>
      <c r="B15">
        <v>28</v>
      </c>
      <c r="C15" t="s">
        <v>55</v>
      </c>
      <c r="D15">
        <v>2019</v>
      </c>
      <c r="E15">
        <f t="shared" si="1"/>
        <v>8</v>
      </c>
      <c r="F15">
        <v>14</v>
      </c>
      <c r="G15" t="s">
        <v>6</v>
      </c>
      <c r="H15" t="str">
        <f t="shared" si="2"/>
        <v>03</v>
      </c>
      <c r="I15" t="str">
        <f t="shared" si="3"/>
        <v>a</v>
      </c>
      <c r="J15" t="str">
        <f t="shared" si="4"/>
        <v>MU</v>
      </c>
      <c r="K15">
        <v>4637462.8480000002</v>
      </c>
      <c r="L15">
        <v>417265.40700000001</v>
      </c>
      <c r="M15">
        <v>1.387</v>
      </c>
      <c r="N15" t="s">
        <v>5</v>
      </c>
    </row>
    <row r="16" spans="1:14" x14ac:dyDescent="0.35">
      <c r="A16" t="s">
        <v>54</v>
      </c>
      <c r="B16">
        <v>28</v>
      </c>
      <c r="C16" t="s">
        <v>55</v>
      </c>
      <c r="D16">
        <v>2019</v>
      </c>
      <c r="E16">
        <f t="shared" si="1"/>
        <v>9</v>
      </c>
      <c r="F16">
        <v>15</v>
      </c>
      <c r="G16" t="s">
        <v>13</v>
      </c>
      <c r="H16" t="str">
        <f t="shared" si="2"/>
        <v>06</v>
      </c>
      <c r="I16" t="str">
        <f t="shared" si="3"/>
        <v>af</v>
      </c>
      <c r="J16" t="str">
        <f t="shared" si="4"/>
        <v>MU</v>
      </c>
      <c r="K16">
        <v>4637461.3310000002</v>
      </c>
      <c r="L16">
        <v>417264.03899999999</v>
      </c>
      <c r="M16">
        <v>1.327</v>
      </c>
      <c r="N16" t="s">
        <v>14</v>
      </c>
    </row>
    <row r="17" spans="1:14" x14ac:dyDescent="0.35">
      <c r="A17" t="s">
        <v>54</v>
      </c>
      <c r="B17">
        <v>28</v>
      </c>
      <c r="C17" t="s">
        <v>55</v>
      </c>
      <c r="D17">
        <v>2019</v>
      </c>
      <c r="E17">
        <f t="shared" si="1"/>
        <v>10</v>
      </c>
      <c r="F17">
        <v>16</v>
      </c>
      <c r="G17" t="s">
        <v>15</v>
      </c>
      <c r="H17" t="str">
        <f t="shared" si="2"/>
        <v>02</v>
      </c>
      <c r="I17" t="str">
        <f t="shared" si="3"/>
        <v>a</v>
      </c>
      <c r="J17" t="str">
        <f t="shared" si="4"/>
        <v>MU</v>
      </c>
      <c r="K17">
        <v>4637462.3210000005</v>
      </c>
      <c r="L17">
        <v>417262.41700000002</v>
      </c>
      <c r="M17">
        <v>1.3740000000000001</v>
      </c>
      <c r="N17" t="s">
        <v>5</v>
      </c>
    </row>
    <row r="18" spans="1:14" x14ac:dyDescent="0.35">
      <c r="A18" t="s">
        <v>54</v>
      </c>
      <c r="B18">
        <v>28</v>
      </c>
      <c r="C18" t="s">
        <v>55</v>
      </c>
      <c r="D18">
        <v>2019</v>
      </c>
      <c r="E18">
        <f t="shared" si="1"/>
        <v>11</v>
      </c>
      <c r="F18">
        <v>17</v>
      </c>
      <c r="G18" t="s">
        <v>16</v>
      </c>
      <c r="H18" t="str">
        <f t="shared" si="2"/>
        <v>01</v>
      </c>
      <c r="I18" t="str">
        <f t="shared" si="3"/>
        <v>ef</v>
      </c>
      <c r="J18" t="str">
        <f t="shared" si="4"/>
        <v>Line</v>
      </c>
      <c r="K18">
        <v>4637462.8320000004</v>
      </c>
      <c r="L18">
        <v>417260.56400000001</v>
      </c>
      <c r="M18">
        <v>1.3029999999999999</v>
      </c>
      <c r="N18" t="s">
        <v>17</v>
      </c>
    </row>
    <row r="19" spans="1:14" x14ac:dyDescent="0.35">
      <c r="A19" t="s">
        <v>54</v>
      </c>
      <c r="B19">
        <v>28</v>
      </c>
      <c r="C19" t="s">
        <v>55</v>
      </c>
      <c r="D19">
        <v>2019</v>
      </c>
      <c r="E19">
        <f t="shared" si="1"/>
        <v>11</v>
      </c>
      <c r="F19">
        <v>18</v>
      </c>
      <c r="G19" t="s">
        <v>16</v>
      </c>
      <c r="H19" t="str">
        <f t="shared" si="2"/>
        <v>01</v>
      </c>
      <c r="I19" t="str">
        <f t="shared" si="3"/>
        <v>ef</v>
      </c>
      <c r="J19" t="str">
        <f t="shared" si="4"/>
        <v>Line</v>
      </c>
      <c r="K19">
        <v>4637457.9950000001</v>
      </c>
      <c r="L19">
        <v>417257.28</v>
      </c>
      <c r="M19">
        <v>1.2689999999999999</v>
      </c>
    </row>
    <row r="20" spans="1:14" x14ac:dyDescent="0.35">
      <c r="A20" t="s">
        <v>54</v>
      </c>
      <c r="B20">
        <v>28</v>
      </c>
      <c r="C20" t="s">
        <v>55</v>
      </c>
      <c r="D20">
        <v>2019</v>
      </c>
      <c r="E20">
        <f t="shared" si="1"/>
        <v>12</v>
      </c>
      <c r="F20">
        <v>19</v>
      </c>
      <c r="G20" t="s">
        <v>18</v>
      </c>
      <c r="H20" t="str">
        <f t="shared" si="2"/>
        <v>33</v>
      </c>
      <c r="I20" t="str">
        <f t="shared" si="3"/>
        <v>ef</v>
      </c>
      <c r="J20" t="str">
        <f t="shared" si="4"/>
        <v>Line</v>
      </c>
      <c r="K20">
        <v>4637456.2070000004</v>
      </c>
      <c r="L20">
        <v>417256.33500000002</v>
      </c>
      <c r="M20">
        <v>1.3160000000000001</v>
      </c>
    </row>
    <row r="21" spans="1:14" x14ac:dyDescent="0.35">
      <c r="A21" t="s">
        <v>54</v>
      </c>
      <c r="B21">
        <v>28</v>
      </c>
      <c r="C21" t="s">
        <v>55</v>
      </c>
      <c r="D21">
        <v>2019</v>
      </c>
      <c r="E21">
        <f t="shared" si="1"/>
        <v>12</v>
      </c>
      <c r="F21">
        <v>20</v>
      </c>
      <c r="G21" t="s">
        <v>18</v>
      </c>
      <c r="H21" t="str">
        <f t="shared" si="2"/>
        <v>33</v>
      </c>
      <c r="I21" t="str">
        <f t="shared" si="3"/>
        <v>ef</v>
      </c>
      <c r="J21" t="str">
        <f t="shared" si="4"/>
        <v>Line</v>
      </c>
      <c r="K21">
        <v>4637453.8039999995</v>
      </c>
      <c r="L21">
        <v>417257.66899999999</v>
      </c>
      <c r="M21">
        <v>1.234</v>
      </c>
    </row>
    <row r="22" spans="1:14" x14ac:dyDescent="0.35">
      <c r="A22" t="s">
        <v>54</v>
      </c>
      <c r="B22">
        <v>28</v>
      </c>
      <c r="C22" t="s">
        <v>55</v>
      </c>
      <c r="D22">
        <v>2019</v>
      </c>
      <c r="E22">
        <f t="shared" si="1"/>
        <v>13</v>
      </c>
      <c r="F22">
        <v>21</v>
      </c>
      <c r="G22" t="s">
        <v>6</v>
      </c>
      <c r="H22" t="str">
        <f t="shared" si="2"/>
        <v>03</v>
      </c>
      <c r="I22" t="str">
        <f t="shared" si="3"/>
        <v>a</v>
      </c>
      <c r="J22" t="str">
        <f t="shared" si="4"/>
        <v>MU</v>
      </c>
      <c r="K22">
        <v>4637451.7989999996</v>
      </c>
      <c r="L22">
        <v>417258.55800000002</v>
      </c>
      <c r="M22">
        <v>1.361</v>
      </c>
      <c r="N22" t="s">
        <v>5</v>
      </c>
    </row>
    <row r="23" spans="1:14" x14ac:dyDescent="0.35">
      <c r="A23" t="s">
        <v>54</v>
      </c>
      <c r="B23">
        <v>28</v>
      </c>
      <c r="C23" t="s">
        <v>55</v>
      </c>
      <c r="D23">
        <v>2019</v>
      </c>
      <c r="E23">
        <f t="shared" si="1"/>
        <v>14</v>
      </c>
      <c r="F23">
        <v>22</v>
      </c>
      <c r="G23" t="s">
        <v>15</v>
      </c>
      <c r="H23" t="str">
        <f t="shared" si="2"/>
        <v>02</v>
      </c>
      <c r="I23" t="str">
        <f t="shared" si="3"/>
        <v>a</v>
      </c>
      <c r="J23" t="str">
        <f t="shared" si="4"/>
        <v>Line</v>
      </c>
      <c r="K23">
        <v>4637451.1210000003</v>
      </c>
      <c r="L23">
        <v>417256.76</v>
      </c>
      <c r="M23">
        <v>1.3340000000000001</v>
      </c>
    </row>
    <row r="24" spans="1:14" x14ac:dyDescent="0.35">
      <c r="A24" t="s">
        <v>54</v>
      </c>
      <c r="B24">
        <v>28</v>
      </c>
      <c r="C24" t="s">
        <v>55</v>
      </c>
      <c r="D24">
        <v>2019</v>
      </c>
      <c r="E24">
        <f t="shared" si="1"/>
        <v>14</v>
      </c>
      <c r="F24">
        <v>23</v>
      </c>
      <c r="G24" t="s">
        <v>15</v>
      </c>
      <c r="H24" t="str">
        <f t="shared" si="2"/>
        <v>02</v>
      </c>
      <c r="I24" t="str">
        <f t="shared" si="3"/>
        <v>a</v>
      </c>
      <c r="J24" t="str">
        <f t="shared" si="4"/>
        <v>Line</v>
      </c>
      <c r="K24">
        <v>4637450.2529999996</v>
      </c>
      <c r="L24">
        <v>417251.22600000002</v>
      </c>
      <c r="M24">
        <v>1.3340000000000001</v>
      </c>
    </row>
    <row r="25" spans="1:14" x14ac:dyDescent="0.35">
      <c r="A25" t="s">
        <v>54</v>
      </c>
      <c r="B25">
        <v>28</v>
      </c>
      <c r="C25" t="s">
        <v>55</v>
      </c>
      <c r="D25">
        <v>2019</v>
      </c>
      <c r="E25">
        <f t="shared" si="1"/>
        <v>15</v>
      </c>
      <c r="F25">
        <v>24</v>
      </c>
      <c r="G25" t="s">
        <v>18</v>
      </c>
      <c r="H25" t="str">
        <f t="shared" si="2"/>
        <v>33</v>
      </c>
      <c r="I25" t="str">
        <f t="shared" si="3"/>
        <v>ef</v>
      </c>
      <c r="J25" t="str">
        <f t="shared" si="4"/>
        <v>MU</v>
      </c>
      <c r="K25">
        <v>4637451.8870000001</v>
      </c>
      <c r="L25">
        <v>417250.598</v>
      </c>
      <c r="M25">
        <v>1.1779999999999999</v>
      </c>
      <c r="N25" t="s">
        <v>5</v>
      </c>
    </row>
    <row r="26" spans="1:14" x14ac:dyDescent="0.35">
      <c r="A26" t="s">
        <v>54</v>
      </c>
      <c r="B26">
        <v>28</v>
      </c>
      <c r="C26" t="s">
        <v>55</v>
      </c>
      <c r="D26">
        <v>2019</v>
      </c>
      <c r="E26">
        <f t="shared" si="1"/>
        <v>16</v>
      </c>
      <c r="F26">
        <v>25</v>
      </c>
      <c r="G26" t="s">
        <v>16</v>
      </c>
      <c r="H26" t="str">
        <f t="shared" si="2"/>
        <v>01</v>
      </c>
      <c r="I26" t="str">
        <f t="shared" si="3"/>
        <v>ef</v>
      </c>
      <c r="J26" t="str">
        <f t="shared" si="4"/>
        <v>Line</v>
      </c>
      <c r="K26">
        <v>4637449.88</v>
      </c>
      <c r="L26">
        <v>417249.52799999999</v>
      </c>
      <c r="M26">
        <v>1.1919999999999999</v>
      </c>
    </row>
    <row r="27" spans="1:14" x14ac:dyDescent="0.35">
      <c r="A27" t="s">
        <v>54</v>
      </c>
      <c r="B27">
        <v>28</v>
      </c>
      <c r="C27" t="s">
        <v>55</v>
      </c>
      <c r="D27">
        <v>2019</v>
      </c>
      <c r="E27">
        <f t="shared" si="1"/>
        <v>16</v>
      </c>
      <c r="F27">
        <v>26</v>
      </c>
      <c r="G27" t="s">
        <v>16</v>
      </c>
      <c r="H27" t="str">
        <f t="shared" si="2"/>
        <v>01</v>
      </c>
      <c r="I27" t="str">
        <f t="shared" si="3"/>
        <v>ef</v>
      </c>
      <c r="J27" t="str">
        <f t="shared" si="4"/>
        <v>Line</v>
      </c>
      <c r="K27">
        <v>4637438.8959999997</v>
      </c>
      <c r="L27">
        <v>417245.71799999999</v>
      </c>
      <c r="M27">
        <v>1.161</v>
      </c>
      <c r="N27" t="s">
        <v>19</v>
      </c>
    </row>
    <row r="28" spans="1:14" x14ac:dyDescent="0.35">
      <c r="A28" t="s">
        <v>54</v>
      </c>
      <c r="B28">
        <v>28</v>
      </c>
      <c r="C28" t="s">
        <v>55</v>
      </c>
      <c r="D28">
        <v>2019</v>
      </c>
      <c r="E28">
        <f t="shared" si="1"/>
        <v>16</v>
      </c>
      <c r="F28">
        <v>27</v>
      </c>
      <c r="G28" t="s">
        <v>16</v>
      </c>
      <c r="H28" t="str">
        <f t="shared" si="2"/>
        <v>01</v>
      </c>
      <c r="I28" t="str">
        <f t="shared" si="3"/>
        <v>ef</v>
      </c>
      <c r="J28" t="str">
        <f t="shared" si="4"/>
        <v>Line</v>
      </c>
      <c r="K28">
        <v>4637436.3679999998</v>
      </c>
      <c r="L28">
        <v>417242.68900000001</v>
      </c>
      <c r="M28">
        <v>1.1379999999999999</v>
      </c>
    </row>
    <row r="29" spans="1:14" x14ac:dyDescent="0.35">
      <c r="A29" t="s">
        <v>54</v>
      </c>
      <c r="B29">
        <v>28</v>
      </c>
      <c r="C29" t="s">
        <v>55</v>
      </c>
      <c r="D29">
        <v>2019</v>
      </c>
      <c r="E29">
        <f t="shared" si="1"/>
        <v>16</v>
      </c>
      <c r="F29">
        <v>28</v>
      </c>
      <c r="G29" t="s">
        <v>16</v>
      </c>
      <c r="H29" t="str">
        <f t="shared" si="2"/>
        <v>01</v>
      </c>
      <c r="I29" t="str">
        <f t="shared" si="3"/>
        <v>ef</v>
      </c>
      <c r="J29" t="str">
        <f t="shared" si="4"/>
        <v>Line</v>
      </c>
      <c r="K29">
        <v>4637432.3830000004</v>
      </c>
      <c r="L29">
        <v>417241.14399999997</v>
      </c>
      <c r="M29">
        <v>1.226</v>
      </c>
    </row>
    <row r="30" spans="1:14" x14ac:dyDescent="0.35">
      <c r="A30" t="s">
        <v>54</v>
      </c>
      <c r="B30">
        <v>28</v>
      </c>
      <c r="C30" t="s">
        <v>55</v>
      </c>
      <c r="D30">
        <v>2019</v>
      </c>
      <c r="E30">
        <f t="shared" si="1"/>
        <v>17</v>
      </c>
      <c r="F30">
        <v>29</v>
      </c>
      <c r="G30" t="s">
        <v>18</v>
      </c>
      <c r="H30" t="str">
        <f t="shared" si="2"/>
        <v>33</v>
      </c>
      <c r="I30" t="str">
        <f t="shared" si="3"/>
        <v>ef</v>
      </c>
      <c r="J30" t="str">
        <f t="shared" si="4"/>
        <v>MU</v>
      </c>
      <c r="K30">
        <v>4637430.676</v>
      </c>
      <c r="L30">
        <v>417239.85200000001</v>
      </c>
      <c r="M30">
        <v>1.284</v>
      </c>
    </row>
    <row r="31" spans="1:14" x14ac:dyDescent="0.35">
      <c r="A31" t="s">
        <v>54</v>
      </c>
      <c r="B31">
        <v>28</v>
      </c>
      <c r="C31" t="s">
        <v>55</v>
      </c>
      <c r="D31">
        <v>2019</v>
      </c>
      <c r="E31">
        <f t="shared" si="1"/>
        <v>18</v>
      </c>
      <c r="F31">
        <v>30</v>
      </c>
      <c r="G31" t="s">
        <v>16</v>
      </c>
      <c r="H31" t="str">
        <f t="shared" si="2"/>
        <v>01</v>
      </c>
      <c r="I31" t="str">
        <f t="shared" si="3"/>
        <v>ef</v>
      </c>
      <c r="J31" t="str">
        <f t="shared" si="4"/>
        <v>MU</v>
      </c>
      <c r="K31">
        <v>4637428.8109999998</v>
      </c>
      <c r="L31">
        <v>417239.71799999999</v>
      </c>
      <c r="M31">
        <v>1.2390000000000001</v>
      </c>
    </row>
    <row r="32" spans="1:14" x14ac:dyDescent="0.35">
      <c r="A32" t="s">
        <v>54</v>
      </c>
      <c r="B32">
        <v>28</v>
      </c>
      <c r="C32" t="s">
        <v>55</v>
      </c>
      <c r="D32">
        <v>2019</v>
      </c>
      <c r="E32">
        <f t="shared" si="1"/>
        <v>19</v>
      </c>
      <c r="F32">
        <v>31</v>
      </c>
      <c r="G32" t="s">
        <v>20</v>
      </c>
      <c r="H32" t="str">
        <f t="shared" si="2"/>
        <v>01</v>
      </c>
      <c r="I32" t="str">
        <f t="shared" si="3"/>
        <v>ae</v>
      </c>
      <c r="J32" t="str">
        <f t="shared" si="4"/>
        <v>MU</v>
      </c>
      <c r="K32">
        <v>4637427.0369999995</v>
      </c>
      <c r="L32">
        <v>417241.022</v>
      </c>
      <c r="M32">
        <v>1.1919999999999999</v>
      </c>
      <c r="N32" t="s">
        <v>21</v>
      </c>
    </row>
    <row r="33" spans="1:14" x14ac:dyDescent="0.35">
      <c r="A33" t="s">
        <v>54</v>
      </c>
      <c r="B33">
        <v>28</v>
      </c>
      <c r="C33" t="s">
        <v>55</v>
      </c>
      <c r="D33">
        <v>2019</v>
      </c>
      <c r="E33">
        <f t="shared" si="1"/>
        <v>20</v>
      </c>
      <c r="F33">
        <v>32</v>
      </c>
      <c r="G33" t="s">
        <v>6</v>
      </c>
      <c r="H33" t="str">
        <f t="shared" si="2"/>
        <v>03</v>
      </c>
      <c r="I33" t="str">
        <f t="shared" si="3"/>
        <v>a</v>
      </c>
      <c r="J33" t="str">
        <f t="shared" si="4"/>
        <v>Line</v>
      </c>
      <c r="K33">
        <v>4637428.4069999997</v>
      </c>
      <c r="L33">
        <v>417242.32199999999</v>
      </c>
      <c r="M33">
        <v>1.284</v>
      </c>
    </row>
    <row r="34" spans="1:14" x14ac:dyDescent="0.35">
      <c r="A34" t="s">
        <v>54</v>
      </c>
      <c r="B34">
        <v>28</v>
      </c>
      <c r="C34" t="s">
        <v>55</v>
      </c>
      <c r="D34">
        <v>2019</v>
      </c>
      <c r="E34">
        <f t="shared" si="1"/>
        <v>20</v>
      </c>
      <c r="F34">
        <v>33</v>
      </c>
      <c r="G34" t="s">
        <v>6</v>
      </c>
      <c r="H34" t="str">
        <f t="shared" si="2"/>
        <v>03</v>
      </c>
      <c r="I34" t="str">
        <f t="shared" si="3"/>
        <v>a</v>
      </c>
      <c r="J34" t="str">
        <f t="shared" si="4"/>
        <v>Line</v>
      </c>
      <c r="K34">
        <v>4637431.2980000004</v>
      </c>
      <c r="L34">
        <v>417244.745</v>
      </c>
      <c r="M34">
        <v>1.2689999999999999</v>
      </c>
    </row>
    <row r="35" spans="1:14" x14ac:dyDescent="0.35">
      <c r="A35" t="s">
        <v>54</v>
      </c>
      <c r="B35">
        <v>28</v>
      </c>
      <c r="C35" t="s">
        <v>55</v>
      </c>
      <c r="D35">
        <v>2019</v>
      </c>
      <c r="E35">
        <f t="shared" si="1"/>
        <v>21</v>
      </c>
      <c r="F35">
        <v>34</v>
      </c>
      <c r="G35" t="s">
        <v>15</v>
      </c>
      <c r="H35" t="str">
        <f t="shared" si="2"/>
        <v>02</v>
      </c>
      <c r="I35" t="str">
        <f t="shared" si="3"/>
        <v>a</v>
      </c>
      <c r="J35" t="str">
        <f t="shared" si="4"/>
        <v>Line</v>
      </c>
      <c r="K35">
        <v>4637432.6840000004</v>
      </c>
      <c r="L35">
        <v>417246.14500000002</v>
      </c>
      <c r="M35">
        <v>1.2230000000000001</v>
      </c>
    </row>
    <row r="36" spans="1:14" x14ac:dyDescent="0.35">
      <c r="A36" t="s">
        <v>54</v>
      </c>
      <c r="B36">
        <v>28</v>
      </c>
      <c r="C36" t="s">
        <v>55</v>
      </c>
      <c r="D36">
        <v>2019</v>
      </c>
      <c r="E36">
        <f t="shared" si="1"/>
        <v>21</v>
      </c>
      <c r="F36">
        <v>35</v>
      </c>
      <c r="G36" t="s">
        <v>15</v>
      </c>
      <c r="H36" t="str">
        <f t="shared" si="2"/>
        <v>02</v>
      </c>
      <c r="I36" t="str">
        <f t="shared" si="3"/>
        <v>a</v>
      </c>
      <c r="J36" t="str">
        <f t="shared" si="4"/>
        <v>Line</v>
      </c>
      <c r="K36">
        <v>4637434.0829999996</v>
      </c>
      <c r="L36">
        <v>417247.49599999998</v>
      </c>
      <c r="M36">
        <v>1.351</v>
      </c>
    </row>
    <row r="37" spans="1:14" x14ac:dyDescent="0.35">
      <c r="A37" t="s">
        <v>54</v>
      </c>
      <c r="B37">
        <v>28</v>
      </c>
      <c r="C37" t="s">
        <v>55</v>
      </c>
      <c r="D37">
        <v>2019</v>
      </c>
      <c r="E37">
        <f t="shared" si="1"/>
        <v>22</v>
      </c>
      <c r="F37">
        <v>36</v>
      </c>
      <c r="G37" t="s">
        <v>6</v>
      </c>
      <c r="H37" t="str">
        <f t="shared" si="2"/>
        <v>03</v>
      </c>
      <c r="I37" t="str">
        <f t="shared" si="3"/>
        <v>a</v>
      </c>
      <c r="J37" t="str">
        <f t="shared" si="4"/>
        <v>Line</v>
      </c>
      <c r="K37">
        <v>4637435.6739999996</v>
      </c>
      <c r="L37">
        <v>417249.03200000001</v>
      </c>
      <c r="M37">
        <v>1.3109999999999999</v>
      </c>
    </row>
    <row r="38" spans="1:14" x14ac:dyDescent="0.35">
      <c r="A38" t="s">
        <v>54</v>
      </c>
      <c r="B38">
        <v>28</v>
      </c>
      <c r="C38" t="s">
        <v>55</v>
      </c>
      <c r="D38">
        <v>2019</v>
      </c>
      <c r="E38">
        <f t="shared" si="1"/>
        <v>22</v>
      </c>
      <c r="F38">
        <v>37</v>
      </c>
      <c r="G38" t="s">
        <v>6</v>
      </c>
      <c r="H38" t="str">
        <f t="shared" si="2"/>
        <v>03</v>
      </c>
      <c r="I38" t="str">
        <f t="shared" si="3"/>
        <v>a</v>
      </c>
      <c r="J38" t="str">
        <f t="shared" si="4"/>
        <v>Line</v>
      </c>
      <c r="K38">
        <v>4637437.0310000004</v>
      </c>
      <c r="L38">
        <v>417255.07299999997</v>
      </c>
      <c r="M38">
        <v>1.381</v>
      </c>
    </row>
    <row r="39" spans="1:14" x14ac:dyDescent="0.35">
      <c r="A39" t="s">
        <v>54</v>
      </c>
      <c r="B39">
        <v>28</v>
      </c>
      <c r="C39" t="s">
        <v>55</v>
      </c>
      <c r="D39">
        <v>2019</v>
      </c>
      <c r="E39">
        <f t="shared" si="1"/>
        <v>23</v>
      </c>
      <c r="F39">
        <v>38</v>
      </c>
      <c r="G39" t="s">
        <v>15</v>
      </c>
      <c r="H39" t="str">
        <f t="shared" si="2"/>
        <v>02</v>
      </c>
      <c r="I39" t="str">
        <f t="shared" si="3"/>
        <v>a</v>
      </c>
      <c r="J39" t="str">
        <f t="shared" si="4"/>
        <v>Line</v>
      </c>
      <c r="K39">
        <v>4637437.4029999999</v>
      </c>
      <c r="L39">
        <v>417257.13299999997</v>
      </c>
      <c r="M39">
        <v>1.4039999999999999</v>
      </c>
    </row>
    <row r="40" spans="1:14" x14ac:dyDescent="0.35">
      <c r="A40" t="s">
        <v>54</v>
      </c>
      <c r="B40">
        <v>28</v>
      </c>
      <c r="C40" t="s">
        <v>55</v>
      </c>
      <c r="D40">
        <v>2019</v>
      </c>
      <c r="E40">
        <f t="shared" si="1"/>
        <v>23</v>
      </c>
      <c r="F40">
        <v>39</v>
      </c>
      <c r="G40" t="s">
        <v>15</v>
      </c>
      <c r="H40" t="str">
        <f t="shared" si="2"/>
        <v>02</v>
      </c>
      <c r="I40" t="str">
        <f t="shared" si="3"/>
        <v>a</v>
      </c>
      <c r="J40" t="str">
        <f t="shared" si="4"/>
        <v>Line</v>
      </c>
      <c r="K40">
        <v>4637437.5480000004</v>
      </c>
      <c r="L40">
        <v>417259.34600000002</v>
      </c>
      <c r="M40">
        <v>1.4159999999999999</v>
      </c>
    </row>
    <row r="41" spans="1:14" x14ac:dyDescent="0.35">
      <c r="A41" t="s">
        <v>54</v>
      </c>
      <c r="B41">
        <v>28</v>
      </c>
      <c r="C41" t="s">
        <v>55</v>
      </c>
      <c r="D41">
        <v>2019</v>
      </c>
      <c r="E41">
        <f t="shared" si="1"/>
        <v>24</v>
      </c>
      <c r="F41">
        <v>40</v>
      </c>
      <c r="G41" t="s">
        <v>6</v>
      </c>
      <c r="H41" t="str">
        <f t="shared" si="2"/>
        <v>03</v>
      </c>
      <c r="I41" t="str">
        <f t="shared" si="3"/>
        <v>a</v>
      </c>
      <c r="J41" t="str">
        <f t="shared" si="4"/>
        <v>Line</v>
      </c>
      <c r="K41">
        <v>4637437.3480000002</v>
      </c>
      <c r="L41">
        <v>417261.23200000002</v>
      </c>
      <c r="M41">
        <v>1.4330000000000001</v>
      </c>
    </row>
    <row r="42" spans="1:14" x14ac:dyDescent="0.35">
      <c r="A42" t="s">
        <v>54</v>
      </c>
      <c r="B42">
        <v>28</v>
      </c>
      <c r="C42" t="s">
        <v>55</v>
      </c>
      <c r="D42">
        <v>2019</v>
      </c>
      <c r="E42">
        <f t="shared" si="1"/>
        <v>24</v>
      </c>
      <c r="F42">
        <v>41</v>
      </c>
      <c r="G42" t="s">
        <v>6</v>
      </c>
      <c r="H42" t="str">
        <f t="shared" si="2"/>
        <v>03</v>
      </c>
      <c r="I42" t="str">
        <f t="shared" si="3"/>
        <v>a</v>
      </c>
      <c r="J42" t="str">
        <f t="shared" si="4"/>
        <v>Line</v>
      </c>
      <c r="K42">
        <v>4637436.3190000001</v>
      </c>
      <c r="L42">
        <v>417267.973</v>
      </c>
      <c r="M42">
        <v>1.4339999999999999</v>
      </c>
    </row>
    <row r="43" spans="1:14" x14ac:dyDescent="0.35">
      <c r="A43" t="s">
        <v>54</v>
      </c>
      <c r="B43">
        <v>28</v>
      </c>
      <c r="C43" t="s">
        <v>55</v>
      </c>
      <c r="D43">
        <v>2019</v>
      </c>
      <c r="E43">
        <f t="shared" si="1"/>
        <v>25</v>
      </c>
      <c r="F43">
        <v>42</v>
      </c>
      <c r="G43" t="s">
        <v>13</v>
      </c>
      <c r="H43" t="str">
        <f t="shared" si="2"/>
        <v>06</v>
      </c>
      <c r="I43" t="str">
        <f t="shared" si="3"/>
        <v>af</v>
      </c>
      <c r="J43" t="str">
        <f t="shared" si="4"/>
        <v>MU</v>
      </c>
      <c r="K43">
        <v>4637436.4630000005</v>
      </c>
      <c r="L43">
        <v>417270.01</v>
      </c>
      <c r="M43">
        <v>1.534</v>
      </c>
    </row>
    <row r="44" spans="1:14" x14ac:dyDescent="0.35">
      <c r="A44" t="s">
        <v>54</v>
      </c>
      <c r="B44">
        <v>28</v>
      </c>
      <c r="C44" t="s">
        <v>55</v>
      </c>
      <c r="D44">
        <v>2019</v>
      </c>
      <c r="E44">
        <f t="shared" si="1"/>
        <v>26</v>
      </c>
      <c r="F44">
        <v>43</v>
      </c>
      <c r="G44" t="s">
        <v>22</v>
      </c>
      <c r="H44" t="str">
        <f t="shared" si="2"/>
        <v>06</v>
      </c>
      <c r="I44" t="str">
        <f t="shared" si="3"/>
        <v>bf</v>
      </c>
      <c r="J44" t="str">
        <f t="shared" si="4"/>
        <v>Line</v>
      </c>
      <c r="K44">
        <v>4637433.551</v>
      </c>
      <c r="L44">
        <v>417269.88299999997</v>
      </c>
      <c r="M44">
        <v>1.4590000000000001</v>
      </c>
      <c r="N44" t="s">
        <v>23</v>
      </c>
    </row>
    <row r="45" spans="1:14" x14ac:dyDescent="0.35">
      <c r="A45" t="s">
        <v>54</v>
      </c>
      <c r="B45">
        <v>28</v>
      </c>
      <c r="C45" t="s">
        <v>55</v>
      </c>
      <c r="D45">
        <v>2019</v>
      </c>
      <c r="E45">
        <f t="shared" si="1"/>
        <v>26</v>
      </c>
      <c r="F45">
        <v>44</v>
      </c>
      <c r="G45" t="s">
        <v>22</v>
      </c>
      <c r="H45" t="str">
        <f t="shared" si="2"/>
        <v>06</v>
      </c>
      <c r="I45" t="str">
        <f t="shared" si="3"/>
        <v>bf</v>
      </c>
      <c r="J45" t="str">
        <f t="shared" si="4"/>
        <v>Line</v>
      </c>
      <c r="K45">
        <v>4637434.2860000003</v>
      </c>
      <c r="L45">
        <v>417277.77799999999</v>
      </c>
      <c r="M45">
        <v>1.4419999999999999</v>
      </c>
    </row>
    <row r="46" spans="1:14" x14ac:dyDescent="0.35">
      <c r="A46" t="s">
        <v>54</v>
      </c>
      <c r="B46">
        <v>28</v>
      </c>
      <c r="C46" t="s">
        <v>55</v>
      </c>
      <c r="D46">
        <v>2019</v>
      </c>
      <c r="E46">
        <f t="shared" si="1"/>
        <v>27</v>
      </c>
      <c r="F46">
        <v>45</v>
      </c>
      <c r="G46" t="s">
        <v>13</v>
      </c>
      <c r="H46" t="str">
        <f t="shared" si="2"/>
        <v>06</v>
      </c>
      <c r="I46" t="str">
        <f t="shared" si="3"/>
        <v>af</v>
      </c>
      <c r="J46" t="str">
        <f t="shared" si="4"/>
        <v>Line</v>
      </c>
      <c r="K46">
        <v>4637434.7879999997</v>
      </c>
      <c r="L46">
        <v>417279.62099999998</v>
      </c>
      <c r="M46">
        <v>1.4670000000000001</v>
      </c>
    </row>
    <row r="47" spans="1:14" x14ac:dyDescent="0.35">
      <c r="A47" t="s">
        <v>54</v>
      </c>
      <c r="B47">
        <v>28</v>
      </c>
      <c r="C47" t="s">
        <v>55</v>
      </c>
      <c r="D47">
        <v>2019</v>
      </c>
      <c r="E47">
        <f t="shared" si="1"/>
        <v>27</v>
      </c>
      <c r="F47">
        <v>46</v>
      </c>
      <c r="G47" t="s">
        <v>13</v>
      </c>
      <c r="H47" t="str">
        <f t="shared" si="2"/>
        <v>06</v>
      </c>
      <c r="I47" t="str">
        <f t="shared" si="3"/>
        <v>af</v>
      </c>
      <c r="J47" t="str">
        <f t="shared" si="4"/>
        <v>Line</v>
      </c>
      <c r="K47">
        <v>4637434.8890000004</v>
      </c>
      <c r="L47">
        <v>417280.95</v>
      </c>
      <c r="M47">
        <v>1.462</v>
      </c>
    </row>
    <row r="48" spans="1:14" x14ac:dyDescent="0.35">
      <c r="A48" t="s">
        <v>54</v>
      </c>
      <c r="B48">
        <v>28</v>
      </c>
      <c r="C48" t="s">
        <v>55</v>
      </c>
      <c r="D48">
        <v>2019</v>
      </c>
      <c r="E48">
        <f t="shared" si="1"/>
        <v>28</v>
      </c>
      <c r="F48">
        <v>47</v>
      </c>
      <c r="G48" t="s">
        <v>24</v>
      </c>
      <c r="H48" t="str">
        <f t="shared" si="2"/>
        <v>02</v>
      </c>
      <c r="I48" t="str">
        <f t="shared" si="3"/>
        <v>af</v>
      </c>
      <c r="J48" t="str">
        <f t="shared" si="4"/>
        <v>Line</v>
      </c>
      <c r="K48">
        <v>4637432.6979999999</v>
      </c>
      <c r="L48">
        <v>417281.22</v>
      </c>
      <c r="M48">
        <v>1.403</v>
      </c>
    </row>
    <row r="49" spans="1:14" x14ac:dyDescent="0.35">
      <c r="A49" t="s">
        <v>54</v>
      </c>
      <c r="B49">
        <v>28</v>
      </c>
      <c r="C49" t="s">
        <v>55</v>
      </c>
      <c r="D49">
        <v>2019</v>
      </c>
      <c r="E49">
        <f t="shared" si="1"/>
        <v>28</v>
      </c>
      <c r="F49">
        <v>48</v>
      </c>
      <c r="G49" t="s">
        <v>24</v>
      </c>
      <c r="H49" t="str">
        <f t="shared" si="2"/>
        <v>02</v>
      </c>
      <c r="I49" t="str">
        <f t="shared" si="3"/>
        <v>af</v>
      </c>
      <c r="J49" t="str">
        <f t="shared" si="4"/>
        <v>Line</v>
      </c>
      <c r="K49">
        <v>4637427.6710000001</v>
      </c>
      <c r="L49">
        <v>417280.95199999999</v>
      </c>
      <c r="M49">
        <v>1.3660000000000001</v>
      </c>
    </row>
    <row r="50" spans="1:14" x14ac:dyDescent="0.35">
      <c r="A50" t="s">
        <v>54</v>
      </c>
      <c r="B50">
        <v>28</v>
      </c>
      <c r="C50" t="s">
        <v>55</v>
      </c>
      <c r="D50">
        <v>2019</v>
      </c>
      <c r="E50">
        <f t="shared" si="1"/>
        <v>29</v>
      </c>
      <c r="F50">
        <v>49</v>
      </c>
      <c r="G50" t="s">
        <v>6</v>
      </c>
      <c r="H50" t="str">
        <f t="shared" si="2"/>
        <v>03</v>
      </c>
      <c r="I50" t="str">
        <f t="shared" si="3"/>
        <v>a</v>
      </c>
      <c r="J50" t="str">
        <f t="shared" si="4"/>
        <v>Line</v>
      </c>
      <c r="K50">
        <v>4637425.7719999999</v>
      </c>
      <c r="L50">
        <v>417280.484</v>
      </c>
      <c r="M50">
        <v>1.32</v>
      </c>
    </row>
    <row r="51" spans="1:14" x14ac:dyDescent="0.35">
      <c r="A51" t="s">
        <v>54</v>
      </c>
      <c r="B51">
        <v>28</v>
      </c>
      <c r="C51" t="s">
        <v>55</v>
      </c>
      <c r="D51">
        <v>2019</v>
      </c>
      <c r="E51">
        <f t="shared" si="1"/>
        <v>29</v>
      </c>
      <c r="F51">
        <v>50</v>
      </c>
      <c r="G51" t="s">
        <v>6</v>
      </c>
      <c r="H51" t="str">
        <f t="shared" si="2"/>
        <v>03</v>
      </c>
      <c r="I51" t="str">
        <f t="shared" si="3"/>
        <v>a</v>
      </c>
      <c r="J51" t="str">
        <f t="shared" si="4"/>
        <v>Line</v>
      </c>
      <c r="K51">
        <v>4637423.6979999999</v>
      </c>
      <c r="L51">
        <v>417279.88400000002</v>
      </c>
      <c r="M51">
        <v>1.341</v>
      </c>
    </row>
    <row r="52" spans="1:14" x14ac:dyDescent="0.35">
      <c r="A52" t="s">
        <v>54</v>
      </c>
      <c r="B52">
        <v>28</v>
      </c>
      <c r="C52" t="s">
        <v>55</v>
      </c>
      <c r="D52">
        <v>2019</v>
      </c>
      <c r="E52">
        <f t="shared" si="1"/>
        <v>30</v>
      </c>
      <c r="F52">
        <v>51</v>
      </c>
      <c r="G52" t="s">
        <v>16</v>
      </c>
      <c r="H52" t="str">
        <f t="shared" si="2"/>
        <v>01</v>
      </c>
      <c r="I52" t="str">
        <f t="shared" si="3"/>
        <v>ef</v>
      </c>
      <c r="J52" t="str">
        <f t="shared" si="4"/>
        <v>Line</v>
      </c>
      <c r="K52">
        <v>4637422.2300000004</v>
      </c>
      <c r="L52">
        <v>417279.391</v>
      </c>
      <c r="M52">
        <v>1.2190000000000001</v>
      </c>
    </row>
    <row r="53" spans="1:14" x14ac:dyDescent="0.35">
      <c r="A53" t="s">
        <v>54</v>
      </c>
      <c r="B53">
        <v>28</v>
      </c>
      <c r="C53" t="s">
        <v>55</v>
      </c>
      <c r="D53">
        <v>2019</v>
      </c>
      <c r="E53">
        <f t="shared" si="1"/>
        <v>30</v>
      </c>
      <c r="F53">
        <v>52</v>
      </c>
      <c r="G53" t="s">
        <v>16</v>
      </c>
      <c r="H53" t="str">
        <f t="shared" si="2"/>
        <v>01</v>
      </c>
      <c r="I53" t="str">
        <f t="shared" si="3"/>
        <v>ef</v>
      </c>
      <c r="J53" t="str">
        <f t="shared" si="4"/>
        <v>Line</v>
      </c>
      <c r="K53">
        <v>4637420.6780000003</v>
      </c>
      <c r="L53">
        <v>417282.68699999998</v>
      </c>
      <c r="M53">
        <v>1.262</v>
      </c>
    </row>
    <row r="54" spans="1:14" x14ac:dyDescent="0.35">
      <c r="A54" t="s">
        <v>54</v>
      </c>
      <c r="B54">
        <v>28</v>
      </c>
      <c r="C54" t="s">
        <v>55</v>
      </c>
      <c r="D54">
        <v>2019</v>
      </c>
      <c r="E54">
        <f t="shared" si="1"/>
        <v>31</v>
      </c>
      <c r="F54">
        <v>53</v>
      </c>
      <c r="G54" t="s">
        <v>18</v>
      </c>
      <c r="H54" t="str">
        <f t="shared" si="2"/>
        <v>33</v>
      </c>
      <c r="I54" t="str">
        <f t="shared" si="3"/>
        <v>ef</v>
      </c>
      <c r="J54" t="str">
        <f t="shared" si="4"/>
        <v>MU</v>
      </c>
      <c r="K54">
        <v>4637419.9979999997</v>
      </c>
      <c r="L54">
        <v>417284.62300000002</v>
      </c>
      <c r="M54">
        <v>1.3120000000000001</v>
      </c>
      <c r="N54" t="s">
        <v>5</v>
      </c>
    </row>
    <row r="55" spans="1:14" x14ac:dyDescent="0.35">
      <c r="A55" t="s">
        <v>54</v>
      </c>
      <c r="B55">
        <v>28</v>
      </c>
      <c r="C55" t="s">
        <v>55</v>
      </c>
      <c r="D55">
        <v>2019</v>
      </c>
      <c r="E55">
        <f t="shared" si="1"/>
        <v>32</v>
      </c>
      <c r="F55">
        <v>54</v>
      </c>
      <c r="G55" t="s">
        <v>25</v>
      </c>
      <c r="H55" t="str">
        <f t="shared" si="2"/>
        <v>01</v>
      </c>
      <c r="I55" t="str">
        <f t="shared" si="3"/>
        <v>aef</v>
      </c>
      <c r="J55" t="str">
        <f t="shared" si="4"/>
        <v>Line</v>
      </c>
      <c r="K55">
        <v>4637418.6960000005</v>
      </c>
      <c r="L55">
        <v>417286.68699999998</v>
      </c>
      <c r="M55">
        <v>1.1180000000000001</v>
      </c>
    </row>
    <row r="56" spans="1:14" x14ac:dyDescent="0.35">
      <c r="A56" t="s">
        <v>54</v>
      </c>
      <c r="B56">
        <v>28</v>
      </c>
      <c r="C56" t="s">
        <v>55</v>
      </c>
      <c r="D56">
        <v>2019</v>
      </c>
      <c r="E56">
        <f t="shared" si="1"/>
        <v>32</v>
      </c>
      <c r="F56">
        <v>55</v>
      </c>
      <c r="G56" t="s">
        <v>25</v>
      </c>
      <c r="H56" t="str">
        <f t="shared" si="2"/>
        <v>01</v>
      </c>
      <c r="I56" t="str">
        <f t="shared" si="3"/>
        <v>aef</v>
      </c>
      <c r="J56" t="str">
        <f t="shared" si="4"/>
        <v>Line</v>
      </c>
      <c r="K56">
        <v>4637415.5870000003</v>
      </c>
      <c r="L56">
        <v>417290.93699999998</v>
      </c>
      <c r="M56">
        <v>1.143</v>
      </c>
    </row>
    <row r="57" spans="1:14" x14ac:dyDescent="0.35">
      <c r="A57" t="s">
        <v>54</v>
      </c>
      <c r="B57">
        <v>28</v>
      </c>
      <c r="C57" t="s">
        <v>55</v>
      </c>
      <c r="D57">
        <v>2019</v>
      </c>
      <c r="E57">
        <f t="shared" si="1"/>
        <v>33</v>
      </c>
      <c r="F57">
        <v>56</v>
      </c>
      <c r="G57" t="s">
        <v>6</v>
      </c>
      <c r="H57" t="str">
        <f t="shared" si="2"/>
        <v>03</v>
      </c>
      <c r="I57" t="str">
        <f t="shared" si="3"/>
        <v>a</v>
      </c>
      <c r="J57" t="str">
        <f t="shared" si="4"/>
        <v>Line</v>
      </c>
      <c r="K57">
        <v>4637416.818</v>
      </c>
      <c r="L57">
        <v>417292.027</v>
      </c>
      <c r="M57">
        <v>1.3360000000000001</v>
      </c>
    </row>
    <row r="58" spans="1:14" x14ac:dyDescent="0.35">
      <c r="A58" t="s">
        <v>54</v>
      </c>
      <c r="B58">
        <v>28</v>
      </c>
      <c r="C58" t="s">
        <v>55</v>
      </c>
      <c r="D58">
        <v>2019</v>
      </c>
      <c r="E58">
        <f t="shared" si="1"/>
        <v>33</v>
      </c>
      <c r="F58">
        <v>57</v>
      </c>
      <c r="G58" t="s">
        <v>6</v>
      </c>
      <c r="H58" t="str">
        <f t="shared" si="2"/>
        <v>03</v>
      </c>
      <c r="I58" t="str">
        <f t="shared" si="3"/>
        <v>a</v>
      </c>
      <c r="J58" t="str">
        <f t="shared" si="4"/>
        <v>Line</v>
      </c>
      <c r="K58">
        <v>4637424.2209999999</v>
      </c>
      <c r="L58">
        <v>417291.77500000002</v>
      </c>
      <c r="M58">
        <v>1.4490000000000001</v>
      </c>
    </row>
    <row r="59" spans="1:14" x14ac:dyDescent="0.35">
      <c r="A59" t="s">
        <v>54</v>
      </c>
      <c r="B59">
        <v>28</v>
      </c>
      <c r="C59" t="s">
        <v>55</v>
      </c>
      <c r="D59">
        <v>2019</v>
      </c>
      <c r="E59">
        <f t="shared" si="1"/>
        <v>34</v>
      </c>
      <c r="F59">
        <v>58</v>
      </c>
      <c r="G59" t="s">
        <v>15</v>
      </c>
      <c r="H59" t="str">
        <f t="shared" si="2"/>
        <v>02</v>
      </c>
      <c r="I59" t="str">
        <f t="shared" si="3"/>
        <v>a</v>
      </c>
      <c r="J59" t="str">
        <f t="shared" si="4"/>
        <v>Line</v>
      </c>
      <c r="K59">
        <v>4637426.33</v>
      </c>
      <c r="L59">
        <v>417291.58799999999</v>
      </c>
      <c r="M59">
        <v>1.4590000000000001</v>
      </c>
    </row>
    <row r="60" spans="1:14" x14ac:dyDescent="0.35">
      <c r="A60" t="s">
        <v>54</v>
      </c>
      <c r="B60">
        <v>28</v>
      </c>
      <c r="C60" t="s">
        <v>55</v>
      </c>
      <c r="D60">
        <v>2019</v>
      </c>
      <c r="E60">
        <f t="shared" si="1"/>
        <v>34</v>
      </c>
      <c r="F60">
        <v>59</v>
      </c>
      <c r="G60" t="s">
        <v>15</v>
      </c>
      <c r="H60" t="str">
        <f t="shared" si="2"/>
        <v>02</v>
      </c>
      <c r="I60" t="str">
        <f t="shared" si="3"/>
        <v>a</v>
      </c>
      <c r="J60" t="str">
        <f t="shared" si="4"/>
        <v>Line</v>
      </c>
      <c r="K60">
        <v>4637432.8880000003</v>
      </c>
      <c r="L60">
        <v>417291.54</v>
      </c>
      <c r="M60">
        <v>1.516</v>
      </c>
    </row>
    <row r="61" spans="1:14" x14ac:dyDescent="0.35">
      <c r="A61" t="s">
        <v>54</v>
      </c>
      <c r="B61">
        <v>28</v>
      </c>
      <c r="C61" t="s">
        <v>55</v>
      </c>
      <c r="D61">
        <v>2019</v>
      </c>
      <c r="E61">
        <f t="shared" si="1"/>
        <v>35</v>
      </c>
      <c r="F61">
        <v>60</v>
      </c>
      <c r="G61" t="s">
        <v>6</v>
      </c>
      <c r="H61" t="str">
        <f t="shared" si="2"/>
        <v>03</v>
      </c>
      <c r="I61" t="str">
        <f t="shared" si="3"/>
        <v>a</v>
      </c>
      <c r="J61" t="str">
        <f t="shared" si="4"/>
        <v>Line</v>
      </c>
      <c r="K61">
        <v>4637435.0609999998</v>
      </c>
      <c r="L61">
        <v>417291.21399999998</v>
      </c>
      <c r="M61">
        <v>1.5149999999999999</v>
      </c>
    </row>
    <row r="62" spans="1:14" x14ac:dyDescent="0.35">
      <c r="A62" t="s">
        <v>54</v>
      </c>
      <c r="B62">
        <v>28</v>
      </c>
      <c r="C62" t="s">
        <v>55</v>
      </c>
      <c r="D62">
        <v>2019</v>
      </c>
      <c r="E62">
        <f t="shared" si="1"/>
        <v>35</v>
      </c>
      <c r="F62">
        <v>61</v>
      </c>
      <c r="G62" t="s">
        <v>6</v>
      </c>
      <c r="H62" t="str">
        <f t="shared" si="2"/>
        <v>03</v>
      </c>
      <c r="I62" t="str">
        <f t="shared" si="3"/>
        <v>a</v>
      </c>
      <c r="J62" t="str">
        <f t="shared" si="4"/>
        <v>Line</v>
      </c>
      <c r="K62">
        <v>4637454.6710000001</v>
      </c>
      <c r="L62">
        <v>417286.478</v>
      </c>
      <c r="M62">
        <v>1.5189999999999999</v>
      </c>
    </row>
    <row r="63" spans="1:14" x14ac:dyDescent="0.35">
      <c r="A63" t="s">
        <v>54</v>
      </c>
      <c r="B63">
        <v>28</v>
      </c>
      <c r="C63" t="s">
        <v>55</v>
      </c>
      <c r="D63">
        <v>2019</v>
      </c>
      <c r="E63">
        <f t="shared" si="1"/>
        <v>35</v>
      </c>
      <c r="F63">
        <v>62</v>
      </c>
      <c r="G63" t="s">
        <v>6</v>
      </c>
      <c r="H63" t="str">
        <f t="shared" si="2"/>
        <v>03</v>
      </c>
      <c r="I63" t="str">
        <f t="shared" si="3"/>
        <v>a</v>
      </c>
      <c r="J63" t="str">
        <f t="shared" si="4"/>
        <v>Line</v>
      </c>
      <c r="K63">
        <v>4637458.0880000005</v>
      </c>
      <c r="L63">
        <v>417297.97499999998</v>
      </c>
      <c r="M63">
        <v>1.556</v>
      </c>
    </row>
    <row r="64" spans="1:14" x14ac:dyDescent="0.35">
      <c r="A64" t="s">
        <v>54</v>
      </c>
      <c r="B64">
        <v>28</v>
      </c>
      <c r="C64" t="s">
        <v>55</v>
      </c>
      <c r="D64">
        <v>2019</v>
      </c>
      <c r="E64">
        <f t="shared" si="1"/>
        <v>36</v>
      </c>
      <c r="F64">
        <v>63</v>
      </c>
      <c r="G64">
        <v>32</v>
      </c>
      <c r="H64" t="str">
        <f t="shared" si="2"/>
        <v>32</v>
      </c>
      <c r="I64" t="str">
        <f t="shared" si="3"/>
        <v/>
      </c>
      <c r="J64" t="str">
        <f t="shared" si="4"/>
        <v>Line</v>
      </c>
      <c r="K64">
        <v>4637458.6109999996</v>
      </c>
      <c r="L64">
        <v>417299.984</v>
      </c>
      <c r="M64">
        <v>1.611</v>
      </c>
      <c r="N64" t="s">
        <v>26</v>
      </c>
    </row>
    <row r="65" spans="1:14" x14ac:dyDescent="0.35">
      <c r="A65" t="s">
        <v>54</v>
      </c>
      <c r="B65">
        <v>28</v>
      </c>
      <c r="C65" t="s">
        <v>55</v>
      </c>
      <c r="D65">
        <v>2019</v>
      </c>
      <c r="E65">
        <f t="shared" si="1"/>
        <v>36</v>
      </c>
      <c r="F65">
        <v>64</v>
      </c>
      <c r="G65">
        <v>32</v>
      </c>
      <c r="H65" t="str">
        <f t="shared" si="2"/>
        <v>32</v>
      </c>
      <c r="I65" t="str">
        <f t="shared" si="3"/>
        <v/>
      </c>
      <c r="J65" t="str">
        <f t="shared" si="4"/>
        <v>Line</v>
      </c>
      <c r="K65">
        <v>4637461.233</v>
      </c>
      <c r="L65">
        <v>417304.79399999999</v>
      </c>
      <c r="M65">
        <v>1.722</v>
      </c>
      <c r="N65" t="s">
        <v>26</v>
      </c>
    </row>
    <row r="66" spans="1:14" x14ac:dyDescent="0.35">
      <c r="A66" t="s">
        <v>54</v>
      </c>
      <c r="B66">
        <v>28</v>
      </c>
      <c r="C66" t="s">
        <v>55</v>
      </c>
      <c r="D66">
        <v>2019</v>
      </c>
      <c r="E66">
        <f t="shared" si="1"/>
        <v>36</v>
      </c>
      <c r="F66">
        <v>65</v>
      </c>
      <c r="G66">
        <v>32</v>
      </c>
      <c r="H66" t="str">
        <f t="shared" si="2"/>
        <v>32</v>
      </c>
      <c r="I66" t="str">
        <f t="shared" si="3"/>
        <v/>
      </c>
      <c r="J66" t="str">
        <f t="shared" si="4"/>
        <v>Line</v>
      </c>
      <c r="K66">
        <v>4637465.057</v>
      </c>
      <c r="L66">
        <v>417298.96399999998</v>
      </c>
      <c r="M66">
        <v>1.571</v>
      </c>
      <c r="N66" t="s">
        <v>26</v>
      </c>
    </row>
    <row r="67" spans="1:14" x14ac:dyDescent="0.35">
      <c r="A67" t="s">
        <v>54</v>
      </c>
      <c r="B67">
        <v>28</v>
      </c>
      <c r="C67" t="s">
        <v>55</v>
      </c>
      <c r="D67">
        <v>2019</v>
      </c>
      <c r="E67">
        <f t="shared" ref="E67:E130" si="5">IF(G67=G66,E66,E66+1)</f>
        <v>36</v>
      </c>
      <c r="F67">
        <v>66</v>
      </c>
      <c r="G67">
        <v>32</v>
      </c>
      <c r="H67" t="str">
        <f t="shared" ref="H67:H130" si="6">LEFT(G67,2)</f>
        <v>32</v>
      </c>
      <c r="I67" t="str">
        <f t="shared" ref="I67:I130" si="7">RIGHT(G67,LEN(G67)-LEN(H67))</f>
        <v/>
      </c>
      <c r="J67" t="str">
        <f t="shared" ref="J67:J130" si="8">IF(OR((E67=E68),(E67=E66)),"Line","MU")</f>
        <v>Line</v>
      </c>
      <c r="K67">
        <v>4637468.6859999998</v>
      </c>
      <c r="L67">
        <v>417304.09299999999</v>
      </c>
      <c r="M67">
        <v>1.734</v>
      </c>
      <c r="N67" t="s">
        <v>26</v>
      </c>
    </row>
    <row r="68" spans="1:14" x14ac:dyDescent="0.35">
      <c r="A68" t="s">
        <v>54</v>
      </c>
      <c r="B68">
        <v>28</v>
      </c>
      <c r="C68" t="s">
        <v>55</v>
      </c>
      <c r="D68">
        <v>2019</v>
      </c>
      <c r="E68">
        <f t="shared" si="5"/>
        <v>36</v>
      </c>
      <c r="F68">
        <v>67</v>
      </c>
      <c r="G68">
        <v>32</v>
      </c>
      <c r="H68" t="str">
        <f t="shared" si="6"/>
        <v>32</v>
      </c>
      <c r="I68" t="str">
        <f t="shared" si="7"/>
        <v/>
      </c>
      <c r="J68" t="str">
        <f t="shared" si="8"/>
        <v>Line</v>
      </c>
      <c r="K68">
        <v>4637470.6140000001</v>
      </c>
      <c r="L68">
        <v>417300.04200000002</v>
      </c>
      <c r="M68">
        <v>1.5680000000000001</v>
      </c>
      <c r="N68" t="s">
        <v>26</v>
      </c>
    </row>
    <row r="69" spans="1:14" x14ac:dyDescent="0.35">
      <c r="A69" t="s">
        <v>54</v>
      </c>
      <c r="B69">
        <v>28</v>
      </c>
      <c r="C69" t="s">
        <v>55</v>
      </c>
      <c r="D69">
        <v>2019</v>
      </c>
      <c r="E69">
        <f t="shared" si="5"/>
        <v>36</v>
      </c>
      <c r="F69">
        <v>68</v>
      </c>
      <c r="G69">
        <v>32</v>
      </c>
      <c r="H69" t="str">
        <f t="shared" si="6"/>
        <v>32</v>
      </c>
      <c r="I69" t="str">
        <f t="shared" si="7"/>
        <v/>
      </c>
      <c r="J69" t="str">
        <f t="shared" si="8"/>
        <v>Line</v>
      </c>
      <c r="K69">
        <v>4637479.6749999998</v>
      </c>
      <c r="L69">
        <v>417294.97499999998</v>
      </c>
      <c r="M69">
        <v>1.73</v>
      </c>
      <c r="N69" t="s">
        <v>26</v>
      </c>
    </row>
    <row r="70" spans="1:14" x14ac:dyDescent="0.35">
      <c r="A70" t="s">
        <v>54</v>
      </c>
      <c r="B70">
        <v>28</v>
      </c>
      <c r="C70" t="s">
        <v>55</v>
      </c>
      <c r="D70">
        <v>2019</v>
      </c>
      <c r="E70">
        <f t="shared" si="5"/>
        <v>36</v>
      </c>
      <c r="F70">
        <v>69</v>
      </c>
      <c r="G70">
        <v>32</v>
      </c>
      <c r="H70" t="str">
        <f t="shared" si="6"/>
        <v>32</v>
      </c>
      <c r="I70" t="str">
        <f t="shared" si="7"/>
        <v/>
      </c>
      <c r="J70" t="str">
        <f t="shared" si="8"/>
        <v>Line</v>
      </c>
      <c r="K70">
        <v>4637455.0690000001</v>
      </c>
      <c r="L70">
        <v>417303.25199999998</v>
      </c>
      <c r="M70">
        <v>1.615</v>
      </c>
      <c r="N70" t="s">
        <v>26</v>
      </c>
    </row>
    <row r="71" spans="1:14" x14ac:dyDescent="0.35">
      <c r="A71" t="s">
        <v>54</v>
      </c>
      <c r="B71">
        <v>28</v>
      </c>
      <c r="C71" t="s">
        <v>55</v>
      </c>
      <c r="D71">
        <v>2019</v>
      </c>
      <c r="E71">
        <f t="shared" si="5"/>
        <v>36</v>
      </c>
      <c r="F71">
        <v>70</v>
      </c>
      <c r="G71">
        <v>32</v>
      </c>
      <c r="H71" t="str">
        <f t="shared" si="6"/>
        <v>32</v>
      </c>
      <c r="I71" t="str">
        <f t="shared" si="7"/>
        <v/>
      </c>
      <c r="J71" t="str">
        <f t="shared" si="8"/>
        <v>Line</v>
      </c>
      <c r="K71">
        <v>4637438.6169999996</v>
      </c>
      <c r="L71">
        <v>417310.098</v>
      </c>
      <c r="M71">
        <v>1.627</v>
      </c>
      <c r="N71" t="s">
        <v>26</v>
      </c>
    </row>
    <row r="72" spans="1:14" x14ac:dyDescent="0.35">
      <c r="A72" t="s">
        <v>54</v>
      </c>
      <c r="B72">
        <v>28</v>
      </c>
      <c r="C72" t="s">
        <v>55</v>
      </c>
      <c r="D72">
        <v>2019</v>
      </c>
      <c r="E72">
        <f t="shared" si="5"/>
        <v>37</v>
      </c>
      <c r="F72">
        <v>71</v>
      </c>
      <c r="G72" t="s">
        <v>27</v>
      </c>
      <c r="H72" t="str">
        <f t="shared" si="6"/>
        <v>11</v>
      </c>
      <c r="I72" t="str">
        <f t="shared" si="7"/>
        <v>a</v>
      </c>
      <c r="J72" t="str">
        <f t="shared" si="8"/>
        <v>Line</v>
      </c>
      <c r="K72">
        <v>4637455.0870000003</v>
      </c>
      <c r="L72">
        <v>417299.82400000002</v>
      </c>
      <c r="M72">
        <v>1.5820000000000001</v>
      </c>
    </row>
    <row r="73" spans="1:14" x14ac:dyDescent="0.35">
      <c r="A73" t="s">
        <v>54</v>
      </c>
      <c r="B73">
        <v>28</v>
      </c>
      <c r="C73" t="s">
        <v>55</v>
      </c>
      <c r="D73">
        <v>2019</v>
      </c>
      <c r="E73">
        <f t="shared" si="5"/>
        <v>37</v>
      </c>
      <c r="F73">
        <v>72</v>
      </c>
      <c r="G73" t="s">
        <v>27</v>
      </c>
      <c r="H73" t="str">
        <f t="shared" si="6"/>
        <v>11</v>
      </c>
      <c r="I73" t="str">
        <f t="shared" si="7"/>
        <v>a</v>
      </c>
      <c r="J73" t="str">
        <f t="shared" si="8"/>
        <v>Line</v>
      </c>
      <c r="K73">
        <v>4637452.0640000002</v>
      </c>
      <c r="L73">
        <v>417300.33100000001</v>
      </c>
      <c r="M73">
        <v>1.518</v>
      </c>
    </row>
    <row r="74" spans="1:14" x14ac:dyDescent="0.35">
      <c r="A74" t="s">
        <v>54</v>
      </c>
      <c r="B74">
        <v>28</v>
      </c>
      <c r="C74" t="s">
        <v>55</v>
      </c>
      <c r="D74">
        <v>2019</v>
      </c>
      <c r="E74">
        <f t="shared" si="5"/>
        <v>38</v>
      </c>
      <c r="F74">
        <v>73</v>
      </c>
      <c r="G74" t="s">
        <v>15</v>
      </c>
      <c r="H74" t="str">
        <f t="shared" si="6"/>
        <v>02</v>
      </c>
      <c r="I74" t="str">
        <f t="shared" si="7"/>
        <v>a</v>
      </c>
      <c r="J74" t="str">
        <f t="shared" si="8"/>
        <v>MU</v>
      </c>
      <c r="K74">
        <v>4637450.477</v>
      </c>
      <c r="L74">
        <v>417301.08600000001</v>
      </c>
      <c r="M74">
        <v>1.5429999999999999</v>
      </c>
      <c r="N74" t="s">
        <v>5</v>
      </c>
    </row>
    <row r="75" spans="1:14" x14ac:dyDescent="0.35">
      <c r="A75" t="s">
        <v>54</v>
      </c>
      <c r="B75">
        <v>28</v>
      </c>
      <c r="C75" t="s">
        <v>55</v>
      </c>
      <c r="D75">
        <v>2019</v>
      </c>
      <c r="E75">
        <f t="shared" si="5"/>
        <v>39</v>
      </c>
      <c r="F75">
        <v>74</v>
      </c>
      <c r="G75" t="s">
        <v>27</v>
      </c>
      <c r="H75" t="str">
        <f t="shared" si="6"/>
        <v>11</v>
      </c>
      <c r="I75" t="str">
        <f t="shared" si="7"/>
        <v>a</v>
      </c>
      <c r="J75" t="str">
        <f t="shared" si="8"/>
        <v>Line</v>
      </c>
      <c r="K75">
        <v>4637448.1540000001</v>
      </c>
      <c r="L75">
        <v>417301.49400000001</v>
      </c>
      <c r="M75">
        <v>1.518</v>
      </c>
    </row>
    <row r="76" spans="1:14" x14ac:dyDescent="0.35">
      <c r="A76" t="s">
        <v>54</v>
      </c>
      <c r="B76">
        <v>28</v>
      </c>
      <c r="C76" t="s">
        <v>55</v>
      </c>
      <c r="D76">
        <v>2019</v>
      </c>
      <c r="E76">
        <f t="shared" si="5"/>
        <v>39</v>
      </c>
      <c r="F76">
        <v>75</v>
      </c>
      <c r="G76" t="s">
        <v>27</v>
      </c>
      <c r="H76" t="str">
        <f t="shared" si="6"/>
        <v>11</v>
      </c>
      <c r="I76" t="str">
        <f t="shared" si="7"/>
        <v>a</v>
      </c>
      <c r="J76" t="str">
        <f t="shared" si="8"/>
        <v>Line</v>
      </c>
      <c r="K76">
        <v>4637444.193</v>
      </c>
      <c r="L76">
        <v>417302.56300000002</v>
      </c>
      <c r="M76">
        <v>1.5580000000000001</v>
      </c>
    </row>
    <row r="77" spans="1:14" x14ac:dyDescent="0.35">
      <c r="A77" t="s">
        <v>54</v>
      </c>
      <c r="B77">
        <v>28</v>
      </c>
      <c r="C77" t="s">
        <v>55</v>
      </c>
      <c r="D77">
        <v>2019</v>
      </c>
      <c r="E77">
        <f t="shared" si="5"/>
        <v>40</v>
      </c>
      <c r="F77">
        <v>76</v>
      </c>
      <c r="G77" t="s">
        <v>15</v>
      </c>
      <c r="H77" t="str">
        <f t="shared" si="6"/>
        <v>02</v>
      </c>
      <c r="I77" t="str">
        <f t="shared" si="7"/>
        <v>a</v>
      </c>
      <c r="J77" t="str">
        <f t="shared" si="8"/>
        <v>MU</v>
      </c>
      <c r="K77">
        <v>4637442.6040000003</v>
      </c>
      <c r="L77">
        <v>417303.60600000003</v>
      </c>
      <c r="M77">
        <v>1.5149999999999999</v>
      </c>
      <c r="N77" t="s">
        <v>5</v>
      </c>
    </row>
    <row r="78" spans="1:14" x14ac:dyDescent="0.35">
      <c r="A78" t="s">
        <v>54</v>
      </c>
      <c r="B78">
        <v>28</v>
      </c>
      <c r="C78" t="s">
        <v>55</v>
      </c>
      <c r="D78">
        <v>2019</v>
      </c>
      <c r="E78">
        <f t="shared" si="5"/>
        <v>41</v>
      </c>
      <c r="F78">
        <v>77</v>
      </c>
      <c r="G78" t="s">
        <v>27</v>
      </c>
      <c r="H78" t="str">
        <f t="shared" si="6"/>
        <v>11</v>
      </c>
      <c r="I78" t="str">
        <f t="shared" si="7"/>
        <v>a</v>
      </c>
      <c r="J78" t="str">
        <f t="shared" si="8"/>
        <v>Line</v>
      </c>
      <c r="K78">
        <v>4637440.6960000005</v>
      </c>
      <c r="L78">
        <v>417304.14399999997</v>
      </c>
      <c r="M78">
        <v>1.502</v>
      </c>
    </row>
    <row r="79" spans="1:14" x14ac:dyDescent="0.35">
      <c r="A79" t="s">
        <v>54</v>
      </c>
      <c r="B79">
        <v>28</v>
      </c>
      <c r="C79" t="s">
        <v>55</v>
      </c>
      <c r="D79">
        <v>2019</v>
      </c>
      <c r="E79">
        <f t="shared" si="5"/>
        <v>41</v>
      </c>
      <c r="F79">
        <v>78</v>
      </c>
      <c r="G79" t="s">
        <v>27</v>
      </c>
      <c r="H79" t="str">
        <f t="shared" si="6"/>
        <v>11</v>
      </c>
      <c r="I79" t="str">
        <f t="shared" si="7"/>
        <v>a</v>
      </c>
      <c r="J79" t="str">
        <f t="shared" si="8"/>
        <v>Line</v>
      </c>
      <c r="K79">
        <v>4637428.7379999999</v>
      </c>
      <c r="L79">
        <v>417309.02799999999</v>
      </c>
      <c r="M79">
        <v>1.5129999999999999</v>
      </c>
      <c r="N79" t="s">
        <v>28</v>
      </c>
    </row>
    <row r="80" spans="1:14" x14ac:dyDescent="0.35">
      <c r="A80" t="s">
        <v>54</v>
      </c>
      <c r="B80">
        <v>28</v>
      </c>
      <c r="C80" t="s">
        <v>55</v>
      </c>
      <c r="D80">
        <v>2019</v>
      </c>
      <c r="E80">
        <f t="shared" si="5"/>
        <v>42</v>
      </c>
      <c r="F80">
        <v>80</v>
      </c>
      <c r="G80" t="s">
        <v>29</v>
      </c>
      <c r="H80" t="str">
        <f t="shared" si="6"/>
        <v>10</v>
      </c>
      <c r="I80" t="str">
        <f t="shared" si="7"/>
        <v>a</v>
      </c>
      <c r="J80" t="str">
        <f t="shared" si="8"/>
        <v>MU</v>
      </c>
      <c r="K80">
        <v>4637293.3380000005</v>
      </c>
      <c r="L80">
        <v>416736.39399999997</v>
      </c>
      <c r="M80">
        <v>1.5580000000000001</v>
      </c>
      <c r="N80" t="s">
        <v>30</v>
      </c>
    </row>
    <row r="81" spans="1:14" x14ac:dyDescent="0.35">
      <c r="A81" t="s">
        <v>54</v>
      </c>
      <c r="B81">
        <v>28</v>
      </c>
      <c r="C81" t="s">
        <v>55</v>
      </c>
      <c r="D81">
        <v>2019</v>
      </c>
      <c r="E81">
        <f t="shared" si="5"/>
        <v>43</v>
      </c>
      <c r="F81">
        <v>81</v>
      </c>
      <c r="G81" t="s">
        <v>31</v>
      </c>
      <c r="H81" t="str">
        <f t="shared" si="6"/>
        <v>01</v>
      </c>
      <c r="I81" t="str">
        <f t="shared" si="7"/>
        <v>a</v>
      </c>
      <c r="J81" t="str">
        <f t="shared" si="8"/>
        <v>MU</v>
      </c>
      <c r="K81">
        <v>4637292.1720000003</v>
      </c>
      <c r="L81">
        <v>416737.70500000002</v>
      </c>
      <c r="M81">
        <v>1.4359999999999999</v>
      </c>
      <c r="N81" t="s">
        <v>5</v>
      </c>
    </row>
    <row r="82" spans="1:14" x14ac:dyDescent="0.35">
      <c r="A82" t="s">
        <v>54</v>
      </c>
      <c r="B82">
        <v>28</v>
      </c>
      <c r="C82" t="s">
        <v>55</v>
      </c>
      <c r="D82">
        <v>2019</v>
      </c>
      <c r="E82">
        <f t="shared" si="5"/>
        <v>44</v>
      </c>
      <c r="F82">
        <v>82</v>
      </c>
      <c r="G82" t="s">
        <v>20</v>
      </c>
      <c r="H82" t="str">
        <f t="shared" si="6"/>
        <v>01</v>
      </c>
      <c r="I82" t="str">
        <f t="shared" si="7"/>
        <v>ae</v>
      </c>
      <c r="J82" t="str">
        <f t="shared" si="8"/>
        <v>Line</v>
      </c>
      <c r="K82">
        <v>4637288.5329999998</v>
      </c>
      <c r="L82">
        <v>416741.76299999998</v>
      </c>
      <c r="M82">
        <v>1.383</v>
      </c>
    </row>
    <row r="83" spans="1:14" x14ac:dyDescent="0.35">
      <c r="A83" t="s">
        <v>54</v>
      </c>
      <c r="B83">
        <v>28</v>
      </c>
      <c r="C83" t="s">
        <v>55</v>
      </c>
      <c r="D83">
        <v>2019</v>
      </c>
      <c r="E83">
        <f t="shared" si="5"/>
        <v>44</v>
      </c>
      <c r="F83">
        <v>83</v>
      </c>
      <c r="G83" t="s">
        <v>20</v>
      </c>
      <c r="H83" t="str">
        <f t="shared" si="6"/>
        <v>01</v>
      </c>
      <c r="I83" t="str">
        <f t="shared" si="7"/>
        <v>ae</v>
      </c>
      <c r="J83" t="str">
        <f t="shared" si="8"/>
        <v>Line</v>
      </c>
      <c r="K83">
        <v>4637285.45</v>
      </c>
      <c r="L83">
        <v>416745.61900000001</v>
      </c>
      <c r="M83">
        <v>1.357</v>
      </c>
    </row>
    <row r="84" spans="1:14" x14ac:dyDescent="0.35">
      <c r="A84" t="s">
        <v>54</v>
      </c>
      <c r="B84">
        <v>28</v>
      </c>
      <c r="C84" t="s">
        <v>55</v>
      </c>
      <c r="D84">
        <v>2019</v>
      </c>
      <c r="E84">
        <f t="shared" si="5"/>
        <v>44</v>
      </c>
      <c r="F84">
        <v>84</v>
      </c>
      <c r="G84" t="s">
        <v>20</v>
      </c>
      <c r="H84" t="str">
        <f t="shared" si="6"/>
        <v>01</v>
      </c>
      <c r="I84" t="str">
        <f t="shared" si="7"/>
        <v>ae</v>
      </c>
      <c r="J84" t="str">
        <f t="shared" si="8"/>
        <v>Line</v>
      </c>
      <c r="K84">
        <v>4637284.1109999996</v>
      </c>
      <c r="L84">
        <v>416747.973</v>
      </c>
      <c r="M84">
        <v>1.3919999999999999</v>
      </c>
    </row>
    <row r="85" spans="1:14" x14ac:dyDescent="0.35">
      <c r="A85" t="s">
        <v>54</v>
      </c>
      <c r="B85">
        <v>28</v>
      </c>
      <c r="C85" t="s">
        <v>55</v>
      </c>
      <c r="D85">
        <v>2019</v>
      </c>
      <c r="E85">
        <f t="shared" si="5"/>
        <v>45</v>
      </c>
      <c r="F85">
        <v>85</v>
      </c>
      <c r="G85" t="s">
        <v>18</v>
      </c>
      <c r="H85" t="str">
        <f t="shared" si="6"/>
        <v>33</v>
      </c>
      <c r="I85" t="str">
        <f t="shared" si="7"/>
        <v>ef</v>
      </c>
      <c r="J85" t="str">
        <f t="shared" si="8"/>
        <v>MU</v>
      </c>
      <c r="K85">
        <v>4637283.0980000002</v>
      </c>
      <c r="L85">
        <v>416749.08600000001</v>
      </c>
      <c r="M85">
        <v>1.37</v>
      </c>
      <c r="N85" t="s">
        <v>5</v>
      </c>
    </row>
    <row r="86" spans="1:14" x14ac:dyDescent="0.35">
      <c r="A86" t="s">
        <v>54</v>
      </c>
      <c r="B86">
        <v>28</v>
      </c>
      <c r="C86" t="s">
        <v>55</v>
      </c>
      <c r="D86">
        <v>2019</v>
      </c>
      <c r="E86">
        <f t="shared" si="5"/>
        <v>46</v>
      </c>
      <c r="F86">
        <v>86</v>
      </c>
      <c r="G86" t="s">
        <v>32</v>
      </c>
      <c r="H86" t="str">
        <f t="shared" si="6"/>
        <v>01</v>
      </c>
      <c r="I86" t="str">
        <f t="shared" si="7"/>
        <v>cef</v>
      </c>
      <c r="J86" t="str">
        <f t="shared" si="8"/>
        <v>MU</v>
      </c>
      <c r="K86">
        <v>4637282.0619999999</v>
      </c>
      <c r="L86">
        <v>416750.73800000001</v>
      </c>
      <c r="M86">
        <v>1.357</v>
      </c>
    </row>
    <row r="87" spans="1:14" x14ac:dyDescent="0.35">
      <c r="A87" t="s">
        <v>54</v>
      </c>
      <c r="B87">
        <v>28</v>
      </c>
      <c r="C87" t="s">
        <v>55</v>
      </c>
      <c r="D87">
        <v>2019</v>
      </c>
      <c r="E87">
        <f t="shared" si="5"/>
        <v>47</v>
      </c>
      <c r="F87">
        <v>87</v>
      </c>
      <c r="G87" t="s">
        <v>16</v>
      </c>
      <c r="H87" t="str">
        <f t="shared" si="6"/>
        <v>01</v>
      </c>
      <c r="I87" t="str">
        <f t="shared" si="7"/>
        <v>ef</v>
      </c>
      <c r="J87" t="str">
        <f t="shared" si="8"/>
        <v>Line</v>
      </c>
      <c r="K87">
        <v>4637278.6069999998</v>
      </c>
      <c r="L87">
        <v>416755.31099999999</v>
      </c>
      <c r="M87">
        <v>1.3720000000000001</v>
      </c>
    </row>
    <row r="88" spans="1:14" x14ac:dyDescent="0.35">
      <c r="A88" t="s">
        <v>54</v>
      </c>
      <c r="B88">
        <v>28</v>
      </c>
      <c r="C88" t="s">
        <v>55</v>
      </c>
      <c r="D88">
        <v>2019</v>
      </c>
      <c r="E88">
        <f t="shared" si="5"/>
        <v>47</v>
      </c>
      <c r="F88">
        <v>88</v>
      </c>
      <c r="G88" t="s">
        <v>16</v>
      </c>
      <c r="H88" t="str">
        <f t="shared" si="6"/>
        <v>01</v>
      </c>
      <c r="I88" t="str">
        <f t="shared" si="7"/>
        <v>ef</v>
      </c>
      <c r="J88" t="str">
        <f t="shared" si="8"/>
        <v>Line</v>
      </c>
      <c r="K88">
        <v>4637268.6370000001</v>
      </c>
      <c r="L88">
        <v>416763.40500000003</v>
      </c>
      <c r="M88">
        <v>1.321</v>
      </c>
    </row>
    <row r="89" spans="1:14" x14ac:dyDescent="0.35">
      <c r="A89" t="s">
        <v>54</v>
      </c>
      <c r="B89">
        <v>28</v>
      </c>
      <c r="C89" t="s">
        <v>55</v>
      </c>
      <c r="D89">
        <v>2019</v>
      </c>
      <c r="E89">
        <f t="shared" si="5"/>
        <v>48</v>
      </c>
      <c r="F89">
        <v>89</v>
      </c>
      <c r="G89" t="s">
        <v>20</v>
      </c>
      <c r="H89" t="str">
        <f t="shared" si="6"/>
        <v>01</v>
      </c>
      <c r="I89" t="str">
        <f t="shared" si="7"/>
        <v>ae</v>
      </c>
      <c r="J89" t="str">
        <f t="shared" si="8"/>
        <v>Line</v>
      </c>
      <c r="K89">
        <v>4637265.4249999998</v>
      </c>
      <c r="L89">
        <v>416769.91800000001</v>
      </c>
      <c r="M89">
        <v>1.2649999999999999</v>
      </c>
    </row>
    <row r="90" spans="1:14" x14ac:dyDescent="0.35">
      <c r="A90" t="s">
        <v>54</v>
      </c>
      <c r="B90">
        <v>28</v>
      </c>
      <c r="C90" t="s">
        <v>55</v>
      </c>
      <c r="D90">
        <v>2019</v>
      </c>
      <c r="E90">
        <f t="shared" si="5"/>
        <v>48</v>
      </c>
      <c r="F90">
        <v>90</v>
      </c>
      <c r="G90" t="s">
        <v>20</v>
      </c>
      <c r="H90" t="str">
        <f t="shared" si="6"/>
        <v>01</v>
      </c>
      <c r="I90" t="str">
        <f t="shared" si="7"/>
        <v>ae</v>
      </c>
      <c r="J90" t="str">
        <f t="shared" si="8"/>
        <v>Line</v>
      </c>
      <c r="K90">
        <v>4637264.5839999998</v>
      </c>
      <c r="L90">
        <v>416772.94699999999</v>
      </c>
      <c r="M90">
        <v>1.2250000000000001</v>
      </c>
    </row>
    <row r="91" spans="1:14" x14ac:dyDescent="0.35">
      <c r="A91" t="s">
        <v>54</v>
      </c>
      <c r="B91">
        <v>28</v>
      </c>
      <c r="C91" t="s">
        <v>55</v>
      </c>
      <c r="D91">
        <v>2019</v>
      </c>
      <c r="E91">
        <f t="shared" si="5"/>
        <v>49</v>
      </c>
      <c r="F91">
        <v>91</v>
      </c>
      <c r="G91" t="s">
        <v>33</v>
      </c>
      <c r="H91" t="str">
        <f t="shared" si="6"/>
        <v>01</v>
      </c>
      <c r="I91" t="str">
        <f t="shared" si="7"/>
        <v>bce</v>
      </c>
      <c r="J91" t="str">
        <f t="shared" si="8"/>
        <v>Line</v>
      </c>
      <c r="K91">
        <v>4637263.915</v>
      </c>
      <c r="L91">
        <v>416775.05699999997</v>
      </c>
      <c r="M91">
        <v>1.141</v>
      </c>
    </row>
    <row r="92" spans="1:14" x14ac:dyDescent="0.35">
      <c r="A92" t="s">
        <v>54</v>
      </c>
      <c r="B92">
        <v>28</v>
      </c>
      <c r="C92" t="s">
        <v>55</v>
      </c>
      <c r="D92">
        <v>2019</v>
      </c>
      <c r="E92">
        <f t="shared" si="5"/>
        <v>49</v>
      </c>
      <c r="F92">
        <v>92</v>
      </c>
      <c r="G92" t="s">
        <v>33</v>
      </c>
      <c r="H92" t="str">
        <f t="shared" si="6"/>
        <v>01</v>
      </c>
      <c r="I92" t="str">
        <f t="shared" si="7"/>
        <v>bce</v>
      </c>
      <c r="J92" t="str">
        <f t="shared" si="8"/>
        <v>Line</v>
      </c>
      <c r="K92">
        <v>4637263.2139999997</v>
      </c>
      <c r="L92">
        <v>416776.68900000001</v>
      </c>
      <c r="M92">
        <v>1.081</v>
      </c>
    </row>
    <row r="93" spans="1:14" x14ac:dyDescent="0.35">
      <c r="A93" t="s">
        <v>54</v>
      </c>
      <c r="B93">
        <v>28</v>
      </c>
      <c r="C93" t="s">
        <v>55</v>
      </c>
      <c r="D93">
        <v>2019</v>
      </c>
      <c r="E93">
        <f t="shared" si="5"/>
        <v>49</v>
      </c>
      <c r="F93">
        <v>93</v>
      </c>
      <c r="G93" t="s">
        <v>33</v>
      </c>
      <c r="H93" t="str">
        <f t="shared" si="6"/>
        <v>01</v>
      </c>
      <c r="I93" t="str">
        <f t="shared" si="7"/>
        <v>bce</v>
      </c>
      <c r="J93" t="str">
        <f t="shared" si="8"/>
        <v>Line</v>
      </c>
      <c r="K93">
        <v>4637258.55</v>
      </c>
      <c r="L93">
        <v>416783.53100000002</v>
      </c>
      <c r="M93">
        <v>1.1140000000000001</v>
      </c>
    </row>
    <row r="94" spans="1:14" x14ac:dyDescent="0.35">
      <c r="A94" t="s">
        <v>54</v>
      </c>
      <c r="B94">
        <v>28</v>
      </c>
      <c r="C94" t="s">
        <v>55</v>
      </c>
      <c r="D94">
        <v>2019</v>
      </c>
      <c r="E94">
        <f t="shared" si="5"/>
        <v>50</v>
      </c>
      <c r="F94">
        <v>94</v>
      </c>
      <c r="G94" t="s">
        <v>34</v>
      </c>
      <c r="H94" t="str">
        <f t="shared" si="6"/>
        <v>01</v>
      </c>
      <c r="I94" t="str">
        <f t="shared" si="7"/>
        <v>b</v>
      </c>
      <c r="J94" t="str">
        <f t="shared" si="8"/>
        <v>MU</v>
      </c>
      <c r="K94">
        <v>4637257.6390000004</v>
      </c>
      <c r="L94">
        <v>416785.17099999997</v>
      </c>
      <c r="M94">
        <v>1.161</v>
      </c>
      <c r="N94" t="s">
        <v>5</v>
      </c>
    </row>
    <row r="95" spans="1:14" x14ac:dyDescent="0.35">
      <c r="A95" t="s">
        <v>54</v>
      </c>
      <c r="B95">
        <v>28</v>
      </c>
      <c r="C95" t="s">
        <v>55</v>
      </c>
      <c r="D95">
        <v>2019</v>
      </c>
      <c r="E95">
        <f t="shared" si="5"/>
        <v>51</v>
      </c>
      <c r="F95">
        <v>95</v>
      </c>
      <c r="G95" t="s">
        <v>20</v>
      </c>
      <c r="H95" t="str">
        <f t="shared" si="6"/>
        <v>01</v>
      </c>
      <c r="I95" t="str">
        <f t="shared" si="7"/>
        <v>ae</v>
      </c>
      <c r="J95" t="str">
        <f t="shared" si="8"/>
        <v>Line</v>
      </c>
      <c r="K95">
        <v>4637256.7929999996</v>
      </c>
      <c r="L95">
        <v>416786.451</v>
      </c>
      <c r="M95">
        <v>1.18</v>
      </c>
    </row>
    <row r="96" spans="1:14" x14ac:dyDescent="0.35">
      <c r="A96" t="s">
        <v>54</v>
      </c>
      <c r="B96">
        <v>28</v>
      </c>
      <c r="C96" t="s">
        <v>55</v>
      </c>
      <c r="D96">
        <v>2019</v>
      </c>
      <c r="E96">
        <f t="shared" si="5"/>
        <v>51</v>
      </c>
      <c r="F96">
        <v>96</v>
      </c>
      <c r="G96" t="s">
        <v>20</v>
      </c>
      <c r="H96" t="str">
        <f t="shared" si="6"/>
        <v>01</v>
      </c>
      <c r="I96" t="str">
        <f t="shared" si="7"/>
        <v>ae</v>
      </c>
      <c r="J96" t="str">
        <f t="shared" si="8"/>
        <v>Line</v>
      </c>
      <c r="K96">
        <v>4637256.1169999996</v>
      </c>
      <c r="L96">
        <v>416787.67700000003</v>
      </c>
      <c r="M96">
        <v>1.198</v>
      </c>
    </row>
    <row r="97" spans="1:14" x14ac:dyDescent="0.35">
      <c r="A97" t="s">
        <v>54</v>
      </c>
      <c r="B97">
        <v>28</v>
      </c>
      <c r="C97" t="s">
        <v>55</v>
      </c>
      <c r="D97">
        <v>2019</v>
      </c>
      <c r="E97">
        <f t="shared" si="5"/>
        <v>52</v>
      </c>
      <c r="F97">
        <v>97</v>
      </c>
      <c r="G97" t="s">
        <v>35</v>
      </c>
      <c r="H97" t="str">
        <f t="shared" si="6"/>
        <v>01</v>
      </c>
      <c r="I97" t="str">
        <f t="shared" si="7"/>
        <v>bc</v>
      </c>
      <c r="J97" t="str">
        <f t="shared" si="8"/>
        <v>MU</v>
      </c>
      <c r="K97">
        <v>4637255.1529999999</v>
      </c>
      <c r="L97">
        <v>416789.217</v>
      </c>
      <c r="M97">
        <v>1.196</v>
      </c>
    </row>
    <row r="98" spans="1:14" x14ac:dyDescent="0.35">
      <c r="A98" t="s">
        <v>54</v>
      </c>
      <c r="B98">
        <v>28</v>
      </c>
      <c r="C98" t="s">
        <v>55</v>
      </c>
      <c r="D98">
        <v>2019</v>
      </c>
      <c r="E98">
        <f t="shared" si="5"/>
        <v>53</v>
      </c>
      <c r="F98">
        <v>98</v>
      </c>
      <c r="G98" t="s">
        <v>36</v>
      </c>
      <c r="H98" t="str">
        <f t="shared" si="6"/>
        <v>01</v>
      </c>
      <c r="I98" t="str">
        <f t="shared" si="7"/>
        <v>bcf</v>
      </c>
      <c r="J98" t="str">
        <f t="shared" si="8"/>
        <v>MU</v>
      </c>
      <c r="K98">
        <v>4637254.6040000003</v>
      </c>
      <c r="L98">
        <v>416790.30099999998</v>
      </c>
      <c r="M98">
        <v>1.202</v>
      </c>
    </row>
    <row r="99" spans="1:14" x14ac:dyDescent="0.35">
      <c r="A99" t="s">
        <v>54</v>
      </c>
      <c r="B99">
        <v>28</v>
      </c>
      <c r="C99" t="s">
        <v>55</v>
      </c>
      <c r="D99">
        <v>2019</v>
      </c>
      <c r="E99">
        <f t="shared" si="5"/>
        <v>54</v>
      </c>
      <c r="F99">
        <v>99</v>
      </c>
      <c r="G99" t="s">
        <v>20</v>
      </c>
      <c r="H99" t="str">
        <f t="shared" si="6"/>
        <v>01</v>
      </c>
      <c r="I99" t="str">
        <f t="shared" si="7"/>
        <v>ae</v>
      </c>
      <c r="J99" t="str">
        <f t="shared" si="8"/>
        <v>Line</v>
      </c>
      <c r="K99">
        <v>4637253.7419999996</v>
      </c>
      <c r="L99">
        <v>416791.77899999998</v>
      </c>
      <c r="M99">
        <v>1.2430000000000001</v>
      </c>
    </row>
    <row r="100" spans="1:14" x14ac:dyDescent="0.35">
      <c r="A100" t="s">
        <v>54</v>
      </c>
      <c r="B100">
        <v>28</v>
      </c>
      <c r="C100" t="s">
        <v>55</v>
      </c>
      <c r="D100">
        <v>2019</v>
      </c>
      <c r="E100">
        <f t="shared" si="5"/>
        <v>54</v>
      </c>
      <c r="F100">
        <v>100</v>
      </c>
      <c r="G100" t="s">
        <v>20</v>
      </c>
      <c r="H100" t="str">
        <f t="shared" si="6"/>
        <v>01</v>
      </c>
      <c r="I100" t="str">
        <f t="shared" si="7"/>
        <v>ae</v>
      </c>
      <c r="J100" t="str">
        <f t="shared" si="8"/>
        <v>Line</v>
      </c>
      <c r="K100">
        <v>4637246.93</v>
      </c>
      <c r="L100">
        <v>416796.04700000002</v>
      </c>
      <c r="M100">
        <v>1.1719999999999999</v>
      </c>
    </row>
    <row r="101" spans="1:14" x14ac:dyDescent="0.35">
      <c r="A101" t="s">
        <v>54</v>
      </c>
      <c r="B101">
        <v>28</v>
      </c>
      <c r="C101" t="s">
        <v>55</v>
      </c>
      <c r="D101">
        <v>2019</v>
      </c>
      <c r="E101">
        <f t="shared" si="5"/>
        <v>55</v>
      </c>
      <c r="F101">
        <v>101</v>
      </c>
      <c r="G101" t="s">
        <v>18</v>
      </c>
      <c r="H101" t="str">
        <f t="shared" si="6"/>
        <v>33</v>
      </c>
      <c r="I101" t="str">
        <f t="shared" si="7"/>
        <v>ef</v>
      </c>
      <c r="J101" t="str">
        <f t="shared" si="8"/>
        <v>Line</v>
      </c>
      <c r="K101">
        <v>4637247.7709999997</v>
      </c>
      <c r="L101">
        <v>416797.45899999997</v>
      </c>
      <c r="M101">
        <v>1.1759999999999999</v>
      </c>
    </row>
    <row r="102" spans="1:14" x14ac:dyDescent="0.35">
      <c r="A102" t="s">
        <v>54</v>
      </c>
      <c r="B102">
        <v>28</v>
      </c>
      <c r="C102" t="s">
        <v>55</v>
      </c>
      <c r="D102">
        <v>2019</v>
      </c>
      <c r="E102">
        <f t="shared" si="5"/>
        <v>55</v>
      </c>
      <c r="F102">
        <v>102</v>
      </c>
      <c r="G102" t="s">
        <v>18</v>
      </c>
      <c r="H102" t="str">
        <f t="shared" si="6"/>
        <v>33</v>
      </c>
      <c r="I102" t="str">
        <f t="shared" si="7"/>
        <v>ef</v>
      </c>
      <c r="J102" t="str">
        <f t="shared" si="8"/>
        <v>Line</v>
      </c>
      <c r="K102">
        <v>4637240.8159999996</v>
      </c>
      <c r="L102">
        <v>416803.96899999998</v>
      </c>
      <c r="M102">
        <v>1.196</v>
      </c>
      <c r="N102" t="s">
        <v>26</v>
      </c>
    </row>
    <row r="103" spans="1:14" x14ac:dyDescent="0.35">
      <c r="A103" t="s">
        <v>54</v>
      </c>
      <c r="B103">
        <v>28</v>
      </c>
      <c r="C103" t="s">
        <v>55</v>
      </c>
      <c r="D103">
        <v>2019</v>
      </c>
      <c r="E103">
        <f t="shared" si="5"/>
        <v>55</v>
      </c>
      <c r="F103">
        <v>103</v>
      </c>
      <c r="G103" t="s">
        <v>18</v>
      </c>
      <c r="H103" t="str">
        <f t="shared" si="6"/>
        <v>33</v>
      </c>
      <c r="I103" t="str">
        <f t="shared" si="7"/>
        <v>ef</v>
      </c>
      <c r="J103" t="str">
        <f t="shared" si="8"/>
        <v>Line</v>
      </c>
      <c r="K103">
        <v>4637238.2920000004</v>
      </c>
      <c r="L103">
        <v>416803.81400000001</v>
      </c>
      <c r="M103">
        <v>1.222</v>
      </c>
      <c r="N103" t="s">
        <v>26</v>
      </c>
    </row>
    <row r="104" spans="1:14" x14ac:dyDescent="0.35">
      <c r="A104" t="s">
        <v>54</v>
      </c>
      <c r="B104">
        <v>28</v>
      </c>
      <c r="C104" t="s">
        <v>55</v>
      </c>
      <c r="D104">
        <v>2019</v>
      </c>
      <c r="E104">
        <f t="shared" si="5"/>
        <v>55</v>
      </c>
      <c r="F104">
        <v>104</v>
      </c>
      <c r="G104" t="s">
        <v>18</v>
      </c>
      <c r="H104" t="str">
        <f t="shared" si="6"/>
        <v>33</v>
      </c>
      <c r="I104" t="str">
        <f t="shared" si="7"/>
        <v>ef</v>
      </c>
      <c r="J104" t="str">
        <f t="shared" si="8"/>
        <v>Line</v>
      </c>
      <c r="K104">
        <v>4637243.5029999996</v>
      </c>
      <c r="L104">
        <v>416795.50099999999</v>
      </c>
      <c r="M104">
        <v>1.1559999999999999</v>
      </c>
      <c r="N104" t="s">
        <v>26</v>
      </c>
    </row>
    <row r="105" spans="1:14" x14ac:dyDescent="0.35">
      <c r="A105" t="s">
        <v>54</v>
      </c>
      <c r="B105">
        <v>28</v>
      </c>
      <c r="C105" t="s">
        <v>55</v>
      </c>
      <c r="D105">
        <v>2019</v>
      </c>
      <c r="E105">
        <f t="shared" si="5"/>
        <v>55</v>
      </c>
      <c r="F105">
        <v>105</v>
      </c>
      <c r="G105" t="s">
        <v>18</v>
      </c>
      <c r="H105" t="str">
        <f t="shared" si="6"/>
        <v>33</v>
      </c>
      <c r="I105" t="str">
        <f t="shared" si="7"/>
        <v>ef</v>
      </c>
      <c r="J105" t="str">
        <f t="shared" si="8"/>
        <v>Line</v>
      </c>
      <c r="K105">
        <v>4637233.4610000001</v>
      </c>
      <c r="L105">
        <v>416788.62599999999</v>
      </c>
      <c r="M105">
        <v>1.1759999999999999</v>
      </c>
      <c r="N105" t="s">
        <v>26</v>
      </c>
    </row>
    <row r="106" spans="1:14" x14ac:dyDescent="0.35">
      <c r="A106" t="s">
        <v>54</v>
      </c>
      <c r="B106">
        <v>28</v>
      </c>
      <c r="C106" t="s">
        <v>55</v>
      </c>
      <c r="D106">
        <v>2019</v>
      </c>
      <c r="E106">
        <f t="shared" si="5"/>
        <v>55</v>
      </c>
      <c r="F106">
        <v>106</v>
      </c>
      <c r="G106" t="s">
        <v>18</v>
      </c>
      <c r="H106" t="str">
        <f t="shared" si="6"/>
        <v>33</v>
      </c>
      <c r="I106" t="str">
        <f t="shared" si="7"/>
        <v>ef</v>
      </c>
      <c r="J106" t="str">
        <f t="shared" si="8"/>
        <v>Line</v>
      </c>
      <c r="K106">
        <v>4637249.716</v>
      </c>
      <c r="L106">
        <v>416786.92</v>
      </c>
      <c r="M106">
        <v>1.141</v>
      </c>
      <c r="N106" t="s">
        <v>26</v>
      </c>
    </row>
    <row r="107" spans="1:14" x14ac:dyDescent="0.35">
      <c r="A107" t="s">
        <v>54</v>
      </c>
      <c r="B107">
        <v>28</v>
      </c>
      <c r="C107" t="s">
        <v>55</v>
      </c>
      <c r="D107">
        <v>2019</v>
      </c>
      <c r="E107">
        <f t="shared" si="5"/>
        <v>55</v>
      </c>
      <c r="F107">
        <v>107</v>
      </c>
      <c r="G107" t="s">
        <v>18</v>
      </c>
      <c r="H107" t="str">
        <f t="shared" si="6"/>
        <v>33</v>
      </c>
      <c r="I107" t="str">
        <f t="shared" si="7"/>
        <v>ef</v>
      </c>
      <c r="J107" t="str">
        <f t="shared" si="8"/>
        <v>Line</v>
      </c>
      <c r="K107">
        <v>4637232.7379999999</v>
      </c>
      <c r="L107">
        <v>416783.19</v>
      </c>
      <c r="M107">
        <v>1.1919999999999999</v>
      </c>
      <c r="N107" t="s">
        <v>26</v>
      </c>
    </row>
    <row r="108" spans="1:14" x14ac:dyDescent="0.35">
      <c r="A108" t="s">
        <v>54</v>
      </c>
      <c r="B108">
        <v>28</v>
      </c>
      <c r="C108" t="s">
        <v>55</v>
      </c>
      <c r="D108">
        <v>2019</v>
      </c>
      <c r="E108">
        <f t="shared" si="5"/>
        <v>56</v>
      </c>
      <c r="F108">
        <v>108</v>
      </c>
      <c r="G108" t="s">
        <v>37</v>
      </c>
      <c r="H108" t="str">
        <f t="shared" si="6"/>
        <v>01</v>
      </c>
      <c r="I108" t="str">
        <f t="shared" si="7"/>
        <v>ce</v>
      </c>
      <c r="J108" t="str">
        <f t="shared" si="8"/>
        <v>Line</v>
      </c>
      <c r="K108">
        <v>4637231.8130000001</v>
      </c>
      <c r="L108">
        <v>416784.93300000002</v>
      </c>
      <c r="M108">
        <v>1.1950000000000001</v>
      </c>
    </row>
    <row r="109" spans="1:14" x14ac:dyDescent="0.35">
      <c r="A109" t="s">
        <v>54</v>
      </c>
      <c r="B109">
        <v>28</v>
      </c>
      <c r="C109" t="s">
        <v>55</v>
      </c>
      <c r="D109">
        <v>2019</v>
      </c>
      <c r="E109">
        <f t="shared" si="5"/>
        <v>56</v>
      </c>
      <c r="F109">
        <v>109</v>
      </c>
      <c r="G109" t="s">
        <v>37</v>
      </c>
      <c r="H109" t="str">
        <f t="shared" si="6"/>
        <v>01</v>
      </c>
      <c r="I109" t="str">
        <f t="shared" si="7"/>
        <v>ce</v>
      </c>
      <c r="J109" t="str">
        <f t="shared" si="8"/>
        <v>Line</v>
      </c>
      <c r="K109">
        <v>4637230.9369999999</v>
      </c>
      <c r="L109">
        <v>416791.17700000003</v>
      </c>
      <c r="M109">
        <v>1.218</v>
      </c>
    </row>
    <row r="110" spans="1:14" x14ac:dyDescent="0.35">
      <c r="A110" t="s">
        <v>54</v>
      </c>
      <c r="B110">
        <v>28</v>
      </c>
      <c r="C110" t="s">
        <v>55</v>
      </c>
      <c r="D110">
        <v>2019</v>
      </c>
      <c r="E110">
        <f t="shared" si="5"/>
        <v>57</v>
      </c>
      <c r="F110">
        <v>110</v>
      </c>
      <c r="G110" t="s">
        <v>38</v>
      </c>
      <c r="H110" t="str">
        <f t="shared" si="6"/>
        <v>10</v>
      </c>
      <c r="I110" t="str">
        <f t="shared" si="7"/>
        <v>ae</v>
      </c>
      <c r="J110" t="str">
        <f t="shared" si="8"/>
        <v>Line</v>
      </c>
      <c r="K110">
        <v>4637230.3229999999</v>
      </c>
      <c r="L110">
        <v>416793.03600000002</v>
      </c>
      <c r="M110">
        <v>1.1870000000000001</v>
      </c>
    </row>
    <row r="111" spans="1:14" x14ac:dyDescent="0.35">
      <c r="A111" t="s">
        <v>54</v>
      </c>
      <c r="B111">
        <v>28</v>
      </c>
      <c r="C111" t="s">
        <v>55</v>
      </c>
      <c r="D111">
        <v>2019</v>
      </c>
      <c r="E111">
        <f t="shared" si="5"/>
        <v>57</v>
      </c>
      <c r="F111">
        <v>111</v>
      </c>
      <c r="G111" t="s">
        <v>38</v>
      </c>
      <c r="H111" t="str">
        <f t="shared" si="6"/>
        <v>10</v>
      </c>
      <c r="I111" t="str">
        <f t="shared" si="7"/>
        <v>ae</v>
      </c>
      <c r="J111" t="str">
        <f t="shared" si="8"/>
        <v>Line</v>
      </c>
      <c r="K111">
        <v>4637231.858</v>
      </c>
      <c r="L111">
        <v>416814.26699999999</v>
      </c>
      <c r="M111">
        <v>1.3440000000000001</v>
      </c>
    </row>
    <row r="112" spans="1:14" x14ac:dyDescent="0.35">
      <c r="A112" t="s">
        <v>54</v>
      </c>
      <c r="B112">
        <v>28</v>
      </c>
      <c r="C112" t="s">
        <v>55</v>
      </c>
      <c r="D112">
        <v>2019</v>
      </c>
      <c r="E112">
        <f t="shared" si="5"/>
        <v>58</v>
      </c>
      <c r="F112">
        <v>112</v>
      </c>
      <c r="G112" t="s">
        <v>39</v>
      </c>
      <c r="H112" t="str">
        <f t="shared" si="6"/>
        <v>06</v>
      </c>
      <c r="I112" t="str">
        <f t="shared" si="7"/>
        <v>ae</v>
      </c>
      <c r="J112" t="str">
        <f t="shared" si="8"/>
        <v>Line</v>
      </c>
      <c r="K112">
        <v>4637231.5149999997</v>
      </c>
      <c r="L112">
        <v>416816.30699999997</v>
      </c>
      <c r="M112">
        <v>1.3540000000000001</v>
      </c>
    </row>
    <row r="113" spans="1:14" x14ac:dyDescent="0.35">
      <c r="A113" t="s">
        <v>54</v>
      </c>
      <c r="B113">
        <v>28</v>
      </c>
      <c r="C113" t="s">
        <v>55</v>
      </c>
      <c r="D113">
        <v>2019</v>
      </c>
      <c r="E113">
        <f t="shared" si="5"/>
        <v>58</v>
      </c>
      <c r="F113">
        <v>113</v>
      </c>
      <c r="G113" t="s">
        <v>39</v>
      </c>
      <c r="H113" t="str">
        <f t="shared" si="6"/>
        <v>06</v>
      </c>
      <c r="I113" t="str">
        <f t="shared" si="7"/>
        <v>ae</v>
      </c>
      <c r="J113" t="str">
        <f t="shared" si="8"/>
        <v>Line</v>
      </c>
      <c r="K113">
        <v>4637227.6229999997</v>
      </c>
      <c r="L113">
        <v>416823.94099999999</v>
      </c>
      <c r="M113">
        <v>1.448</v>
      </c>
    </row>
    <row r="114" spans="1:14" x14ac:dyDescent="0.35">
      <c r="A114" t="s">
        <v>54</v>
      </c>
      <c r="B114">
        <v>28</v>
      </c>
      <c r="C114" t="s">
        <v>55</v>
      </c>
      <c r="D114">
        <v>2019</v>
      </c>
      <c r="E114">
        <f t="shared" si="5"/>
        <v>59</v>
      </c>
      <c r="F114">
        <v>114</v>
      </c>
      <c r="G114" t="s">
        <v>29</v>
      </c>
      <c r="H114" t="str">
        <f t="shared" si="6"/>
        <v>10</v>
      </c>
      <c r="I114" t="str">
        <f t="shared" si="7"/>
        <v>a</v>
      </c>
      <c r="J114" t="str">
        <f t="shared" si="8"/>
        <v>MU</v>
      </c>
      <c r="K114">
        <v>4637227.1229999997</v>
      </c>
      <c r="L114">
        <v>416825.74</v>
      </c>
      <c r="M114">
        <v>1.5389999999999999</v>
      </c>
      <c r="N114" t="s">
        <v>5</v>
      </c>
    </row>
    <row r="115" spans="1:14" x14ac:dyDescent="0.35">
      <c r="A115" t="s">
        <v>54</v>
      </c>
      <c r="B115">
        <v>28</v>
      </c>
      <c r="C115" t="s">
        <v>55</v>
      </c>
      <c r="D115">
        <v>2019</v>
      </c>
      <c r="E115">
        <f t="shared" si="5"/>
        <v>60</v>
      </c>
      <c r="F115">
        <v>115</v>
      </c>
      <c r="G115" t="s">
        <v>39</v>
      </c>
      <c r="H115" t="str">
        <f t="shared" si="6"/>
        <v>06</v>
      </c>
      <c r="I115" t="str">
        <f t="shared" si="7"/>
        <v>ae</v>
      </c>
      <c r="J115" t="str">
        <f t="shared" si="8"/>
        <v>Line</v>
      </c>
      <c r="K115">
        <v>4637224.9419999998</v>
      </c>
      <c r="L115">
        <v>416824.821</v>
      </c>
      <c r="M115">
        <v>1.5289999999999999</v>
      </c>
    </row>
    <row r="116" spans="1:14" x14ac:dyDescent="0.35">
      <c r="A116" t="s">
        <v>54</v>
      </c>
      <c r="B116">
        <v>28</v>
      </c>
      <c r="C116" t="s">
        <v>55</v>
      </c>
      <c r="D116">
        <v>2019</v>
      </c>
      <c r="E116">
        <f t="shared" si="5"/>
        <v>60</v>
      </c>
      <c r="F116">
        <v>116</v>
      </c>
      <c r="G116" t="s">
        <v>39</v>
      </c>
      <c r="H116" t="str">
        <f t="shared" si="6"/>
        <v>06</v>
      </c>
      <c r="I116" t="str">
        <f t="shared" si="7"/>
        <v>ae</v>
      </c>
      <c r="J116" t="str">
        <f t="shared" si="8"/>
        <v>Line</v>
      </c>
      <c r="K116">
        <v>4637211.585</v>
      </c>
      <c r="L116">
        <v>416816.39</v>
      </c>
      <c r="M116">
        <v>1.3360000000000001</v>
      </c>
    </row>
    <row r="117" spans="1:14" x14ac:dyDescent="0.35">
      <c r="A117" t="s">
        <v>54</v>
      </c>
      <c r="B117">
        <v>28</v>
      </c>
      <c r="C117" t="s">
        <v>55</v>
      </c>
      <c r="D117">
        <v>2019</v>
      </c>
      <c r="E117">
        <f t="shared" si="5"/>
        <v>61</v>
      </c>
      <c r="F117">
        <v>117</v>
      </c>
      <c r="G117" t="s">
        <v>38</v>
      </c>
      <c r="H117" t="str">
        <f t="shared" si="6"/>
        <v>10</v>
      </c>
      <c r="I117" t="str">
        <f t="shared" si="7"/>
        <v>ae</v>
      </c>
      <c r="J117" t="str">
        <f t="shared" si="8"/>
        <v>Line</v>
      </c>
      <c r="K117">
        <v>4637209.9170000004</v>
      </c>
      <c r="L117">
        <v>416815.674</v>
      </c>
      <c r="M117">
        <v>1.3140000000000001</v>
      </c>
    </row>
    <row r="118" spans="1:14" x14ac:dyDescent="0.35">
      <c r="A118" t="s">
        <v>54</v>
      </c>
      <c r="B118">
        <v>28</v>
      </c>
      <c r="C118" t="s">
        <v>55</v>
      </c>
      <c r="D118">
        <v>2019</v>
      </c>
      <c r="E118">
        <f t="shared" si="5"/>
        <v>61</v>
      </c>
      <c r="F118">
        <v>118</v>
      </c>
      <c r="G118" t="s">
        <v>38</v>
      </c>
      <c r="H118" t="str">
        <f t="shared" si="6"/>
        <v>10</v>
      </c>
      <c r="I118" t="str">
        <f t="shared" si="7"/>
        <v>ae</v>
      </c>
      <c r="J118" t="str">
        <f t="shared" si="8"/>
        <v>Line</v>
      </c>
      <c r="K118">
        <v>4637209.6710000001</v>
      </c>
      <c r="L118">
        <v>416780.10700000002</v>
      </c>
      <c r="M118">
        <v>1.1559999999999999</v>
      </c>
    </row>
    <row r="119" spans="1:14" x14ac:dyDescent="0.35">
      <c r="A119" t="s">
        <v>54</v>
      </c>
      <c r="B119">
        <v>28</v>
      </c>
      <c r="C119" t="s">
        <v>55</v>
      </c>
      <c r="D119">
        <v>2019</v>
      </c>
      <c r="E119">
        <f t="shared" si="5"/>
        <v>62</v>
      </c>
      <c r="F119">
        <v>119</v>
      </c>
      <c r="G119" t="s">
        <v>20</v>
      </c>
      <c r="H119" t="str">
        <f t="shared" si="6"/>
        <v>01</v>
      </c>
      <c r="I119" t="str">
        <f t="shared" si="7"/>
        <v>ae</v>
      </c>
      <c r="J119" t="str">
        <f t="shared" si="8"/>
        <v>Line</v>
      </c>
      <c r="K119">
        <v>4637209.0259999996</v>
      </c>
      <c r="L119">
        <v>416778.39799999999</v>
      </c>
      <c r="M119">
        <v>1.1140000000000001</v>
      </c>
    </row>
    <row r="120" spans="1:14" x14ac:dyDescent="0.35">
      <c r="A120" t="s">
        <v>54</v>
      </c>
      <c r="B120">
        <v>28</v>
      </c>
      <c r="C120" t="s">
        <v>55</v>
      </c>
      <c r="D120">
        <v>2019</v>
      </c>
      <c r="E120">
        <f t="shared" si="5"/>
        <v>62</v>
      </c>
      <c r="F120">
        <v>119</v>
      </c>
      <c r="G120" t="s">
        <v>20</v>
      </c>
      <c r="H120" t="str">
        <f t="shared" si="6"/>
        <v>01</v>
      </c>
      <c r="I120" t="str">
        <f t="shared" si="7"/>
        <v>ae</v>
      </c>
      <c r="J120" t="str">
        <f t="shared" si="8"/>
        <v>Line</v>
      </c>
      <c r="K120">
        <v>4637209.0259999996</v>
      </c>
      <c r="L120">
        <v>416778.39799999999</v>
      </c>
      <c r="M120">
        <v>1.1140000000000001</v>
      </c>
    </row>
    <row r="121" spans="1:14" x14ac:dyDescent="0.35">
      <c r="A121" t="s">
        <v>54</v>
      </c>
      <c r="B121">
        <v>28</v>
      </c>
      <c r="C121" t="s">
        <v>55</v>
      </c>
      <c r="D121">
        <v>2019</v>
      </c>
      <c r="E121">
        <f t="shared" si="5"/>
        <v>62</v>
      </c>
      <c r="F121">
        <v>120</v>
      </c>
      <c r="G121" t="s">
        <v>20</v>
      </c>
      <c r="H121" t="str">
        <f t="shared" si="6"/>
        <v>01</v>
      </c>
      <c r="I121" t="str">
        <f t="shared" si="7"/>
        <v>ae</v>
      </c>
      <c r="J121" t="str">
        <f t="shared" si="8"/>
        <v>Line</v>
      </c>
      <c r="K121">
        <v>4637212.58</v>
      </c>
      <c r="L121">
        <v>416773.54</v>
      </c>
      <c r="M121">
        <v>1.1439999999999999</v>
      </c>
    </row>
    <row r="122" spans="1:14" x14ac:dyDescent="0.35">
      <c r="A122" t="s">
        <v>54</v>
      </c>
      <c r="B122">
        <v>28</v>
      </c>
      <c r="C122" t="s">
        <v>55</v>
      </c>
      <c r="D122">
        <v>2019</v>
      </c>
      <c r="E122">
        <f t="shared" si="5"/>
        <v>62</v>
      </c>
      <c r="F122">
        <v>120</v>
      </c>
      <c r="G122" t="s">
        <v>20</v>
      </c>
      <c r="H122" t="str">
        <f t="shared" si="6"/>
        <v>01</v>
      </c>
      <c r="I122" t="str">
        <f t="shared" si="7"/>
        <v>ae</v>
      </c>
      <c r="J122" t="str">
        <f t="shared" si="8"/>
        <v>Line</v>
      </c>
      <c r="K122">
        <v>4637212.58</v>
      </c>
      <c r="L122">
        <v>416773.54</v>
      </c>
      <c r="M122">
        <v>1.1439999999999999</v>
      </c>
    </row>
    <row r="123" spans="1:14" x14ac:dyDescent="0.35">
      <c r="A123" t="s">
        <v>54</v>
      </c>
      <c r="B123">
        <v>28</v>
      </c>
      <c r="C123" t="s">
        <v>55</v>
      </c>
      <c r="D123">
        <v>2019</v>
      </c>
      <c r="E123">
        <f t="shared" si="5"/>
        <v>62</v>
      </c>
      <c r="F123">
        <v>121</v>
      </c>
      <c r="G123" t="s">
        <v>20</v>
      </c>
      <c r="H123" t="str">
        <f t="shared" si="6"/>
        <v>01</v>
      </c>
      <c r="I123" t="str">
        <f t="shared" si="7"/>
        <v>ae</v>
      </c>
      <c r="J123" t="str">
        <f t="shared" si="8"/>
        <v>Line</v>
      </c>
      <c r="K123">
        <v>4637214.41</v>
      </c>
      <c r="L123">
        <v>416774.1</v>
      </c>
      <c r="M123">
        <v>1.0649999999999999</v>
      </c>
    </row>
    <row r="124" spans="1:14" x14ac:dyDescent="0.35">
      <c r="A124" t="s">
        <v>54</v>
      </c>
      <c r="B124">
        <v>28</v>
      </c>
      <c r="C124" t="s">
        <v>55</v>
      </c>
      <c r="D124">
        <v>2019</v>
      </c>
      <c r="E124">
        <f t="shared" si="5"/>
        <v>63</v>
      </c>
      <c r="F124">
        <v>122</v>
      </c>
      <c r="G124" t="s">
        <v>40</v>
      </c>
      <c r="H124" t="str">
        <f t="shared" si="6"/>
        <v>33</v>
      </c>
      <c r="I124" t="str">
        <f t="shared" si="7"/>
        <v>e</v>
      </c>
      <c r="J124" t="str">
        <f t="shared" si="8"/>
        <v>Line</v>
      </c>
      <c r="K124">
        <v>4637214.9809999997</v>
      </c>
      <c r="L124">
        <v>416775.799</v>
      </c>
      <c r="M124">
        <v>1.115</v>
      </c>
    </row>
    <row r="125" spans="1:14" x14ac:dyDescent="0.35">
      <c r="A125" t="s">
        <v>54</v>
      </c>
      <c r="B125">
        <v>28</v>
      </c>
      <c r="C125" t="s">
        <v>55</v>
      </c>
      <c r="D125">
        <v>2019</v>
      </c>
      <c r="E125">
        <f t="shared" si="5"/>
        <v>63</v>
      </c>
      <c r="F125">
        <v>123</v>
      </c>
      <c r="G125" t="s">
        <v>40</v>
      </c>
      <c r="H125" t="str">
        <f t="shared" si="6"/>
        <v>33</v>
      </c>
      <c r="I125" t="str">
        <f t="shared" si="7"/>
        <v>e</v>
      </c>
      <c r="J125" t="str">
        <f t="shared" si="8"/>
        <v>Line</v>
      </c>
      <c r="K125">
        <v>4637215.4939999999</v>
      </c>
      <c r="L125">
        <v>416778.81800000003</v>
      </c>
      <c r="M125">
        <v>1.167</v>
      </c>
    </row>
    <row r="126" spans="1:14" x14ac:dyDescent="0.35">
      <c r="A126" t="s">
        <v>54</v>
      </c>
      <c r="B126">
        <v>28</v>
      </c>
      <c r="C126" t="s">
        <v>55</v>
      </c>
      <c r="D126">
        <v>2019</v>
      </c>
      <c r="E126">
        <f t="shared" si="5"/>
        <v>64</v>
      </c>
      <c r="F126">
        <v>124</v>
      </c>
      <c r="G126" t="s">
        <v>38</v>
      </c>
      <c r="H126" t="str">
        <f t="shared" si="6"/>
        <v>10</v>
      </c>
      <c r="I126" t="str">
        <f t="shared" si="7"/>
        <v>ae</v>
      </c>
      <c r="J126" t="str">
        <f t="shared" si="8"/>
        <v>Line</v>
      </c>
      <c r="K126">
        <v>4637215.7790000001</v>
      </c>
      <c r="L126">
        <v>416780.337</v>
      </c>
      <c r="M126">
        <v>1.135</v>
      </c>
    </row>
    <row r="127" spans="1:14" x14ac:dyDescent="0.35">
      <c r="A127" t="s">
        <v>54</v>
      </c>
      <c r="B127">
        <v>28</v>
      </c>
      <c r="C127" t="s">
        <v>55</v>
      </c>
      <c r="D127">
        <v>2019</v>
      </c>
      <c r="E127">
        <f t="shared" si="5"/>
        <v>64</v>
      </c>
      <c r="F127">
        <v>125</v>
      </c>
      <c r="G127" t="s">
        <v>38</v>
      </c>
      <c r="H127" t="str">
        <f t="shared" si="6"/>
        <v>10</v>
      </c>
      <c r="I127" t="str">
        <f t="shared" si="7"/>
        <v>ae</v>
      </c>
      <c r="J127" t="str">
        <f t="shared" si="8"/>
        <v>Line</v>
      </c>
      <c r="K127">
        <v>4637224.08</v>
      </c>
      <c r="L127">
        <v>416812.74800000002</v>
      </c>
      <c r="M127">
        <v>1.371</v>
      </c>
    </row>
    <row r="128" spans="1:14" x14ac:dyDescent="0.35">
      <c r="A128" t="s">
        <v>54</v>
      </c>
      <c r="B128">
        <v>28</v>
      </c>
      <c r="C128" t="s">
        <v>55</v>
      </c>
      <c r="D128">
        <v>2019</v>
      </c>
      <c r="E128">
        <f t="shared" si="5"/>
        <v>65</v>
      </c>
      <c r="F128">
        <v>126</v>
      </c>
      <c r="G128" t="s">
        <v>39</v>
      </c>
      <c r="H128" t="str">
        <f t="shared" si="6"/>
        <v>06</v>
      </c>
      <c r="I128" t="str">
        <f t="shared" si="7"/>
        <v>ae</v>
      </c>
      <c r="J128" t="str">
        <f t="shared" si="8"/>
        <v>MU</v>
      </c>
      <c r="K128">
        <v>4637224.818</v>
      </c>
      <c r="L128">
        <v>416814.98100000003</v>
      </c>
      <c r="M128">
        <v>1.3660000000000001</v>
      </c>
      <c r="N128" t="s">
        <v>5</v>
      </c>
    </row>
    <row r="129" spans="1:14" x14ac:dyDescent="0.35">
      <c r="A129" t="s">
        <v>54</v>
      </c>
      <c r="B129">
        <v>28</v>
      </c>
      <c r="C129" t="s">
        <v>55</v>
      </c>
      <c r="D129">
        <v>2019</v>
      </c>
      <c r="E129">
        <f t="shared" si="5"/>
        <v>66</v>
      </c>
      <c r="F129">
        <v>127</v>
      </c>
      <c r="G129" t="s">
        <v>38</v>
      </c>
      <c r="H129" t="str">
        <f t="shared" si="6"/>
        <v>10</v>
      </c>
      <c r="I129" t="str">
        <f t="shared" si="7"/>
        <v>ae</v>
      </c>
      <c r="J129" t="str">
        <f t="shared" si="8"/>
        <v>MU</v>
      </c>
      <c r="K129">
        <v>4637224.7709999997</v>
      </c>
      <c r="L129">
        <v>416816.58500000002</v>
      </c>
      <c r="M129">
        <v>1.3660000000000001</v>
      </c>
      <c r="N129" t="s">
        <v>5</v>
      </c>
    </row>
    <row r="130" spans="1:14" x14ac:dyDescent="0.35">
      <c r="A130" t="s">
        <v>54</v>
      </c>
      <c r="B130">
        <v>28</v>
      </c>
      <c r="C130" t="s">
        <v>55</v>
      </c>
      <c r="D130">
        <v>2019</v>
      </c>
      <c r="E130">
        <f t="shared" si="5"/>
        <v>67</v>
      </c>
      <c r="F130">
        <v>128</v>
      </c>
      <c r="G130" t="s">
        <v>39</v>
      </c>
      <c r="H130" t="str">
        <f t="shared" si="6"/>
        <v>06</v>
      </c>
      <c r="I130" t="str">
        <f t="shared" si="7"/>
        <v>ae</v>
      </c>
      <c r="J130" t="str">
        <f t="shared" si="8"/>
        <v>MU</v>
      </c>
      <c r="K130">
        <v>4637225.0939999996</v>
      </c>
      <c r="L130">
        <v>416817.81199999998</v>
      </c>
      <c r="M130">
        <v>1.42</v>
      </c>
      <c r="N130" t="s">
        <v>5</v>
      </c>
    </row>
    <row r="131" spans="1:14" x14ac:dyDescent="0.35">
      <c r="A131" t="s">
        <v>54</v>
      </c>
      <c r="B131">
        <v>28</v>
      </c>
      <c r="C131" t="s">
        <v>55</v>
      </c>
      <c r="D131">
        <v>2019</v>
      </c>
      <c r="E131">
        <f t="shared" ref="E131:E163" si="9">IF(G131=G130,E130,E130+1)</f>
        <v>68</v>
      </c>
      <c r="F131">
        <v>129</v>
      </c>
      <c r="G131" t="s">
        <v>38</v>
      </c>
      <c r="H131" t="str">
        <f t="shared" ref="H131:H163" si="10">LEFT(G131,2)</f>
        <v>10</v>
      </c>
      <c r="I131" t="str">
        <f t="shared" ref="I131:I163" si="11">RIGHT(G131,LEN(G131)-LEN(H131))</f>
        <v>ae</v>
      </c>
      <c r="J131" t="str">
        <f t="shared" ref="J131:J163" si="12">IF(OR((E131=E132),(E131=E130)),"Line","MU")</f>
        <v>MU</v>
      </c>
      <c r="K131">
        <v>4637225.665</v>
      </c>
      <c r="L131">
        <v>416818.76899999997</v>
      </c>
      <c r="M131">
        <v>1.4239999999999999</v>
      </c>
      <c r="N131" t="s">
        <v>5</v>
      </c>
    </row>
    <row r="132" spans="1:14" x14ac:dyDescent="0.35">
      <c r="A132" t="s">
        <v>54</v>
      </c>
      <c r="B132">
        <v>28</v>
      </c>
      <c r="C132" t="s">
        <v>55</v>
      </c>
      <c r="D132">
        <v>2019</v>
      </c>
      <c r="E132">
        <f t="shared" si="9"/>
        <v>69</v>
      </c>
      <c r="F132">
        <v>130</v>
      </c>
      <c r="G132" t="s">
        <v>39</v>
      </c>
      <c r="H132" t="str">
        <f t="shared" si="10"/>
        <v>06</v>
      </c>
      <c r="I132" t="str">
        <f t="shared" si="11"/>
        <v>ae</v>
      </c>
      <c r="J132" t="str">
        <f t="shared" si="12"/>
        <v>MU</v>
      </c>
      <c r="K132">
        <v>4637225.983</v>
      </c>
      <c r="L132">
        <v>416820.152</v>
      </c>
      <c r="M132">
        <v>1.446</v>
      </c>
    </row>
    <row r="133" spans="1:14" x14ac:dyDescent="0.35">
      <c r="A133" t="s">
        <v>54</v>
      </c>
      <c r="B133">
        <v>28</v>
      </c>
      <c r="C133" t="s">
        <v>55</v>
      </c>
      <c r="D133">
        <v>2019</v>
      </c>
      <c r="E133">
        <f t="shared" si="9"/>
        <v>70</v>
      </c>
      <c r="F133">
        <v>131</v>
      </c>
      <c r="G133" t="s">
        <v>4</v>
      </c>
      <c r="H133" t="str">
        <f t="shared" si="10"/>
        <v>06</v>
      </c>
      <c r="I133" t="str">
        <f t="shared" si="11"/>
        <v>a</v>
      </c>
      <c r="J133" t="str">
        <f t="shared" si="12"/>
        <v>MU</v>
      </c>
      <c r="K133">
        <v>4637226.9469999997</v>
      </c>
      <c r="L133">
        <v>416824.511</v>
      </c>
      <c r="M133">
        <v>1.466</v>
      </c>
    </row>
    <row r="134" spans="1:14" x14ac:dyDescent="0.35">
      <c r="A134" t="s">
        <v>54</v>
      </c>
      <c r="B134">
        <v>28</v>
      </c>
      <c r="C134" t="s">
        <v>55</v>
      </c>
      <c r="D134">
        <v>2019</v>
      </c>
      <c r="E134">
        <f t="shared" si="9"/>
        <v>71</v>
      </c>
      <c r="F134">
        <v>132</v>
      </c>
      <c r="G134" t="s">
        <v>20</v>
      </c>
      <c r="H134" t="str">
        <f t="shared" si="10"/>
        <v>01</v>
      </c>
      <c r="I134" t="str">
        <f t="shared" si="11"/>
        <v>ae</v>
      </c>
      <c r="J134" t="str">
        <f t="shared" si="12"/>
        <v>Line</v>
      </c>
      <c r="K134">
        <v>4637290.7170000002</v>
      </c>
      <c r="L134">
        <v>416744.28899999999</v>
      </c>
      <c r="M134">
        <v>1.482</v>
      </c>
      <c r="N134" t="s">
        <v>41</v>
      </c>
    </row>
    <row r="135" spans="1:14" x14ac:dyDescent="0.35">
      <c r="A135" t="s">
        <v>54</v>
      </c>
      <c r="B135">
        <v>28</v>
      </c>
      <c r="C135" t="s">
        <v>55</v>
      </c>
      <c r="D135">
        <v>2019</v>
      </c>
      <c r="E135">
        <f t="shared" si="9"/>
        <v>71</v>
      </c>
      <c r="F135">
        <v>133</v>
      </c>
      <c r="G135" t="s">
        <v>20</v>
      </c>
      <c r="H135" t="str">
        <f t="shared" si="10"/>
        <v>01</v>
      </c>
      <c r="I135" t="str">
        <f t="shared" si="11"/>
        <v>ae</v>
      </c>
      <c r="J135" t="str">
        <f t="shared" si="12"/>
        <v>Line</v>
      </c>
      <c r="K135">
        <v>4637284.8389999997</v>
      </c>
      <c r="L135">
        <v>416751.87199999997</v>
      </c>
      <c r="M135">
        <v>1.393</v>
      </c>
    </row>
    <row r="136" spans="1:14" x14ac:dyDescent="0.35">
      <c r="A136" t="s">
        <v>54</v>
      </c>
      <c r="B136">
        <v>28</v>
      </c>
      <c r="C136" t="s">
        <v>55</v>
      </c>
      <c r="D136">
        <v>2019</v>
      </c>
      <c r="E136">
        <f t="shared" si="9"/>
        <v>72</v>
      </c>
      <c r="F136">
        <v>134</v>
      </c>
      <c r="G136" t="s">
        <v>42</v>
      </c>
      <c r="H136" t="str">
        <f t="shared" si="10"/>
        <v>01</v>
      </c>
      <c r="I136" t="str">
        <f t="shared" si="11"/>
        <v>ace</v>
      </c>
      <c r="J136" t="str">
        <f t="shared" si="12"/>
        <v>Line</v>
      </c>
      <c r="K136">
        <v>4637283.9910000004</v>
      </c>
      <c r="L136">
        <v>416753.01799999998</v>
      </c>
      <c r="M136">
        <v>1.409</v>
      </c>
    </row>
    <row r="137" spans="1:14" x14ac:dyDescent="0.35">
      <c r="A137" t="s">
        <v>54</v>
      </c>
      <c r="B137">
        <v>28</v>
      </c>
      <c r="C137" t="s">
        <v>55</v>
      </c>
      <c r="D137">
        <v>2019</v>
      </c>
      <c r="E137">
        <f t="shared" si="9"/>
        <v>72</v>
      </c>
      <c r="F137">
        <v>135</v>
      </c>
      <c r="G137" t="s">
        <v>42</v>
      </c>
      <c r="H137" t="str">
        <f t="shared" si="10"/>
        <v>01</v>
      </c>
      <c r="I137" t="str">
        <f t="shared" si="11"/>
        <v>ace</v>
      </c>
      <c r="J137" t="str">
        <f t="shared" si="12"/>
        <v>Line</v>
      </c>
      <c r="K137">
        <v>4637282.7640000004</v>
      </c>
      <c r="L137">
        <v>416754.92</v>
      </c>
      <c r="M137">
        <v>1.321</v>
      </c>
    </row>
    <row r="138" spans="1:14" x14ac:dyDescent="0.35">
      <c r="A138" t="s">
        <v>54</v>
      </c>
      <c r="B138">
        <v>28</v>
      </c>
      <c r="C138" t="s">
        <v>55</v>
      </c>
      <c r="D138">
        <v>2019</v>
      </c>
      <c r="E138">
        <f t="shared" si="9"/>
        <v>73</v>
      </c>
      <c r="F138">
        <v>136</v>
      </c>
      <c r="G138" t="s">
        <v>25</v>
      </c>
      <c r="H138" t="str">
        <f t="shared" si="10"/>
        <v>01</v>
      </c>
      <c r="I138" t="str">
        <f t="shared" si="11"/>
        <v>aef</v>
      </c>
      <c r="J138" t="str">
        <f t="shared" si="12"/>
        <v>MU</v>
      </c>
      <c r="K138">
        <v>4637281.949</v>
      </c>
      <c r="L138">
        <v>416756.092</v>
      </c>
      <c r="M138">
        <v>1.2889999999999999</v>
      </c>
    </row>
    <row r="139" spans="1:14" x14ac:dyDescent="0.35">
      <c r="A139" t="s">
        <v>54</v>
      </c>
      <c r="B139">
        <v>28</v>
      </c>
      <c r="C139" t="s">
        <v>55</v>
      </c>
      <c r="D139">
        <v>2019</v>
      </c>
      <c r="E139">
        <f t="shared" si="9"/>
        <v>74</v>
      </c>
      <c r="F139">
        <v>137</v>
      </c>
      <c r="G139" t="s">
        <v>20</v>
      </c>
      <c r="H139" t="str">
        <f t="shared" si="10"/>
        <v>01</v>
      </c>
      <c r="I139" t="str">
        <f t="shared" si="11"/>
        <v>ae</v>
      </c>
      <c r="J139" t="str">
        <f t="shared" si="12"/>
        <v>Line</v>
      </c>
      <c r="K139">
        <v>4637272.9349999996</v>
      </c>
      <c r="L139">
        <v>416764.06300000002</v>
      </c>
      <c r="M139">
        <v>1.274</v>
      </c>
    </row>
    <row r="140" spans="1:14" x14ac:dyDescent="0.35">
      <c r="A140" t="s">
        <v>54</v>
      </c>
      <c r="B140">
        <v>28</v>
      </c>
      <c r="C140" t="s">
        <v>55</v>
      </c>
      <c r="D140">
        <v>2019</v>
      </c>
      <c r="E140">
        <f t="shared" si="9"/>
        <v>74</v>
      </c>
      <c r="F140">
        <v>138</v>
      </c>
      <c r="G140" t="s">
        <v>20</v>
      </c>
      <c r="H140" t="str">
        <f t="shared" si="10"/>
        <v>01</v>
      </c>
      <c r="I140" t="str">
        <f t="shared" si="11"/>
        <v>ae</v>
      </c>
      <c r="J140" t="str">
        <f t="shared" si="12"/>
        <v>Line</v>
      </c>
      <c r="K140">
        <v>4637266.9340000004</v>
      </c>
      <c r="L140">
        <v>416776.33299999998</v>
      </c>
      <c r="M140">
        <v>1.177</v>
      </c>
    </row>
    <row r="141" spans="1:14" x14ac:dyDescent="0.35">
      <c r="A141" t="s">
        <v>54</v>
      </c>
      <c r="B141">
        <v>28</v>
      </c>
      <c r="C141" t="s">
        <v>55</v>
      </c>
      <c r="D141">
        <v>2019</v>
      </c>
      <c r="E141">
        <f t="shared" si="9"/>
        <v>75</v>
      </c>
      <c r="F141">
        <v>139</v>
      </c>
      <c r="G141" t="s">
        <v>43</v>
      </c>
      <c r="H141" t="str">
        <f t="shared" si="10"/>
        <v>25</v>
      </c>
      <c r="I141" t="str">
        <f t="shared" si="11"/>
        <v>fj</v>
      </c>
      <c r="J141" t="str">
        <f t="shared" si="12"/>
        <v>MU</v>
      </c>
      <c r="K141">
        <v>4637265.9239999996</v>
      </c>
      <c r="L141">
        <v>416778.136</v>
      </c>
      <c r="M141">
        <v>1.1200000000000001</v>
      </c>
    </row>
    <row r="142" spans="1:14" x14ac:dyDescent="0.35">
      <c r="A142" t="s">
        <v>54</v>
      </c>
      <c r="B142">
        <v>28</v>
      </c>
      <c r="C142" t="s">
        <v>55</v>
      </c>
      <c r="D142">
        <v>2019</v>
      </c>
      <c r="E142">
        <f t="shared" si="9"/>
        <v>76</v>
      </c>
      <c r="F142">
        <v>140</v>
      </c>
      <c r="G142" t="s">
        <v>33</v>
      </c>
      <c r="H142" t="str">
        <f t="shared" si="10"/>
        <v>01</v>
      </c>
      <c r="I142" t="str">
        <f t="shared" si="11"/>
        <v>bce</v>
      </c>
      <c r="J142" t="str">
        <f t="shared" si="12"/>
        <v>Line</v>
      </c>
      <c r="K142">
        <v>4637264.8760000002</v>
      </c>
      <c r="L142">
        <v>416779.70600000001</v>
      </c>
      <c r="M142">
        <v>1.1579999999999999</v>
      </c>
    </row>
    <row r="143" spans="1:14" x14ac:dyDescent="0.35">
      <c r="A143" t="s">
        <v>54</v>
      </c>
      <c r="B143">
        <v>28</v>
      </c>
      <c r="C143" t="s">
        <v>55</v>
      </c>
      <c r="D143">
        <v>2019</v>
      </c>
      <c r="E143">
        <f t="shared" si="9"/>
        <v>76</v>
      </c>
      <c r="F143">
        <v>141</v>
      </c>
      <c r="G143" t="s">
        <v>33</v>
      </c>
      <c r="H143" t="str">
        <f t="shared" si="10"/>
        <v>01</v>
      </c>
      <c r="I143" t="str">
        <f t="shared" si="11"/>
        <v>bce</v>
      </c>
      <c r="J143" t="str">
        <f t="shared" si="12"/>
        <v>Line</v>
      </c>
      <c r="K143">
        <v>4637261.5930000003</v>
      </c>
      <c r="L143">
        <v>416784.89799999999</v>
      </c>
      <c r="M143">
        <v>1.1559999999999999</v>
      </c>
    </row>
    <row r="144" spans="1:14" x14ac:dyDescent="0.35">
      <c r="A144" t="s">
        <v>54</v>
      </c>
      <c r="B144">
        <v>28</v>
      </c>
      <c r="C144" t="s">
        <v>55</v>
      </c>
      <c r="D144">
        <v>2019</v>
      </c>
      <c r="E144">
        <f t="shared" si="9"/>
        <v>77</v>
      </c>
      <c r="F144">
        <v>142</v>
      </c>
      <c r="G144" t="s">
        <v>42</v>
      </c>
      <c r="H144" t="str">
        <f t="shared" si="10"/>
        <v>01</v>
      </c>
      <c r="I144" t="str">
        <f t="shared" si="11"/>
        <v>ace</v>
      </c>
      <c r="J144" t="str">
        <f t="shared" si="12"/>
        <v>Line</v>
      </c>
      <c r="K144">
        <v>4637260.7649999997</v>
      </c>
      <c r="L144">
        <v>416786.19900000002</v>
      </c>
      <c r="M144">
        <v>1.1830000000000001</v>
      </c>
    </row>
    <row r="145" spans="1:13" x14ac:dyDescent="0.35">
      <c r="A145" t="s">
        <v>54</v>
      </c>
      <c r="B145">
        <v>28</v>
      </c>
      <c r="C145" t="s">
        <v>55</v>
      </c>
      <c r="D145">
        <v>2019</v>
      </c>
      <c r="E145">
        <f t="shared" si="9"/>
        <v>77</v>
      </c>
      <c r="F145">
        <v>143</v>
      </c>
      <c r="G145" t="s">
        <v>42</v>
      </c>
      <c r="H145" t="str">
        <f t="shared" si="10"/>
        <v>01</v>
      </c>
      <c r="I145" t="str">
        <f t="shared" si="11"/>
        <v>ace</v>
      </c>
      <c r="J145" t="str">
        <f t="shared" si="12"/>
        <v>Line</v>
      </c>
      <c r="K145">
        <v>4637259.5820000004</v>
      </c>
      <c r="L145">
        <v>416788.07299999997</v>
      </c>
      <c r="M145">
        <v>1.1819999999999999</v>
      </c>
    </row>
    <row r="146" spans="1:13" x14ac:dyDescent="0.35">
      <c r="A146" t="s">
        <v>54</v>
      </c>
      <c r="B146">
        <v>28</v>
      </c>
      <c r="C146" t="s">
        <v>55</v>
      </c>
      <c r="D146">
        <v>2019</v>
      </c>
      <c r="E146">
        <f t="shared" si="9"/>
        <v>78</v>
      </c>
      <c r="F146">
        <v>144</v>
      </c>
      <c r="G146" t="s">
        <v>20</v>
      </c>
      <c r="H146" t="str">
        <f t="shared" si="10"/>
        <v>01</v>
      </c>
      <c r="I146" t="str">
        <f t="shared" si="11"/>
        <v>ae</v>
      </c>
      <c r="J146" t="str">
        <f t="shared" si="12"/>
        <v>Line</v>
      </c>
      <c r="K146">
        <v>4637258.95</v>
      </c>
      <c r="L146">
        <v>416789.23100000003</v>
      </c>
      <c r="M146">
        <v>1.2210000000000001</v>
      </c>
    </row>
    <row r="147" spans="1:13" x14ac:dyDescent="0.35">
      <c r="A147" t="s">
        <v>54</v>
      </c>
      <c r="B147">
        <v>28</v>
      </c>
      <c r="C147" t="s">
        <v>55</v>
      </c>
      <c r="D147">
        <v>2019</v>
      </c>
      <c r="E147">
        <f t="shared" si="9"/>
        <v>78</v>
      </c>
      <c r="F147">
        <v>145</v>
      </c>
      <c r="G147" t="s">
        <v>20</v>
      </c>
      <c r="H147" t="str">
        <f t="shared" si="10"/>
        <v>01</v>
      </c>
      <c r="I147" t="str">
        <f t="shared" si="11"/>
        <v>ae</v>
      </c>
      <c r="J147" t="str">
        <f t="shared" si="12"/>
        <v>Line</v>
      </c>
      <c r="K147">
        <v>4637257.5920000002</v>
      </c>
      <c r="L147">
        <v>416791.34600000002</v>
      </c>
      <c r="M147">
        <v>1.212</v>
      </c>
    </row>
    <row r="148" spans="1:13" x14ac:dyDescent="0.35">
      <c r="A148" t="s">
        <v>54</v>
      </c>
      <c r="B148">
        <v>28</v>
      </c>
      <c r="C148" t="s">
        <v>55</v>
      </c>
      <c r="D148">
        <v>2019</v>
      </c>
      <c r="E148">
        <f t="shared" si="9"/>
        <v>79</v>
      </c>
      <c r="F148">
        <v>146</v>
      </c>
      <c r="G148" t="s">
        <v>40</v>
      </c>
      <c r="H148" t="str">
        <f t="shared" si="10"/>
        <v>33</v>
      </c>
      <c r="I148" t="str">
        <f t="shared" si="11"/>
        <v>e</v>
      </c>
      <c r="J148" t="str">
        <f t="shared" si="12"/>
        <v>Line</v>
      </c>
      <c r="K148">
        <v>4637258.9330000002</v>
      </c>
      <c r="L148">
        <v>416792.38699999999</v>
      </c>
      <c r="M148">
        <v>1.194</v>
      </c>
    </row>
    <row r="149" spans="1:13" x14ac:dyDescent="0.35">
      <c r="A149" t="s">
        <v>54</v>
      </c>
      <c r="B149">
        <v>28</v>
      </c>
      <c r="C149" t="s">
        <v>55</v>
      </c>
      <c r="D149">
        <v>2019</v>
      </c>
      <c r="E149">
        <f t="shared" si="9"/>
        <v>79</v>
      </c>
      <c r="F149">
        <v>147</v>
      </c>
      <c r="G149" t="s">
        <v>40</v>
      </c>
      <c r="H149" t="str">
        <f t="shared" si="10"/>
        <v>33</v>
      </c>
      <c r="I149" t="str">
        <f t="shared" si="11"/>
        <v>e</v>
      </c>
      <c r="J149" t="str">
        <f t="shared" si="12"/>
        <v>Line</v>
      </c>
      <c r="K149">
        <v>4637262.0180000002</v>
      </c>
      <c r="L149">
        <v>416795.636</v>
      </c>
      <c r="M149">
        <v>1.177</v>
      </c>
    </row>
    <row r="150" spans="1:13" x14ac:dyDescent="0.35">
      <c r="A150" t="s">
        <v>54</v>
      </c>
      <c r="B150">
        <v>28</v>
      </c>
      <c r="C150" t="s">
        <v>55</v>
      </c>
      <c r="D150">
        <v>2019</v>
      </c>
      <c r="E150">
        <f t="shared" si="9"/>
        <v>80</v>
      </c>
      <c r="F150">
        <v>148</v>
      </c>
      <c r="G150" t="s">
        <v>38</v>
      </c>
      <c r="H150" t="str">
        <f t="shared" si="10"/>
        <v>10</v>
      </c>
      <c r="I150" t="str">
        <f t="shared" si="11"/>
        <v>ae</v>
      </c>
      <c r="J150" t="str">
        <f t="shared" si="12"/>
        <v>Line</v>
      </c>
      <c r="K150">
        <v>4637263.1519999998</v>
      </c>
      <c r="L150">
        <v>416797.43599999999</v>
      </c>
      <c r="M150">
        <v>1.2</v>
      </c>
    </row>
    <row r="151" spans="1:13" x14ac:dyDescent="0.35">
      <c r="A151" t="s">
        <v>54</v>
      </c>
      <c r="B151">
        <v>28</v>
      </c>
      <c r="C151" t="s">
        <v>55</v>
      </c>
      <c r="D151">
        <v>2019</v>
      </c>
      <c r="E151">
        <f t="shared" si="9"/>
        <v>80</v>
      </c>
      <c r="F151">
        <v>149</v>
      </c>
      <c r="G151" t="s">
        <v>38</v>
      </c>
      <c r="H151" t="str">
        <f t="shared" si="10"/>
        <v>10</v>
      </c>
      <c r="I151" t="str">
        <f t="shared" si="11"/>
        <v>ae</v>
      </c>
      <c r="J151" t="str">
        <f t="shared" si="12"/>
        <v>Line</v>
      </c>
      <c r="K151">
        <v>4637264.9280000003</v>
      </c>
      <c r="L151">
        <v>416798.978</v>
      </c>
      <c r="M151">
        <v>1.1879999999999999</v>
      </c>
    </row>
    <row r="152" spans="1:13" x14ac:dyDescent="0.35">
      <c r="A152" t="s">
        <v>54</v>
      </c>
      <c r="B152">
        <v>28</v>
      </c>
      <c r="C152" t="s">
        <v>55</v>
      </c>
      <c r="D152">
        <v>2019</v>
      </c>
      <c r="E152">
        <f t="shared" si="9"/>
        <v>81</v>
      </c>
      <c r="F152">
        <v>150</v>
      </c>
      <c r="G152" t="s">
        <v>40</v>
      </c>
      <c r="H152" t="str">
        <f t="shared" si="10"/>
        <v>33</v>
      </c>
      <c r="I152" t="str">
        <f t="shared" si="11"/>
        <v>e</v>
      </c>
      <c r="J152" t="str">
        <f t="shared" si="12"/>
        <v>Line</v>
      </c>
      <c r="K152">
        <v>4637266.1869999999</v>
      </c>
      <c r="L152">
        <v>416800.60100000002</v>
      </c>
      <c r="M152">
        <v>1.1830000000000001</v>
      </c>
    </row>
    <row r="153" spans="1:13" x14ac:dyDescent="0.35">
      <c r="A153" t="s">
        <v>54</v>
      </c>
      <c r="B153">
        <v>28</v>
      </c>
      <c r="C153" t="s">
        <v>55</v>
      </c>
      <c r="D153">
        <v>2019</v>
      </c>
      <c r="E153">
        <f t="shared" si="9"/>
        <v>81</v>
      </c>
      <c r="F153">
        <v>150</v>
      </c>
      <c r="G153" t="s">
        <v>40</v>
      </c>
      <c r="H153" t="str">
        <f t="shared" si="10"/>
        <v>33</v>
      </c>
      <c r="I153" t="str">
        <f t="shared" si="11"/>
        <v>e</v>
      </c>
      <c r="J153" t="str">
        <f t="shared" si="12"/>
        <v>Line</v>
      </c>
      <c r="K153">
        <v>4637266.1869999999</v>
      </c>
      <c r="L153">
        <v>416800.60100000002</v>
      </c>
      <c r="M153">
        <v>1.1830000000000001</v>
      </c>
    </row>
    <row r="154" spans="1:13" x14ac:dyDescent="0.35">
      <c r="A154" t="s">
        <v>54</v>
      </c>
      <c r="B154">
        <v>28</v>
      </c>
      <c r="C154" t="s">
        <v>55</v>
      </c>
      <c r="D154">
        <v>2019</v>
      </c>
      <c r="E154">
        <f t="shared" si="9"/>
        <v>82</v>
      </c>
      <c r="F154">
        <v>151</v>
      </c>
      <c r="G154" t="s">
        <v>18</v>
      </c>
      <c r="H154" t="str">
        <f t="shared" si="10"/>
        <v>33</v>
      </c>
      <c r="I154" t="str">
        <f t="shared" si="11"/>
        <v>ef</v>
      </c>
      <c r="J154" t="str">
        <f t="shared" si="12"/>
        <v>MU</v>
      </c>
      <c r="K154">
        <v>4637283.4879999999</v>
      </c>
      <c r="L154">
        <v>416792.864</v>
      </c>
      <c r="M154">
        <v>1.147</v>
      </c>
    </row>
    <row r="155" spans="1:13" x14ac:dyDescent="0.35">
      <c r="A155" t="s">
        <v>54</v>
      </c>
      <c r="B155">
        <v>28</v>
      </c>
      <c r="C155" t="s">
        <v>55</v>
      </c>
      <c r="D155">
        <v>2019</v>
      </c>
      <c r="E155">
        <f t="shared" si="9"/>
        <v>83</v>
      </c>
      <c r="F155">
        <v>152</v>
      </c>
      <c r="G155" t="s">
        <v>25</v>
      </c>
      <c r="H155" t="str">
        <f t="shared" si="10"/>
        <v>01</v>
      </c>
      <c r="I155" t="str">
        <f t="shared" si="11"/>
        <v>aef</v>
      </c>
      <c r="J155" t="str">
        <f t="shared" si="12"/>
        <v>Line</v>
      </c>
      <c r="K155">
        <v>4637285.2079999996</v>
      </c>
      <c r="L155">
        <v>416792.20500000002</v>
      </c>
      <c r="M155">
        <v>1.133</v>
      </c>
    </row>
    <row r="156" spans="1:13" x14ac:dyDescent="0.35">
      <c r="A156" t="s">
        <v>54</v>
      </c>
      <c r="B156">
        <v>28</v>
      </c>
      <c r="C156" t="s">
        <v>55</v>
      </c>
      <c r="D156">
        <v>2019</v>
      </c>
      <c r="E156">
        <f t="shared" si="9"/>
        <v>83</v>
      </c>
      <c r="F156">
        <v>152</v>
      </c>
      <c r="G156" t="s">
        <v>25</v>
      </c>
      <c r="H156" t="str">
        <f t="shared" si="10"/>
        <v>01</v>
      </c>
      <c r="I156" t="str">
        <f t="shared" si="11"/>
        <v>aef</v>
      </c>
      <c r="J156" t="str">
        <f t="shared" si="12"/>
        <v>Line</v>
      </c>
      <c r="K156">
        <v>4637285.2079999996</v>
      </c>
      <c r="L156">
        <v>416792.20500000002</v>
      </c>
      <c r="M156">
        <v>1.133</v>
      </c>
    </row>
    <row r="157" spans="1:13" x14ac:dyDescent="0.35">
      <c r="A157" t="s">
        <v>54</v>
      </c>
      <c r="B157">
        <v>28</v>
      </c>
      <c r="C157" t="s">
        <v>55</v>
      </c>
      <c r="D157">
        <v>2019</v>
      </c>
      <c r="E157">
        <f t="shared" si="9"/>
        <v>83</v>
      </c>
      <c r="F157">
        <v>153</v>
      </c>
      <c r="G157" t="s">
        <v>25</v>
      </c>
      <c r="H157" t="str">
        <f t="shared" si="10"/>
        <v>01</v>
      </c>
      <c r="I157" t="str">
        <f t="shared" si="11"/>
        <v>aef</v>
      </c>
      <c r="J157" t="str">
        <f t="shared" si="12"/>
        <v>Line</v>
      </c>
      <c r="K157">
        <v>4637291.4029999999</v>
      </c>
      <c r="L157">
        <v>416804.04499999998</v>
      </c>
      <c r="M157">
        <v>1.115</v>
      </c>
    </row>
    <row r="158" spans="1:13" x14ac:dyDescent="0.35">
      <c r="A158" t="s">
        <v>54</v>
      </c>
      <c r="B158">
        <v>28</v>
      </c>
      <c r="C158" t="s">
        <v>55</v>
      </c>
      <c r="D158">
        <v>2019</v>
      </c>
      <c r="E158">
        <f t="shared" si="9"/>
        <v>84</v>
      </c>
      <c r="F158">
        <v>154</v>
      </c>
      <c r="G158" t="s">
        <v>18</v>
      </c>
      <c r="H158" t="str">
        <f t="shared" si="10"/>
        <v>33</v>
      </c>
      <c r="I158" t="str">
        <f t="shared" si="11"/>
        <v>ef</v>
      </c>
      <c r="J158" t="str">
        <f t="shared" si="12"/>
        <v>MU</v>
      </c>
      <c r="K158">
        <v>4637291.9630000005</v>
      </c>
      <c r="L158">
        <v>416806.55499999999</v>
      </c>
      <c r="M158">
        <v>1.133</v>
      </c>
    </row>
    <row r="159" spans="1:13" x14ac:dyDescent="0.35">
      <c r="A159" t="s">
        <v>54</v>
      </c>
      <c r="B159">
        <v>28</v>
      </c>
      <c r="C159" t="s">
        <v>55</v>
      </c>
      <c r="D159">
        <v>2019</v>
      </c>
      <c r="E159">
        <f t="shared" si="9"/>
        <v>85</v>
      </c>
      <c r="F159">
        <v>155</v>
      </c>
      <c r="G159" t="s">
        <v>40</v>
      </c>
      <c r="H159" t="str">
        <f t="shared" si="10"/>
        <v>33</v>
      </c>
      <c r="I159" t="str">
        <f t="shared" si="11"/>
        <v>e</v>
      </c>
      <c r="J159" t="str">
        <f t="shared" si="12"/>
        <v>MU</v>
      </c>
      <c r="K159">
        <v>4637293.5</v>
      </c>
      <c r="L159">
        <v>416811.53200000001</v>
      </c>
      <c r="M159">
        <v>1.181</v>
      </c>
    </row>
    <row r="160" spans="1:13" x14ac:dyDescent="0.35">
      <c r="A160" t="s">
        <v>54</v>
      </c>
      <c r="B160">
        <v>28</v>
      </c>
      <c r="C160" t="s">
        <v>55</v>
      </c>
      <c r="D160">
        <v>2019</v>
      </c>
      <c r="E160">
        <f t="shared" si="9"/>
        <v>86</v>
      </c>
      <c r="F160">
        <v>156</v>
      </c>
      <c r="G160" t="s">
        <v>42</v>
      </c>
      <c r="H160" t="str">
        <f t="shared" si="10"/>
        <v>01</v>
      </c>
      <c r="I160" t="str">
        <f t="shared" si="11"/>
        <v>ace</v>
      </c>
      <c r="J160" t="str">
        <f t="shared" si="12"/>
        <v>Line</v>
      </c>
      <c r="K160">
        <v>4637293.8779999996</v>
      </c>
      <c r="L160">
        <v>416812.962</v>
      </c>
      <c r="M160">
        <v>1.194</v>
      </c>
    </row>
    <row r="161" spans="1:13" x14ac:dyDescent="0.35">
      <c r="A161" t="s">
        <v>54</v>
      </c>
      <c r="B161">
        <v>28</v>
      </c>
      <c r="C161" t="s">
        <v>55</v>
      </c>
      <c r="D161">
        <v>2019</v>
      </c>
      <c r="E161">
        <f t="shared" si="9"/>
        <v>86</v>
      </c>
      <c r="F161">
        <v>157</v>
      </c>
      <c r="G161" t="s">
        <v>42</v>
      </c>
      <c r="H161" t="str">
        <f t="shared" si="10"/>
        <v>01</v>
      </c>
      <c r="I161" t="str">
        <f t="shared" si="11"/>
        <v>ace</v>
      </c>
      <c r="J161" t="str">
        <f t="shared" si="12"/>
        <v>Line</v>
      </c>
      <c r="K161">
        <v>4637296.9270000001</v>
      </c>
      <c r="L161">
        <v>416816.96600000001</v>
      </c>
      <c r="M161">
        <v>1.24</v>
      </c>
    </row>
    <row r="162" spans="1:13" x14ac:dyDescent="0.35">
      <c r="A162" t="s">
        <v>54</v>
      </c>
      <c r="B162">
        <v>28</v>
      </c>
      <c r="C162" t="s">
        <v>55</v>
      </c>
      <c r="D162">
        <v>2019</v>
      </c>
      <c r="E162">
        <f t="shared" si="9"/>
        <v>87</v>
      </c>
      <c r="F162">
        <v>158</v>
      </c>
      <c r="G162" t="s">
        <v>38</v>
      </c>
      <c r="H162" t="str">
        <f t="shared" si="10"/>
        <v>10</v>
      </c>
      <c r="I162" t="str">
        <f t="shared" si="11"/>
        <v>ae</v>
      </c>
      <c r="J162" t="str">
        <f t="shared" si="12"/>
        <v>Line</v>
      </c>
      <c r="K162">
        <v>4637297.3949999996</v>
      </c>
      <c r="L162">
        <v>416818.984</v>
      </c>
      <c r="M162">
        <v>1.236</v>
      </c>
    </row>
    <row r="163" spans="1:13" x14ac:dyDescent="0.35">
      <c r="A163" t="s">
        <v>54</v>
      </c>
      <c r="B163">
        <v>28</v>
      </c>
      <c r="C163" t="s">
        <v>55</v>
      </c>
      <c r="D163">
        <v>2019</v>
      </c>
      <c r="E163">
        <f t="shared" si="9"/>
        <v>87</v>
      </c>
      <c r="F163">
        <v>159</v>
      </c>
      <c r="G163" t="s">
        <v>38</v>
      </c>
      <c r="H163" t="str">
        <f t="shared" si="10"/>
        <v>10</v>
      </c>
      <c r="I163" t="str">
        <f t="shared" si="11"/>
        <v>ae</v>
      </c>
      <c r="J163" t="str">
        <f t="shared" si="12"/>
        <v>Line</v>
      </c>
      <c r="K163">
        <v>4637300.4979999997</v>
      </c>
      <c r="L163">
        <v>416829.61800000002</v>
      </c>
      <c r="M163">
        <v>1.3819999999999999</v>
      </c>
    </row>
  </sheetData>
  <autoFilter ref="A1:N163" xr:uid="{404DBC75-A819-4E20-A770-74CF79D64A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91CE-DB2D-4901-BA5B-520BCA861219}">
  <dimension ref="A1:N127"/>
  <sheetViews>
    <sheetView zoomScale="94" workbookViewId="0">
      <selection sqref="A1:N127"/>
    </sheetView>
  </sheetViews>
  <sheetFormatPr defaultRowHeight="14.5" x14ac:dyDescent="0.35"/>
  <sheetData>
    <row r="1" spans="1:14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0</v>
      </c>
      <c r="I1" t="s">
        <v>51</v>
      </c>
      <c r="J1" t="s">
        <v>52</v>
      </c>
      <c r="K1" t="s">
        <v>1</v>
      </c>
      <c r="L1" t="s">
        <v>2</v>
      </c>
      <c r="M1" t="s">
        <v>53</v>
      </c>
      <c r="N1" t="s">
        <v>3</v>
      </c>
    </row>
    <row r="2" spans="1:14" x14ac:dyDescent="0.35">
      <c r="A2" t="s">
        <v>54</v>
      </c>
      <c r="B2">
        <v>28</v>
      </c>
      <c r="C2" t="s">
        <v>55</v>
      </c>
      <c r="D2">
        <v>2019</v>
      </c>
      <c r="E2">
        <v>2</v>
      </c>
      <c r="F2">
        <v>2</v>
      </c>
      <c r="G2" t="s">
        <v>6</v>
      </c>
      <c r="H2" t="s">
        <v>57</v>
      </c>
      <c r="I2" t="s">
        <v>58</v>
      </c>
      <c r="J2" t="s">
        <v>59</v>
      </c>
      <c r="K2">
        <v>4637502.4369999999</v>
      </c>
      <c r="L2">
        <v>417266.40299999999</v>
      </c>
      <c r="M2">
        <v>1.45</v>
      </c>
    </row>
    <row r="3" spans="1:14" x14ac:dyDescent="0.35">
      <c r="A3" t="s">
        <v>54</v>
      </c>
      <c r="B3">
        <v>28</v>
      </c>
      <c r="C3" t="s">
        <v>55</v>
      </c>
      <c r="D3">
        <v>2019</v>
      </c>
      <c r="E3">
        <v>2</v>
      </c>
      <c r="F3">
        <v>3</v>
      </c>
      <c r="G3" t="s">
        <v>6</v>
      </c>
      <c r="H3" t="s">
        <v>57</v>
      </c>
      <c r="I3" t="s">
        <v>58</v>
      </c>
      <c r="J3" t="s">
        <v>59</v>
      </c>
      <c r="K3">
        <v>4637493.8250000002</v>
      </c>
      <c r="L3">
        <v>417271.77899999998</v>
      </c>
      <c r="M3">
        <v>1.4630000000000001</v>
      </c>
    </row>
    <row r="4" spans="1:14" x14ac:dyDescent="0.35">
      <c r="A4" t="s">
        <v>54</v>
      </c>
      <c r="B4">
        <v>28</v>
      </c>
      <c r="C4" t="s">
        <v>55</v>
      </c>
      <c r="D4">
        <v>2019</v>
      </c>
      <c r="E4">
        <v>3</v>
      </c>
      <c r="F4">
        <v>4</v>
      </c>
      <c r="G4" t="s">
        <v>7</v>
      </c>
      <c r="H4" t="s">
        <v>57</v>
      </c>
      <c r="I4" t="s">
        <v>60</v>
      </c>
      <c r="J4" t="s">
        <v>59</v>
      </c>
      <c r="K4">
        <v>4637492.1710000001</v>
      </c>
      <c r="L4">
        <v>417272.94199999998</v>
      </c>
      <c r="M4">
        <v>1.464</v>
      </c>
      <c r="N4" t="s">
        <v>8</v>
      </c>
    </row>
    <row r="5" spans="1:14" x14ac:dyDescent="0.35">
      <c r="A5" t="s">
        <v>54</v>
      </c>
      <c r="B5">
        <v>28</v>
      </c>
      <c r="C5" t="s">
        <v>55</v>
      </c>
      <c r="D5">
        <v>2019</v>
      </c>
      <c r="E5">
        <v>3</v>
      </c>
      <c r="F5">
        <v>5</v>
      </c>
      <c r="G5" t="s">
        <v>7</v>
      </c>
      <c r="H5" t="s">
        <v>57</v>
      </c>
      <c r="I5" t="s">
        <v>60</v>
      </c>
      <c r="J5" t="s">
        <v>59</v>
      </c>
      <c r="K5">
        <v>4637480.8679999998</v>
      </c>
      <c r="L5">
        <v>417281.81099999999</v>
      </c>
      <c r="M5">
        <v>1.5069999999999999</v>
      </c>
    </row>
    <row r="6" spans="1:14" x14ac:dyDescent="0.35">
      <c r="A6" t="s">
        <v>54</v>
      </c>
      <c r="B6">
        <v>28</v>
      </c>
      <c r="C6" t="s">
        <v>55</v>
      </c>
      <c r="D6">
        <v>2019</v>
      </c>
      <c r="E6">
        <v>6</v>
      </c>
      <c r="F6">
        <v>10</v>
      </c>
      <c r="G6" t="s">
        <v>6</v>
      </c>
      <c r="H6" t="s">
        <v>57</v>
      </c>
      <c r="I6" t="s">
        <v>58</v>
      </c>
      <c r="J6" t="s">
        <v>59</v>
      </c>
      <c r="K6">
        <v>4637475.0920000002</v>
      </c>
      <c r="L6">
        <v>417277.071</v>
      </c>
      <c r="M6">
        <v>1.456</v>
      </c>
    </row>
    <row r="7" spans="1:14" x14ac:dyDescent="0.35">
      <c r="A7" t="s">
        <v>54</v>
      </c>
      <c r="B7">
        <v>28</v>
      </c>
      <c r="C7" t="s">
        <v>55</v>
      </c>
      <c r="D7">
        <v>2019</v>
      </c>
      <c r="E7">
        <v>6</v>
      </c>
      <c r="F7">
        <v>11</v>
      </c>
      <c r="G7" t="s">
        <v>6</v>
      </c>
      <c r="H7" t="s">
        <v>57</v>
      </c>
      <c r="I7" t="s">
        <v>58</v>
      </c>
      <c r="J7" t="s">
        <v>59</v>
      </c>
      <c r="K7">
        <v>4637468.0650000004</v>
      </c>
      <c r="L7">
        <v>417269.91600000003</v>
      </c>
      <c r="M7">
        <v>1.4179999999999999</v>
      </c>
    </row>
    <row r="8" spans="1:14" x14ac:dyDescent="0.35">
      <c r="A8" t="s">
        <v>54</v>
      </c>
      <c r="B8">
        <v>28</v>
      </c>
      <c r="C8" t="s">
        <v>55</v>
      </c>
      <c r="D8">
        <v>2019</v>
      </c>
      <c r="E8">
        <v>7</v>
      </c>
      <c r="F8">
        <v>12</v>
      </c>
      <c r="G8" t="s">
        <v>4</v>
      </c>
      <c r="H8" t="s">
        <v>61</v>
      </c>
      <c r="I8" t="s">
        <v>58</v>
      </c>
      <c r="J8" t="s">
        <v>59</v>
      </c>
      <c r="K8">
        <v>4637466.6169999996</v>
      </c>
      <c r="L8">
        <v>417268.58600000001</v>
      </c>
      <c r="M8">
        <v>1.385</v>
      </c>
      <c r="N8" t="s">
        <v>12</v>
      </c>
    </row>
    <row r="9" spans="1:14" x14ac:dyDescent="0.35">
      <c r="A9" t="s">
        <v>54</v>
      </c>
      <c r="B9">
        <v>28</v>
      </c>
      <c r="C9" t="s">
        <v>55</v>
      </c>
      <c r="D9">
        <v>2019</v>
      </c>
      <c r="E9">
        <v>7</v>
      </c>
      <c r="F9">
        <v>13</v>
      </c>
      <c r="G9" t="s">
        <v>4</v>
      </c>
      <c r="H9" t="s">
        <v>61</v>
      </c>
      <c r="I9" t="s">
        <v>58</v>
      </c>
      <c r="J9" t="s">
        <v>59</v>
      </c>
      <c r="K9">
        <v>4637464.4800000004</v>
      </c>
      <c r="L9">
        <v>417266.61499999999</v>
      </c>
      <c r="M9">
        <v>1.337</v>
      </c>
      <c r="N9" t="s">
        <v>12</v>
      </c>
    </row>
    <row r="10" spans="1:14" x14ac:dyDescent="0.35">
      <c r="A10" t="s">
        <v>54</v>
      </c>
      <c r="B10">
        <v>28</v>
      </c>
      <c r="C10" t="s">
        <v>55</v>
      </c>
      <c r="D10">
        <v>2019</v>
      </c>
      <c r="E10">
        <v>11</v>
      </c>
      <c r="F10">
        <v>17</v>
      </c>
      <c r="G10" t="s">
        <v>16</v>
      </c>
      <c r="H10" t="s">
        <v>62</v>
      </c>
      <c r="I10" t="s">
        <v>63</v>
      </c>
      <c r="J10" t="s">
        <v>59</v>
      </c>
      <c r="K10">
        <v>4637462.8320000004</v>
      </c>
      <c r="L10">
        <v>417260.56400000001</v>
      </c>
      <c r="M10">
        <v>1.3029999999999999</v>
      </c>
      <c r="N10" t="s">
        <v>17</v>
      </c>
    </row>
    <row r="11" spans="1:14" x14ac:dyDescent="0.35">
      <c r="A11" t="s">
        <v>54</v>
      </c>
      <c r="B11">
        <v>28</v>
      </c>
      <c r="C11" t="s">
        <v>55</v>
      </c>
      <c r="D11">
        <v>2019</v>
      </c>
      <c r="E11">
        <v>11</v>
      </c>
      <c r="F11">
        <v>18</v>
      </c>
      <c r="G11" t="s">
        <v>16</v>
      </c>
      <c r="H11" t="s">
        <v>62</v>
      </c>
      <c r="I11" t="s">
        <v>63</v>
      </c>
      <c r="J11" t="s">
        <v>59</v>
      </c>
      <c r="K11">
        <v>4637457.9950000001</v>
      </c>
      <c r="L11">
        <v>417257.28</v>
      </c>
      <c r="M11">
        <v>1.2689999999999999</v>
      </c>
    </row>
    <row r="12" spans="1:14" x14ac:dyDescent="0.35">
      <c r="A12" t="s">
        <v>54</v>
      </c>
      <c r="B12">
        <v>28</v>
      </c>
      <c r="C12" t="s">
        <v>55</v>
      </c>
      <c r="D12">
        <v>2019</v>
      </c>
      <c r="E12">
        <v>12</v>
      </c>
      <c r="F12">
        <v>19</v>
      </c>
      <c r="G12" t="s">
        <v>18</v>
      </c>
      <c r="H12" t="s">
        <v>64</v>
      </c>
      <c r="I12" t="s">
        <v>63</v>
      </c>
      <c r="J12" t="s">
        <v>59</v>
      </c>
      <c r="K12">
        <v>4637456.2070000004</v>
      </c>
      <c r="L12">
        <v>417256.33500000002</v>
      </c>
      <c r="M12">
        <v>1.3160000000000001</v>
      </c>
    </row>
    <row r="13" spans="1:14" x14ac:dyDescent="0.35">
      <c r="A13" t="s">
        <v>54</v>
      </c>
      <c r="B13">
        <v>28</v>
      </c>
      <c r="C13" t="s">
        <v>55</v>
      </c>
      <c r="D13">
        <v>2019</v>
      </c>
      <c r="E13">
        <v>12</v>
      </c>
      <c r="F13">
        <v>20</v>
      </c>
      <c r="G13" t="s">
        <v>18</v>
      </c>
      <c r="H13" t="s">
        <v>64</v>
      </c>
      <c r="I13" t="s">
        <v>63</v>
      </c>
      <c r="J13" t="s">
        <v>59</v>
      </c>
      <c r="K13">
        <v>4637453.8039999995</v>
      </c>
      <c r="L13">
        <v>417257.66899999999</v>
      </c>
      <c r="M13">
        <v>1.234</v>
      </c>
    </row>
    <row r="14" spans="1:14" x14ac:dyDescent="0.35">
      <c r="A14" t="s">
        <v>54</v>
      </c>
      <c r="B14">
        <v>28</v>
      </c>
      <c r="C14" t="s">
        <v>55</v>
      </c>
      <c r="D14">
        <v>2019</v>
      </c>
      <c r="E14">
        <v>14</v>
      </c>
      <c r="F14">
        <v>22</v>
      </c>
      <c r="G14" t="s">
        <v>15</v>
      </c>
      <c r="H14" t="s">
        <v>65</v>
      </c>
      <c r="I14" t="s">
        <v>58</v>
      </c>
      <c r="J14" t="s">
        <v>59</v>
      </c>
      <c r="K14">
        <v>4637451.1210000003</v>
      </c>
      <c r="L14">
        <v>417256.76</v>
      </c>
      <c r="M14">
        <v>1.3340000000000001</v>
      </c>
    </row>
    <row r="15" spans="1:14" x14ac:dyDescent="0.35">
      <c r="A15" t="s">
        <v>54</v>
      </c>
      <c r="B15">
        <v>28</v>
      </c>
      <c r="C15" t="s">
        <v>55</v>
      </c>
      <c r="D15">
        <v>2019</v>
      </c>
      <c r="E15">
        <v>14</v>
      </c>
      <c r="F15">
        <v>23</v>
      </c>
      <c r="G15" t="s">
        <v>15</v>
      </c>
      <c r="H15" t="s">
        <v>65</v>
      </c>
      <c r="I15" t="s">
        <v>58</v>
      </c>
      <c r="J15" t="s">
        <v>59</v>
      </c>
      <c r="K15">
        <v>4637450.2529999996</v>
      </c>
      <c r="L15">
        <v>417251.22600000002</v>
      </c>
      <c r="M15">
        <v>1.3340000000000001</v>
      </c>
    </row>
    <row r="16" spans="1:14" x14ac:dyDescent="0.35">
      <c r="A16" t="s">
        <v>54</v>
      </c>
      <c r="B16">
        <v>28</v>
      </c>
      <c r="C16" t="s">
        <v>55</v>
      </c>
      <c r="D16">
        <v>2019</v>
      </c>
      <c r="E16">
        <v>16</v>
      </c>
      <c r="F16">
        <v>25</v>
      </c>
      <c r="G16" t="s">
        <v>16</v>
      </c>
      <c r="H16" t="s">
        <v>62</v>
      </c>
      <c r="I16" t="s">
        <v>63</v>
      </c>
      <c r="J16" t="s">
        <v>59</v>
      </c>
      <c r="K16">
        <v>4637449.88</v>
      </c>
      <c r="L16">
        <v>417249.52799999999</v>
      </c>
      <c r="M16">
        <v>1.1919999999999999</v>
      </c>
    </row>
    <row r="17" spans="1:14" x14ac:dyDescent="0.35">
      <c r="A17" t="s">
        <v>54</v>
      </c>
      <c r="B17">
        <v>28</v>
      </c>
      <c r="C17" t="s">
        <v>55</v>
      </c>
      <c r="D17">
        <v>2019</v>
      </c>
      <c r="E17">
        <v>16</v>
      </c>
      <c r="F17">
        <v>26</v>
      </c>
      <c r="G17" t="s">
        <v>16</v>
      </c>
      <c r="H17" t="s">
        <v>62</v>
      </c>
      <c r="I17" t="s">
        <v>63</v>
      </c>
      <c r="J17" t="s">
        <v>59</v>
      </c>
      <c r="K17">
        <v>4637438.8959999997</v>
      </c>
      <c r="L17">
        <v>417245.71799999999</v>
      </c>
      <c r="M17">
        <v>1.161</v>
      </c>
      <c r="N17" t="s">
        <v>19</v>
      </c>
    </row>
    <row r="18" spans="1:14" x14ac:dyDescent="0.35">
      <c r="A18" t="s">
        <v>54</v>
      </c>
      <c r="B18">
        <v>28</v>
      </c>
      <c r="C18" t="s">
        <v>55</v>
      </c>
      <c r="D18">
        <v>2019</v>
      </c>
      <c r="E18">
        <v>16</v>
      </c>
      <c r="F18">
        <v>27</v>
      </c>
      <c r="G18" t="s">
        <v>16</v>
      </c>
      <c r="H18" t="s">
        <v>62</v>
      </c>
      <c r="I18" t="s">
        <v>63</v>
      </c>
      <c r="J18" t="s">
        <v>59</v>
      </c>
      <c r="K18">
        <v>4637436.3679999998</v>
      </c>
      <c r="L18">
        <v>417242.68900000001</v>
      </c>
      <c r="M18">
        <v>1.1379999999999999</v>
      </c>
    </row>
    <row r="19" spans="1:14" x14ac:dyDescent="0.35">
      <c r="A19" t="s">
        <v>54</v>
      </c>
      <c r="B19">
        <v>28</v>
      </c>
      <c r="C19" t="s">
        <v>55</v>
      </c>
      <c r="D19">
        <v>2019</v>
      </c>
      <c r="E19">
        <v>16</v>
      </c>
      <c r="F19">
        <v>28</v>
      </c>
      <c r="G19" t="s">
        <v>16</v>
      </c>
      <c r="H19" t="s">
        <v>62</v>
      </c>
      <c r="I19" t="s">
        <v>63</v>
      </c>
      <c r="J19" t="s">
        <v>59</v>
      </c>
      <c r="K19">
        <v>4637432.3830000004</v>
      </c>
      <c r="L19">
        <v>417241.14399999997</v>
      </c>
      <c r="M19">
        <v>1.226</v>
      </c>
    </row>
    <row r="20" spans="1:14" x14ac:dyDescent="0.35">
      <c r="A20" t="s">
        <v>54</v>
      </c>
      <c r="B20">
        <v>28</v>
      </c>
      <c r="C20" t="s">
        <v>55</v>
      </c>
      <c r="D20">
        <v>2019</v>
      </c>
      <c r="E20">
        <v>20</v>
      </c>
      <c r="F20">
        <v>32</v>
      </c>
      <c r="G20" t="s">
        <v>6</v>
      </c>
      <c r="H20" t="s">
        <v>57</v>
      </c>
      <c r="I20" t="s">
        <v>58</v>
      </c>
      <c r="J20" t="s">
        <v>59</v>
      </c>
      <c r="K20">
        <v>4637428.4069999997</v>
      </c>
      <c r="L20">
        <v>417242.32199999999</v>
      </c>
      <c r="M20">
        <v>1.284</v>
      </c>
    </row>
    <row r="21" spans="1:14" x14ac:dyDescent="0.35">
      <c r="A21" t="s">
        <v>54</v>
      </c>
      <c r="B21">
        <v>28</v>
      </c>
      <c r="C21" t="s">
        <v>55</v>
      </c>
      <c r="D21">
        <v>2019</v>
      </c>
      <c r="E21">
        <v>20</v>
      </c>
      <c r="F21">
        <v>33</v>
      </c>
      <c r="G21" t="s">
        <v>6</v>
      </c>
      <c r="H21" t="s">
        <v>57</v>
      </c>
      <c r="I21" t="s">
        <v>58</v>
      </c>
      <c r="J21" t="s">
        <v>59</v>
      </c>
      <c r="K21">
        <v>4637431.2980000004</v>
      </c>
      <c r="L21">
        <v>417244.745</v>
      </c>
      <c r="M21">
        <v>1.2689999999999999</v>
      </c>
    </row>
    <row r="22" spans="1:14" x14ac:dyDescent="0.35">
      <c r="A22" t="s">
        <v>54</v>
      </c>
      <c r="B22">
        <v>28</v>
      </c>
      <c r="C22" t="s">
        <v>55</v>
      </c>
      <c r="D22">
        <v>2019</v>
      </c>
      <c r="E22">
        <v>21</v>
      </c>
      <c r="F22">
        <v>34</v>
      </c>
      <c r="G22" t="s">
        <v>15</v>
      </c>
      <c r="H22" t="s">
        <v>65</v>
      </c>
      <c r="I22" t="s">
        <v>58</v>
      </c>
      <c r="J22" t="s">
        <v>59</v>
      </c>
      <c r="K22">
        <v>4637432.6840000004</v>
      </c>
      <c r="L22">
        <v>417246.14500000002</v>
      </c>
      <c r="M22">
        <v>1.2230000000000001</v>
      </c>
    </row>
    <row r="23" spans="1:14" x14ac:dyDescent="0.35">
      <c r="A23" t="s">
        <v>54</v>
      </c>
      <c r="B23">
        <v>28</v>
      </c>
      <c r="C23" t="s">
        <v>55</v>
      </c>
      <c r="D23">
        <v>2019</v>
      </c>
      <c r="E23">
        <v>21</v>
      </c>
      <c r="F23">
        <v>35</v>
      </c>
      <c r="G23" t="s">
        <v>15</v>
      </c>
      <c r="H23" t="s">
        <v>65</v>
      </c>
      <c r="I23" t="s">
        <v>58</v>
      </c>
      <c r="J23" t="s">
        <v>59</v>
      </c>
      <c r="K23">
        <v>4637434.0829999996</v>
      </c>
      <c r="L23">
        <v>417247.49599999998</v>
      </c>
      <c r="M23">
        <v>1.351</v>
      </c>
    </row>
    <row r="24" spans="1:14" x14ac:dyDescent="0.35">
      <c r="A24" t="s">
        <v>54</v>
      </c>
      <c r="B24">
        <v>28</v>
      </c>
      <c r="C24" t="s">
        <v>55</v>
      </c>
      <c r="D24">
        <v>2019</v>
      </c>
      <c r="E24">
        <v>22</v>
      </c>
      <c r="F24">
        <v>36</v>
      </c>
      <c r="G24" t="s">
        <v>6</v>
      </c>
      <c r="H24" t="s">
        <v>57</v>
      </c>
      <c r="I24" t="s">
        <v>58</v>
      </c>
      <c r="J24" t="s">
        <v>59</v>
      </c>
      <c r="K24">
        <v>4637435.6739999996</v>
      </c>
      <c r="L24">
        <v>417249.03200000001</v>
      </c>
      <c r="M24">
        <v>1.3109999999999999</v>
      </c>
    </row>
    <row r="25" spans="1:14" x14ac:dyDescent="0.35">
      <c r="A25" t="s">
        <v>54</v>
      </c>
      <c r="B25">
        <v>28</v>
      </c>
      <c r="C25" t="s">
        <v>55</v>
      </c>
      <c r="D25">
        <v>2019</v>
      </c>
      <c r="E25">
        <v>22</v>
      </c>
      <c r="F25">
        <v>37</v>
      </c>
      <c r="G25" t="s">
        <v>6</v>
      </c>
      <c r="H25" t="s">
        <v>57</v>
      </c>
      <c r="I25" t="s">
        <v>58</v>
      </c>
      <c r="J25" t="s">
        <v>59</v>
      </c>
      <c r="K25">
        <v>4637437.0310000004</v>
      </c>
      <c r="L25">
        <v>417255.07299999997</v>
      </c>
      <c r="M25">
        <v>1.381</v>
      </c>
    </row>
    <row r="26" spans="1:14" x14ac:dyDescent="0.35">
      <c r="A26" t="s">
        <v>54</v>
      </c>
      <c r="B26">
        <v>28</v>
      </c>
      <c r="C26" t="s">
        <v>55</v>
      </c>
      <c r="D26">
        <v>2019</v>
      </c>
      <c r="E26">
        <v>23</v>
      </c>
      <c r="F26">
        <v>38</v>
      </c>
      <c r="G26" t="s">
        <v>15</v>
      </c>
      <c r="H26" t="s">
        <v>65</v>
      </c>
      <c r="I26" t="s">
        <v>58</v>
      </c>
      <c r="J26" t="s">
        <v>59</v>
      </c>
      <c r="K26">
        <v>4637437.4029999999</v>
      </c>
      <c r="L26">
        <v>417257.13299999997</v>
      </c>
      <c r="M26">
        <v>1.4039999999999999</v>
      </c>
    </row>
    <row r="27" spans="1:14" x14ac:dyDescent="0.35">
      <c r="A27" t="s">
        <v>54</v>
      </c>
      <c r="B27">
        <v>28</v>
      </c>
      <c r="C27" t="s">
        <v>55</v>
      </c>
      <c r="D27">
        <v>2019</v>
      </c>
      <c r="E27">
        <v>23</v>
      </c>
      <c r="F27">
        <v>39</v>
      </c>
      <c r="G27" t="s">
        <v>15</v>
      </c>
      <c r="H27" t="s">
        <v>65</v>
      </c>
      <c r="I27" t="s">
        <v>58</v>
      </c>
      <c r="J27" t="s">
        <v>59</v>
      </c>
      <c r="K27">
        <v>4637437.5480000004</v>
      </c>
      <c r="L27">
        <v>417259.34600000002</v>
      </c>
      <c r="M27">
        <v>1.4159999999999999</v>
      </c>
    </row>
    <row r="28" spans="1:14" x14ac:dyDescent="0.35">
      <c r="A28" t="s">
        <v>54</v>
      </c>
      <c r="B28">
        <v>28</v>
      </c>
      <c r="C28" t="s">
        <v>55</v>
      </c>
      <c r="D28">
        <v>2019</v>
      </c>
      <c r="E28">
        <v>24</v>
      </c>
      <c r="F28">
        <v>40</v>
      </c>
      <c r="G28" t="s">
        <v>6</v>
      </c>
      <c r="H28" t="s">
        <v>57</v>
      </c>
      <c r="I28" t="s">
        <v>58</v>
      </c>
      <c r="J28" t="s">
        <v>59</v>
      </c>
      <c r="K28">
        <v>4637437.3480000002</v>
      </c>
      <c r="L28">
        <v>417261.23200000002</v>
      </c>
      <c r="M28">
        <v>1.4330000000000001</v>
      </c>
    </row>
    <row r="29" spans="1:14" x14ac:dyDescent="0.35">
      <c r="A29" t="s">
        <v>54</v>
      </c>
      <c r="B29">
        <v>28</v>
      </c>
      <c r="C29" t="s">
        <v>55</v>
      </c>
      <c r="D29">
        <v>2019</v>
      </c>
      <c r="E29">
        <v>24</v>
      </c>
      <c r="F29">
        <v>41</v>
      </c>
      <c r="G29" t="s">
        <v>6</v>
      </c>
      <c r="H29" t="s">
        <v>57</v>
      </c>
      <c r="I29" t="s">
        <v>58</v>
      </c>
      <c r="J29" t="s">
        <v>59</v>
      </c>
      <c r="K29">
        <v>4637436.3190000001</v>
      </c>
      <c r="L29">
        <v>417267.973</v>
      </c>
      <c r="M29">
        <v>1.4339999999999999</v>
      </c>
    </row>
    <row r="30" spans="1:14" x14ac:dyDescent="0.35">
      <c r="A30" t="s">
        <v>54</v>
      </c>
      <c r="B30">
        <v>28</v>
      </c>
      <c r="C30" t="s">
        <v>55</v>
      </c>
      <c r="D30">
        <v>2019</v>
      </c>
      <c r="E30">
        <v>26</v>
      </c>
      <c r="F30">
        <v>43</v>
      </c>
      <c r="G30" t="s">
        <v>22</v>
      </c>
      <c r="H30" t="s">
        <v>61</v>
      </c>
      <c r="I30" t="s">
        <v>66</v>
      </c>
      <c r="J30" t="s">
        <v>59</v>
      </c>
      <c r="K30">
        <v>4637433.551</v>
      </c>
      <c r="L30">
        <v>417269.88299999997</v>
      </c>
      <c r="M30">
        <v>1.4590000000000001</v>
      </c>
      <c r="N30" t="s">
        <v>23</v>
      </c>
    </row>
    <row r="31" spans="1:14" x14ac:dyDescent="0.35">
      <c r="A31" t="s">
        <v>54</v>
      </c>
      <c r="B31">
        <v>28</v>
      </c>
      <c r="C31" t="s">
        <v>55</v>
      </c>
      <c r="D31">
        <v>2019</v>
      </c>
      <c r="E31">
        <v>26</v>
      </c>
      <c r="F31">
        <v>44</v>
      </c>
      <c r="G31" t="s">
        <v>22</v>
      </c>
      <c r="H31" t="s">
        <v>61</v>
      </c>
      <c r="I31" t="s">
        <v>66</v>
      </c>
      <c r="J31" t="s">
        <v>59</v>
      </c>
      <c r="K31">
        <v>4637434.2860000003</v>
      </c>
      <c r="L31">
        <v>417277.77799999999</v>
      </c>
      <c r="M31">
        <v>1.4419999999999999</v>
      </c>
    </row>
    <row r="32" spans="1:14" x14ac:dyDescent="0.35">
      <c r="A32" t="s">
        <v>54</v>
      </c>
      <c r="B32">
        <v>28</v>
      </c>
      <c r="C32" t="s">
        <v>55</v>
      </c>
      <c r="D32">
        <v>2019</v>
      </c>
      <c r="E32">
        <v>27</v>
      </c>
      <c r="F32">
        <v>45</v>
      </c>
      <c r="G32" t="s">
        <v>13</v>
      </c>
      <c r="H32" t="s">
        <v>61</v>
      </c>
      <c r="I32" t="s">
        <v>67</v>
      </c>
      <c r="J32" t="s">
        <v>59</v>
      </c>
      <c r="K32">
        <v>4637434.7879999997</v>
      </c>
      <c r="L32">
        <v>417279.62099999998</v>
      </c>
      <c r="M32">
        <v>1.4670000000000001</v>
      </c>
    </row>
    <row r="33" spans="1:13" x14ac:dyDescent="0.35">
      <c r="A33" t="s">
        <v>54</v>
      </c>
      <c r="B33">
        <v>28</v>
      </c>
      <c r="C33" t="s">
        <v>55</v>
      </c>
      <c r="D33">
        <v>2019</v>
      </c>
      <c r="E33">
        <v>27</v>
      </c>
      <c r="F33">
        <v>46</v>
      </c>
      <c r="G33" t="s">
        <v>13</v>
      </c>
      <c r="H33" t="s">
        <v>61</v>
      </c>
      <c r="I33" t="s">
        <v>67</v>
      </c>
      <c r="J33" t="s">
        <v>59</v>
      </c>
      <c r="K33">
        <v>4637434.8890000004</v>
      </c>
      <c r="L33">
        <v>417280.95</v>
      </c>
      <c r="M33">
        <v>1.462</v>
      </c>
    </row>
    <row r="34" spans="1:13" x14ac:dyDescent="0.35">
      <c r="A34" t="s">
        <v>54</v>
      </c>
      <c r="B34">
        <v>28</v>
      </c>
      <c r="C34" t="s">
        <v>55</v>
      </c>
      <c r="D34">
        <v>2019</v>
      </c>
      <c r="E34">
        <v>28</v>
      </c>
      <c r="F34">
        <v>47</v>
      </c>
      <c r="G34" t="s">
        <v>24</v>
      </c>
      <c r="H34" t="s">
        <v>65</v>
      </c>
      <c r="I34" t="s">
        <v>67</v>
      </c>
      <c r="J34" t="s">
        <v>59</v>
      </c>
      <c r="K34">
        <v>4637432.6979999999</v>
      </c>
      <c r="L34">
        <v>417281.22</v>
      </c>
      <c r="M34">
        <v>1.403</v>
      </c>
    </row>
    <row r="35" spans="1:13" x14ac:dyDescent="0.35">
      <c r="A35" t="s">
        <v>54</v>
      </c>
      <c r="B35">
        <v>28</v>
      </c>
      <c r="C35" t="s">
        <v>55</v>
      </c>
      <c r="D35">
        <v>2019</v>
      </c>
      <c r="E35">
        <v>28</v>
      </c>
      <c r="F35">
        <v>48</v>
      </c>
      <c r="G35" t="s">
        <v>24</v>
      </c>
      <c r="H35" t="s">
        <v>65</v>
      </c>
      <c r="I35" t="s">
        <v>67</v>
      </c>
      <c r="J35" t="s">
        <v>59</v>
      </c>
      <c r="K35">
        <v>4637427.6710000001</v>
      </c>
      <c r="L35">
        <v>417280.95199999999</v>
      </c>
      <c r="M35">
        <v>1.3660000000000001</v>
      </c>
    </row>
    <row r="36" spans="1:13" x14ac:dyDescent="0.35">
      <c r="A36" t="s">
        <v>54</v>
      </c>
      <c r="B36">
        <v>28</v>
      </c>
      <c r="C36" t="s">
        <v>55</v>
      </c>
      <c r="D36">
        <v>2019</v>
      </c>
      <c r="E36">
        <v>29</v>
      </c>
      <c r="F36">
        <v>49</v>
      </c>
      <c r="G36" t="s">
        <v>6</v>
      </c>
      <c r="H36" t="s">
        <v>57</v>
      </c>
      <c r="I36" t="s">
        <v>58</v>
      </c>
      <c r="J36" t="s">
        <v>59</v>
      </c>
      <c r="K36">
        <v>4637425.7719999999</v>
      </c>
      <c r="L36">
        <v>417280.484</v>
      </c>
      <c r="M36">
        <v>1.32</v>
      </c>
    </row>
    <row r="37" spans="1:13" x14ac:dyDescent="0.35">
      <c r="A37" t="s">
        <v>54</v>
      </c>
      <c r="B37">
        <v>28</v>
      </c>
      <c r="C37" t="s">
        <v>55</v>
      </c>
      <c r="D37">
        <v>2019</v>
      </c>
      <c r="E37">
        <v>29</v>
      </c>
      <c r="F37">
        <v>50</v>
      </c>
      <c r="G37" t="s">
        <v>6</v>
      </c>
      <c r="H37" t="s">
        <v>57</v>
      </c>
      <c r="I37" t="s">
        <v>58</v>
      </c>
      <c r="J37" t="s">
        <v>59</v>
      </c>
      <c r="K37">
        <v>4637423.6979999999</v>
      </c>
      <c r="L37">
        <v>417279.88400000002</v>
      </c>
      <c r="M37">
        <v>1.341</v>
      </c>
    </row>
    <row r="38" spans="1:13" x14ac:dyDescent="0.35">
      <c r="A38" t="s">
        <v>54</v>
      </c>
      <c r="B38">
        <v>28</v>
      </c>
      <c r="C38" t="s">
        <v>55</v>
      </c>
      <c r="D38">
        <v>2019</v>
      </c>
      <c r="E38">
        <v>30</v>
      </c>
      <c r="F38">
        <v>51</v>
      </c>
      <c r="G38" t="s">
        <v>16</v>
      </c>
      <c r="H38" t="s">
        <v>62</v>
      </c>
      <c r="I38" t="s">
        <v>63</v>
      </c>
      <c r="J38" t="s">
        <v>59</v>
      </c>
      <c r="K38">
        <v>4637422.2300000004</v>
      </c>
      <c r="L38">
        <v>417279.391</v>
      </c>
      <c r="M38">
        <v>1.2190000000000001</v>
      </c>
    </row>
    <row r="39" spans="1:13" x14ac:dyDescent="0.35">
      <c r="A39" t="s">
        <v>54</v>
      </c>
      <c r="B39">
        <v>28</v>
      </c>
      <c r="C39" t="s">
        <v>55</v>
      </c>
      <c r="D39">
        <v>2019</v>
      </c>
      <c r="E39">
        <v>30</v>
      </c>
      <c r="F39">
        <v>52</v>
      </c>
      <c r="G39" t="s">
        <v>16</v>
      </c>
      <c r="H39" t="s">
        <v>62</v>
      </c>
      <c r="I39" t="s">
        <v>63</v>
      </c>
      <c r="J39" t="s">
        <v>59</v>
      </c>
      <c r="K39">
        <v>4637420.6780000003</v>
      </c>
      <c r="L39">
        <v>417282.68699999998</v>
      </c>
      <c r="M39">
        <v>1.262</v>
      </c>
    </row>
    <row r="40" spans="1:13" x14ac:dyDescent="0.35">
      <c r="A40" t="s">
        <v>54</v>
      </c>
      <c r="B40">
        <v>28</v>
      </c>
      <c r="C40" t="s">
        <v>55</v>
      </c>
      <c r="D40">
        <v>2019</v>
      </c>
      <c r="E40">
        <v>32</v>
      </c>
      <c r="F40">
        <v>54</v>
      </c>
      <c r="G40" t="s">
        <v>25</v>
      </c>
      <c r="H40" t="s">
        <v>62</v>
      </c>
      <c r="I40" t="s">
        <v>68</v>
      </c>
      <c r="J40" t="s">
        <v>59</v>
      </c>
      <c r="K40">
        <v>4637418.6960000005</v>
      </c>
      <c r="L40">
        <v>417286.68699999998</v>
      </c>
      <c r="M40">
        <v>1.1180000000000001</v>
      </c>
    </row>
    <row r="41" spans="1:13" x14ac:dyDescent="0.35">
      <c r="A41" t="s">
        <v>54</v>
      </c>
      <c r="B41">
        <v>28</v>
      </c>
      <c r="C41" t="s">
        <v>55</v>
      </c>
      <c r="D41">
        <v>2019</v>
      </c>
      <c r="E41">
        <v>32</v>
      </c>
      <c r="F41">
        <v>55</v>
      </c>
      <c r="G41" t="s">
        <v>25</v>
      </c>
      <c r="H41" t="s">
        <v>62</v>
      </c>
      <c r="I41" t="s">
        <v>68</v>
      </c>
      <c r="J41" t="s">
        <v>59</v>
      </c>
      <c r="K41">
        <v>4637415.5870000003</v>
      </c>
      <c r="L41">
        <v>417290.93699999998</v>
      </c>
      <c r="M41">
        <v>1.143</v>
      </c>
    </row>
    <row r="42" spans="1:13" x14ac:dyDescent="0.35">
      <c r="A42" t="s">
        <v>54</v>
      </c>
      <c r="B42">
        <v>28</v>
      </c>
      <c r="C42" t="s">
        <v>55</v>
      </c>
      <c r="D42">
        <v>2019</v>
      </c>
      <c r="E42">
        <v>33</v>
      </c>
      <c r="F42">
        <v>56</v>
      </c>
      <c r="G42" t="s">
        <v>6</v>
      </c>
      <c r="H42" t="s">
        <v>57</v>
      </c>
      <c r="I42" t="s">
        <v>58</v>
      </c>
      <c r="J42" t="s">
        <v>59</v>
      </c>
      <c r="K42">
        <v>4637416.818</v>
      </c>
      <c r="L42">
        <v>417292.027</v>
      </c>
      <c r="M42">
        <v>1.3360000000000001</v>
      </c>
    </row>
    <row r="43" spans="1:13" x14ac:dyDescent="0.35">
      <c r="A43" t="s">
        <v>54</v>
      </c>
      <c r="B43">
        <v>28</v>
      </c>
      <c r="C43" t="s">
        <v>55</v>
      </c>
      <c r="D43">
        <v>2019</v>
      </c>
      <c r="E43">
        <v>33</v>
      </c>
      <c r="F43">
        <v>57</v>
      </c>
      <c r="G43" t="s">
        <v>6</v>
      </c>
      <c r="H43" t="s">
        <v>57</v>
      </c>
      <c r="I43" t="s">
        <v>58</v>
      </c>
      <c r="J43" t="s">
        <v>59</v>
      </c>
      <c r="K43">
        <v>4637424.2209999999</v>
      </c>
      <c r="L43">
        <v>417291.77500000002</v>
      </c>
      <c r="M43">
        <v>1.4490000000000001</v>
      </c>
    </row>
    <row r="44" spans="1:13" x14ac:dyDescent="0.35">
      <c r="A44" t="s">
        <v>54</v>
      </c>
      <c r="B44">
        <v>28</v>
      </c>
      <c r="C44" t="s">
        <v>55</v>
      </c>
      <c r="D44">
        <v>2019</v>
      </c>
      <c r="E44">
        <v>34</v>
      </c>
      <c r="F44">
        <v>58</v>
      </c>
      <c r="G44" t="s">
        <v>15</v>
      </c>
      <c r="H44" t="s">
        <v>65</v>
      </c>
      <c r="I44" t="s">
        <v>58</v>
      </c>
      <c r="J44" t="s">
        <v>59</v>
      </c>
      <c r="K44">
        <v>4637426.33</v>
      </c>
      <c r="L44">
        <v>417291.58799999999</v>
      </c>
      <c r="M44">
        <v>1.4590000000000001</v>
      </c>
    </row>
    <row r="45" spans="1:13" x14ac:dyDescent="0.35">
      <c r="A45" t="s">
        <v>54</v>
      </c>
      <c r="B45">
        <v>28</v>
      </c>
      <c r="C45" t="s">
        <v>55</v>
      </c>
      <c r="D45">
        <v>2019</v>
      </c>
      <c r="E45">
        <v>34</v>
      </c>
      <c r="F45">
        <v>59</v>
      </c>
      <c r="G45" t="s">
        <v>15</v>
      </c>
      <c r="H45" t="s">
        <v>65</v>
      </c>
      <c r="I45" t="s">
        <v>58</v>
      </c>
      <c r="J45" t="s">
        <v>59</v>
      </c>
      <c r="K45">
        <v>4637432.8880000003</v>
      </c>
      <c r="L45">
        <v>417291.54</v>
      </c>
      <c r="M45">
        <v>1.516</v>
      </c>
    </row>
    <row r="46" spans="1:13" x14ac:dyDescent="0.35">
      <c r="A46" t="s">
        <v>54</v>
      </c>
      <c r="B46">
        <v>28</v>
      </c>
      <c r="C46" t="s">
        <v>55</v>
      </c>
      <c r="D46">
        <v>2019</v>
      </c>
      <c r="E46">
        <v>35</v>
      </c>
      <c r="F46">
        <v>60</v>
      </c>
      <c r="G46" t="s">
        <v>6</v>
      </c>
      <c r="H46" t="s">
        <v>57</v>
      </c>
      <c r="I46" t="s">
        <v>58</v>
      </c>
      <c r="J46" t="s">
        <v>59</v>
      </c>
      <c r="K46">
        <v>4637435.0609999998</v>
      </c>
      <c r="L46">
        <v>417291.21399999998</v>
      </c>
      <c r="M46">
        <v>1.5149999999999999</v>
      </c>
    </row>
    <row r="47" spans="1:13" x14ac:dyDescent="0.35">
      <c r="A47" t="s">
        <v>54</v>
      </c>
      <c r="B47">
        <v>28</v>
      </c>
      <c r="C47" t="s">
        <v>55</v>
      </c>
      <c r="D47">
        <v>2019</v>
      </c>
      <c r="E47">
        <v>35</v>
      </c>
      <c r="F47">
        <v>61</v>
      </c>
      <c r="G47" t="s">
        <v>6</v>
      </c>
      <c r="H47" t="s">
        <v>57</v>
      </c>
      <c r="I47" t="s">
        <v>58</v>
      </c>
      <c r="J47" t="s">
        <v>59</v>
      </c>
      <c r="K47">
        <v>4637454.6710000001</v>
      </c>
      <c r="L47">
        <v>417286.478</v>
      </c>
      <c r="M47">
        <v>1.5189999999999999</v>
      </c>
    </row>
    <row r="48" spans="1:13" x14ac:dyDescent="0.35">
      <c r="A48" t="s">
        <v>54</v>
      </c>
      <c r="B48">
        <v>28</v>
      </c>
      <c r="C48" t="s">
        <v>55</v>
      </c>
      <c r="D48">
        <v>2019</v>
      </c>
      <c r="E48">
        <v>35</v>
      </c>
      <c r="F48">
        <v>62</v>
      </c>
      <c r="G48" t="s">
        <v>6</v>
      </c>
      <c r="H48" t="s">
        <v>57</v>
      </c>
      <c r="I48" t="s">
        <v>58</v>
      </c>
      <c r="J48" t="s">
        <v>59</v>
      </c>
      <c r="K48">
        <v>4637458.0880000005</v>
      </c>
      <c r="L48">
        <v>417297.97499999998</v>
      </c>
      <c r="M48">
        <v>1.556</v>
      </c>
    </row>
    <row r="49" spans="1:14" x14ac:dyDescent="0.35">
      <c r="A49" t="s">
        <v>54</v>
      </c>
      <c r="B49">
        <v>28</v>
      </c>
      <c r="C49" t="s">
        <v>55</v>
      </c>
      <c r="D49">
        <v>2019</v>
      </c>
      <c r="E49">
        <v>36</v>
      </c>
      <c r="F49">
        <v>63</v>
      </c>
      <c r="G49">
        <v>32</v>
      </c>
      <c r="H49" t="s">
        <v>69</v>
      </c>
      <c r="I49" t="s">
        <v>70</v>
      </c>
      <c r="J49" t="s">
        <v>59</v>
      </c>
      <c r="K49">
        <v>4637458.6109999996</v>
      </c>
      <c r="L49">
        <v>417299.984</v>
      </c>
      <c r="M49">
        <v>1.611</v>
      </c>
      <c r="N49" t="s">
        <v>26</v>
      </c>
    </row>
    <row r="50" spans="1:14" x14ac:dyDescent="0.35">
      <c r="A50" t="s">
        <v>54</v>
      </c>
      <c r="B50">
        <v>28</v>
      </c>
      <c r="C50" t="s">
        <v>55</v>
      </c>
      <c r="D50">
        <v>2019</v>
      </c>
      <c r="E50">
        <v>36</v>
      </c>
      <c r="F50">
        <v>64</v>
      </c>
      <c r="G50">
        <v>32</v>
      </c>
      <c r="H50" t="s">
        <v>69</v>
      </c>
      <c r="I50" t="s">
        <v>70</v>
      </c>
      <c r="J50" t="s">
        <v>59</v>
      </c>
      <c r="K50">
        <v>4637461.233</v>
      </c>
      <c r="L50">
        <v>417304.79399999999</v>
      </c>
      <c r="M50">
        <v>1.722</v>
      </c>
      <c r="N50" t="s">
        <v>26</v>
      </c>
    </row>
    <row r="51" spans="1:14" x14ac:dyDescent="0.35">
      <c r="A51" t="s">
        <v>54</v>
      </c>
      <c r="B51">
        <v>28</v>
      </c>
      <c r="C51" t="s">
        <v>55</v>
      </c>
      <c r="D51">
        <v>2019</v>
      </c>
      <c r="E51">
        <v>36</v>
      </c>
      <c r="F51">
        <v>65</v>
      </c>
      <c r="G51">
        <v>32</v>
      </c>
      <c r="H51" t="s">
        <v>69</v>
      </c>
      <c r="I51" t="s">
        <v>70</v>
      </c>
      <c r="J51" t="s">
        <v>59</v>
      </c>
      <c r="K51">
        <v>4637465.057</v>
      </c>
      <c r="L51">
        <v>417298.96399999998</v>
      </c>
      <c r="M51">
        <v>1.571</v>
      </c>
      <c r="N51" t="s">
        <v>26</v>
      </c>
    </row>
    <row r="52" spans="1:14" x14ac:dyDescent="0.35">
      <c r="A52" t="s">
        <v>54</v>
      </c>
      <c r="B52">
        <v>28</v>
      </c>
      <c r="C52" t="s">
        <v>55</v>
      </c>
      <c r="D52">
        <v>2019</v>
      </c>
      <c r="E52">
        <v>36</v>
      </c>
      <c r="F52">
        <v>66</v>
      </c>
      <c r="G52">
        <v>32</v>
      </c>
      <c r="H52" t="s">
        <v>69</v>
      </c>
      <c r="I52" t="s">
        <v>70</v>
      </c>
      <c r="J52" t="s">
        <v>59</v>
      </c>
      <c r="K52">
        <v>4637468.6859999998</v>
      </c>
      <c r="L52">
        <v>417304.09299999999</v>
      </c>
      <c r="M52">
        <v>1.734</v>
      </c>
      <c r="N52" t="s">
        <v>26</v>
      </c>
    </row>
    <row r="53" spans="1:14" x14ac:dyDescent="0.35">
      <c r="A53" t="s">
        <v>54</v>
      </c>
      <c r="B53">
        <v>28</v>
      </c>
      <c r="C53" t="s">
        <v>55</v>
      </c>
      <c r="D53">
        <v>2019</v>
      </c>
      <c r="E53">
        <v>36</v>
      </c>
      <c r="F53">
        <v>67</v>
      </c>
      <c r="G53">
        <v>32</v>
      </c>
      <c r="H53" t="s">
        <v>69</v>
      </c>
      <c r="I53" t="s">
        <v>70</v>
      </c>
      <c r="J53" t="s">
        <v>59</v>
      </c>
      <c r="K53">
        <v>4637470.6140000001</v>
      </c>
      <c r="L53">
        <v>417300.04200000002</v>
      </c>
      <c r="M53">
        <v>1.5680000000000001</v>
      </c>
      <c r="N53" t="s">
        <v>26</v>
      </c>
    </row>
    <row r="54" spans="1:14" x14ac:dyDescent="0.35">
      <c r="A54" t="s">
        <v>54</v>
      </c>
      <c r="B54">
        <v>28</v>
      </c>
      <c r="C54" t="s">
        <v>55</v>
      </c>
      <c r="D54">
        <v>2019</v>
      </c>
      <c r="E54">
        <v>36</v>
      </c>
      <c r="F54">
        <v>68</v>
      </c>
      <c r="G54">
        <v>32</v>
      </c>
      <c r="H54" t="s">
        <v>69</v>
      </c>
      <c r="I54" t="s">
        <v>70</v>
      </c>
      <c r="J54" t="s">
        <v>59</v>
      </c>
      <c r="K54">
        <v>4637479.6749999998</v>
      </c>
      <c r="L54">
        <v>417294.97499999998</v>
      </c>
      <c r="M54">
        <v>1.73</v>
      </c>
      <c r="N54" t="s">
        <v>26</v>
      </c>
    </row>
    <row r="55" spans="1:14" x14ac:dyDescent="0.35">
      <c r="A55" t="s">
        <v>54</v>
      </c>
      <c r="B55">
        <v>28</v>
      </c>
      <c r="C55" t="s">
        <v>55</v>
      </c>
      <c r="D55">
        <v>2019</v>
      </c>
      <c r="E55">
        <v>36</v>
      </c>
      <c r="F55">
        <v>69</v>
      </c>
      <c r="G55">
        <v>32</v>
      </c>
      <c r="H55" t="s">
        <v>69</v>
      </c>
      <c r="I55" t="s">
        <v>70</v>
      </c>
      <c r="J55" t="s">
        <v>59</v>
      </c>
      <c r="K55">
        <v>4637455.0690000001</v>
      </c>
      <c r="L55">
        <v>417303.25199999998</v>
      </c>
      <c r="M55">
        <v>1.615</v>
      </c>
      <c r="N55" t="s">
        <v>26</v>
      </c>
    </row>
    <row r="56" spans="1:14" x14ac:dyDescent="0.35">
      <c r="A56" t="s">
        <v>54</v>
      </c>
      <c r="B56">
        <v>28</v>
      </c>
      <c r="C56" t="s">
        <v>55</v>
      </c>
      <c r="D56">
        <v>2019</v>
      </c>
      <c r="E56">
        <v>36</v>
      </c>
      <c r="F56">
        <v>70</v>
      </c>
      <c r="G56">
        <v>32</v>
      </c>
      <c r="H56" t="s">
        <v>69</v>
      </c>
      <c r="I56" t="s">
        <v>70</v>
      </c>
      <c r="J56" t="s">
        <v>59</v>
      </c>
      <c r="K56">
        <v>4637438.6169999996</v>
      </c>
      <c r="L56">
        <v>417310.098</v>
      </c>
      <c r="M56">
        <v>1.627</v>
      </c>
      <c r="N56" t="s">
        <v>26</v>
      </c>
    </row>
    <row r="57" spans="1:14" x14ac:dyDescent="0.35">
      <c r="A57" t="s">
        <v>54</v>
      </c>
      <c r="B57">
        <v>28</v>
      </c>
      <c r="C57" t="s">
        <v>55</v>
      </c>
      <c r="D57">
        <v>2019</v>
      </c>
      <c r="E57">
        <v>37</v>
      </c>
      <c r="F57">
        <v>71</v>
      </c>
      <c r="G57" t="s">
        <v>27</v>
      </c>
      <c r="H57" t="s">
        <v>71</v>
      </c>
      <c r="I57" t="s">
        <v>58</v>
      </c>
      <c r="J57" t="s">
        <v>59</v>
      </c>
      <c r="K57">
        <v>4637455.0870000003</v>
      </c>
      <c r="L57">
        <v>417299.82400000002</v>
      </c>
      <c r="M57">
        <v>1.5820000000000001</v>
      </c>
    </row>
    <row r="58" spans="1:14" x14ac:dyDescent="0.35">
      <c r="A58" t="s">
        <v>54</v>
      </c>
      <c r="B58">
        <v>28</v>
      </c>
      <c r="C58" t="s">
        <v>55</v>
      </c>
      <c r="D58">
        <v>2019</v>
      </c>
      <c r="E58">
        <v>37</v>
      </c>
      <c r="F58">
        <v>72</v>
      </c>
      <c r="G58" t="s">
        <v>27</v>
      </c>
      <c r="H58" t="s">
        <v>71</v>
      </c>
      <c r="I58" t="s">
        <v>58</v>
      </c>
      <c r="J58" t="s">
        <v>59</v>
      </c>
      <c r="K58">
        <v>4637452.0640000002</v>
      </c>
      <c r="L58">
        <v>417300.33100000001</v>
      </c>
      <c r="M58">
        <v>1.518</v>
      </c>
    </row>
    <row r="59" spans="1:14" x14ac:dyDescent="0.35">
      <c r="A59" t="s">
        <v>54</v>
      </c>
      <c r="B59">
        <v>28</v>
      </c>
      <c r="C59" t="s">
        <v>55</v>
      </c>
      <c r="D59">
        <v>2019</v>
      </c>
      <c r="E59">
        <v>39</v>
      </c>
      <c r="F59">
        <v>74</v>
      </c>
      <c r="G59" t="s">
        <v>27</v>
      </c>
      <c r="H59" t="s">
        <v>71</v>
      </c>
      <c r="I59" t="s">
        <v>58</v>
      </c>
      <c r="J59" t="s">
        <v>59</v>
      </c>
      <c r="K59">
        <v>4637448.1540000001</v>
      </c>
      <c r="L59">
        <v>417301.49400000001</v>
      </c>
      <c r="M59">
        <v>1.518</v>
      </c>
    </row>
    <row r="60" spans="1:14" x14ac:dyDescent="0.35">
      <c r="A60" t="s">
        <v>54</v>
      </c>
      <c r="B60">
        <v>28</v>
      </c>
      <c r="C60" t="s">
        <v>55</v>
      </c>
      <c r="D60">
        <v>2019</v>
      </c>
      <c r="E60">
        <v>39</v>
      </c>
      <c r="F60">
        <v>75</v>
      </c>
      <c r="G60" t="s">
        <v>27</v>
      </c>
      <c r="H60" t="s">
        <v>71</v>
      </c>
      <c r="I60" t="s">
        <v>58</v>
      </c>
      <c r="J60" t="s">
        <v>59</v>
      </c>
      <c r="K60">
        <v>4637444.193</v>
      </c>
      <c r="L60">
        <v>417302.56300000002</v>
      </c>
      <c r="M60">
        <v>1.5580000000000001</v>
      </c>
    </row>
    <row r="61" spans="1:14" x14ac:dyDescent="0.35">
      <c r="A61" t="s">
        <v>54</v>
      </c>
      <c r="B61">
        <v>28</v>
      </c>
      <c r="C61" t="s">
        <v>55</v>
      </c>
      <c r="D61">
        <v>2019</v>
      </c>
      <c r="E61">
        <v>41</v>
      </c>
      <c r="F61">
        <v>77</v>
      </c>
      <c r="G61" t="s">
        <v>27</v>
      </c>
      <c r="H61" t="s">
        <v>71</v>
      </c>
      <c r="I61" t="s">
        <v>58</v>
      </c>
      <c r="J61" t="s">
        <v>59</v>
      </c>
      <c r="K61">
        <v>4637440.6960000005</v>
      </c>
      <c r="L61">
        <v>417304.14399999997</v>
      </c>
      <c r="M61">
        <v>1.502</v>
      </c>
    </row>
    <row r="62" spans="1:14" x14ac:dyDescent="0.35">
      <c r="A62" t="s">
        <v>54</v>
      </c>
      <c r="B62">
        <v>28</v>
      </c>
      <c r="C62" t="s">
        <v>55</v>
      </c>
      <c r="D62">
        <v>2019</v>
      </c>
      <c r="E62">
        <v>41</v>
      </c>
      <c r="F62">
        <v>78</v>
      </c>
      <c r="G62" t="s">
        <v>27</v>
      </c>
      <c r="H62" t="s">
        <v>71</v>
      </c>
      <c r="I62" t="s">
        <v>58</v>
      </c>
      <c r="J62" t="s">
        <v>59</v>
      </c>
      <c r="K62">
        <v>4637428.7379999999</v>
      </c>
      <c r="L62">
        <v>417309.02799999999</v>
      </c>
      <c r="M62">
        <v>1.5129999999999999</v>
      </c>
      <c r="N62" t="s">
        <v>28</v>
      </c>
    </row>
    <row r="63" spans="1:14" x14ac:dyDescent="0.35">
      <c r="A63" t="s">
        <v>54</v>
      </c>
      <c r="B63">
        <v>28</v>
      </c>
      <c r="C63" t="s">
        <v>55</v>
      </c>
      <c r="D63">
        <v>2019</v>
      </c>
      <c r="E63">
        <v>44</v>
      </c>
      <c r="F63">
        <v>82</v>
      </c>
      <c r="G63" t="s">
        <v>20</v>
      </c>
      <c r="H63" t="s">
        <v>62</v>
      </c>
      <c r="I63" t="s">
        <v>72</v>
      </c>
      <c r="J63" t="s">
        <v>59</v>
      </c>
      <c r="K63">
        <v>4637288.5329999998</v>
      </c>
      <c r="L63">
        <v>416741.76299999998</v>
      </c>
      <c r="M63">
        <v>1.383</v>
      </c>
    </row>
    <row r="64" spans="1:14" x14ac:dyDescent="0.35">
      <c r="A64" t="s">
        <v>54</v>
      </c>
      <c r="B64">
        <v>28</v>
      </c>
      <c r="C64" t="s">
        <v>55</v>
      </c>
      <c r="D64">
        <v>2019</v>
      </c>
      <c r="E64">
        <v>44</v>
      </c>
      <c r="F64">
        <v>83</v>
      </c>
      <c r="G64" t="s">
        <v>20</v>
      </c>
      <c r="H64" t="s">
        <v>62</v>
      </c>
      <c r="I64" t="s">
        <v>72</v>
      </c>
      <c r="J64" t="s">
        <v>59</v>
      </c>
      <c r="K64">
        <v>4637285.45</v>
      </c>
      <c r="L64">
        <v>416745.61900000001</v>
      </c>
      <c r="M64">
        <v>1.357</v>
      </c>
    </row>
    <row r="65" spans="1:14" x14ac:dyDescent="0.35">
      <c r="A65" t="s">
        <v>54</v>
      </c>
      <c r="B65">
        <v>28</v>
      </c>
      <c r="C65" t="s">
        <v>55</v>
      </c>
      <c r="D65">
        <v>2019</v>
      </c>
      <c r="E65">
        <v>44</v>
      </c>
      <c r="F65">
        <v>84</v>
      </c>
      <c r="G65" t="s">
        <v>20</v>
      </c>
      <c r="H65" t="s">
        <v>62</v>
      </c>
      <c r="I65" t="s">
        <v>72</v>
      </c>
      <c r="J65" t="s">
        <v>59</v>
      </c>
      <c r="K65">
        <v>4637284.1109999996</v>
      </c>
      <c r="L65">
        <v>416747.973</v>
      </c>
      <c r="M65">
        <v>1.3919999999999999</v>
      </c>
    </row>
    <row r="66" spans="1:14" x14ac:dyDescent="0.35">
      <c r="A66" t="s">
        <v>54</v>
      </c>
      <c r="B66">
        <v>28</v>
      </c>
      <c r="C66" t="s">
        <v>55</v>
      </c>
      <c r="D66">
        <v>2019</v>
      </c>
      <c r="E66">
        <v>47</v>
      </c>
      <c r="F66">
        <v>87</v>
      </c>
      <c r="G66" t="s">
        <v>16</v>
      </c>
      <c r="H66" t="s">
        <v>62</v>
      </c>
      <c r="I66" t="s">
        <v>63</v>
      </c>
      <c r="J66" t="s">
        <v>59</v>
      </c>
      <c r="K66">
        <v>4637278.6069999998</v>
      </c>
      <c r="L66">
        <v>416755.31099999999</v>
      </c>
      <c r="M66">
        <v>1.3720000000000001</v>
      </c>
    </row>
    <row r="67" spans="1:14" x14ac:dyDescent="0.35">
      <c r="A67" t="s">
        <v>54</v>
      </c>
      <c r="B67">
        <v>28</v>
      </c>
      <c r="C67" t="s">
        <v>55</v>
      </c>
      <c r="D67">
        <v>2019</v>
      </c>
      <c r="E67">
        <v>47</v>
      </c>
      <c r="F67">
        <v>88</v>
      </c>
      <c r="G67" t="s">
        <v>16</v>
      </c>
      <c r="H67" t="s">
        <v>62</v>
      </c>
      <c r="I67" t="s">
        <v>63</v>
      </c>
      <c r="J67" t="s">
        <v>59</v>
      </c>
      <c r="K67">
        <v>4637268.6370000001</v>
      </c>
      <c r="L67">
        <v>416763.40500000003</v>
      </c>
      <c r="M67">
        <v>1.321</v>
      </c>
    </row>
    <row r="68" spans="1:14" x14ac:dyDescent="0.35">
      <c r="A68" t="s">
        <v>54</v>
      </c>
      <c r="B68">
        <v>28</v>
      </c>
      <c r="C68" t="s">
        <v>55</v>
      </c>
      <c r="D68">
        <v>2019</v>
      </c>
      <c r="E68">
        <v>48</v>
      </c>
      <c r="F68">
        <v>89</v>
      </c>
      <c r="G68" t="s">
        <v>20</v>
      </c>
      <c r="H68" t="s">
        <v>62</v>
      </c>
      <c r="I68" t="s">
        <v>72</v>
      </c>
      <c r="J68" t="s">
        <v>59</v>
      </c>
      <c r="K68">
        <v>4637265.4249999998</v>
      </c>
      <c r="L68">
        <v>416769.91800000001</v>
      </c>
      <c r="M68">
        <v>1.2649999999999999</v>
      </c>
    </row>
    <row r="69" spans="1:14" x14ac:dyDescent="0.35">
      <c r="A69" t="s">
        <v>54</v>
      </c>
      <c r="B69">
        <v>28</v>
      </c>
      <c r="C69" t="s">
        <v>55</v>
      </c>
      <c r="D69">
        <v>2019</v>
      </c>
      <c r="E69">
        <v>48</v>
      </c>
      <c r="F69">
        <v>90</v>
      </c>
      <c r="G69" t="s">
        <v>20</v>
      </c>
      <c r="H69" t="s">
        <v>62</v>
      </c>
      <c r="I69" t="s">
        <v>72</v>
      </c>
      <c r="J69" t="s">
        <v>59</v>
      </c>
      <c r="K69">
        <v>4637264.5839999998</v>
      </c>
      <c r="L69">
        <v>416772.94699999999</v>
      </c>
      <c r="M69">
        <v>1.2250000000000001</v>
      </c>
    </row>
    <row r="70" spans="1:14" x14ac:dyDescent="0.35">
      <c r="A70" t="s">
        <v>54</v>
      </c>
      <c r="B70">
        <v>28</v>
      </c>
      <c r="C70" t="s">
        <v>55</v>
      </c>
      <c r="D70">
        <v>2019</v>
      </c>
      <c r="E70">
        <v>49</v>
      </c>
      <c r="F70">
        <v>91</v>
      </c>
      <c r="G70" t="s">
        <v>33</v>
      </c>
      <c r="H70" t="s">
        <v>62</v>
      </c>
      <c r="I70" t="s">
        <v>73</v>
      </c>
      <c r="J70" t="s">
        <v>59</v>
      </c>
      <c r="K70">
        <v>4637263.915</v>
      </c>
      <c r="L70">
        <v>416775.05699999997</v>
      </c>
      <c r="M70">
        <v>1.141</v>
      </c>
    </row>
    <row r="71" spans="1:14" x14ac:dyDescent="0.35">
      <c r="A71" t="s">
        <v>54</v>
      </c>
      <c r="B71">
        <v>28</v>
      </c>
      <c r="C71" t="s">
        <v>55</v>
      </c>
      <c r="D71">
        <v>2019</v>
      </c>
      <c r="E71">
        <v>49</v>
      </c>
      <c r="F71">
        <v>92</v>
      </c>
      <c r="G71" t="s">
        <v>33</v>
      </c>
      <c r="H71" t="s">
        <v>62</v>
      </c>
      <c r="I71" t="s">
        <v>73</v>
      </c>
      <c r="J71" t="s">
        <v>59</v>
      </c>
      <c r="K71">
        <v>4637263.2139999997</v>
      </c>
      <c r="L71">
        <v>416776.68900000001</v>
      </c>
      <c r="M71">
        <v>1.081</v>
      </c>
    </row>
    <row r="72" spans="1:14" x14ac:dyDescent="0.35">
      <c r="A72" t="s">
        <v>54</v>
      </c>
      <c r="B72">
        <v>28</v>
      </c>
      <c r="C72" t="s">
        <v>55</v>
      </c>
      <c r="D72">
        <v>2019</v>
      </c>
      <c r="E72">
        <v>49</v>
      </c>
      <c r="F72">
        <v>93</v>
      </c>
      <c r="G72" t="s">
        <v>33</v>
      </c>
      <c r="H72" t="s">
        <v>62</v>
      </c>
      <c r="I72" t="s">
        <v>73</v>
      </c>
      <c r="J72" t="s">
        <v>59</v>
      </c>
      <c r="K72">
        <v>4637258.55</v>
      </c>
      <c r="L72">
        <v>416783.53100000002</v>
      </c>
      <c r="M72">
        <v>1.1140000000000001</v>
      </c>
    </row>
    <row r="73" spans="1:14" x14ac:dyDescent="0.35">
      <c r="A73" t="s">
        <v>54</v>
      </c>
      <c r="B73">
        <v>28</v>
      </c>
      <c r="C73" t="s">
        <v>55</v>
      </c>
      <c r="D73">
        <v>2019</v>
      </c>
      <c r="E73">
        <v>51</v>
      </c>
      <c r="F73">
        <v>95</v>
      </c>
      <c r="G73" t="s">
        <v>20</v>
      </c>
      <c r="H73" t="s">
        <v>62</v>
      </c>
      <c r="I73" t="s">
        <v>72</v>
      </c>
      <c r="J73" t="s">
        <v>59</v>
      </c>
      <c r="K73">
        <v>4637256.7929999996</v>
      </c>
      <c r="L73">
        <v>416786.451</v>
      </c>
      <c r="M73">
        <v>1.18</v>
      </c>
    </row>
    <row r="74" spans="1:14" x14ac:dyDescent="0.35">
      <c r="A74" t="s">
        <v>54</v>
      </c>
      <c r="B74">
        <v>28</v>
      </c>
      <c r="C74" t="s">
        <v>55</v>
      </c>
      <c r="D74">
        <v>2019</v>
      </c>
      <c r="E74">
        <v>51</v>
      </c>
      <c r="F74">
        <v>96</v>
      </c>
      <c r="G74" t="s">
        <v>20</v>
      </c>
      <c r="H74" t="s">
        <v>62</v>
      </c>
      <c r="I74" t="s">
        <v>72</v>
      </c>
      <c r="J74" t="s">
        <v>59</v>
      </c>
      <c r="K74">
        <v>4637256.1169999996</v>
      </c>
      <c r="L74">
        <v>416787.67700000003</v>
      </c>
      <c r="M74">
        <v>1.198</v>
      </c>
    </row>
    <row r="75" spans="1:14" x14ac:dyDescent="0.35">
      <c r="A75" t="s">
        <v>54</v>
      </c>
      <c r="B75">
        <v>28</v>
      </c>
      <c r="C75" t="s">
        <v>55</v>
      </c>
      <c r="D75">
        <v>2019</v>
      </c>
      <c r="E75">
        <v>54</v>
      </c>
      <c r="F75">
        <v>99</v>
      </c>
      <c r="G75" t="s">
        <v>20</v>
      </c>
      <c r="H75" t="s">
        <v>62</v>
      </c>
      <c r="I75" t="s">
        <v>72</v>
      </c>
      <c r="J75" t="s">
        <v>59</v>
      </c>
      <c r="K75">
        <v>4637253.7419999996</v>
      </c>
      <c r="L75">
        <v>416791.77899999998</v>
      </c>
      <c r="M75">
        <v>1.2430000000000001</v>
      </c>
    </row>
    <row r="76" spans="1:14" x14ac:dyDescent="0.35">
      <c r="A76" t="s">
        <v>54</v>
      </c>
      <c r="B76">
        <v>28</v>
      </c>
      <c r="C76" t="s">
        <v>55</v>
      </c>
      <c r="D76">
        <v>2019</v>
      </c>
      <c r="E76">
        <v>54</v>
      </c>
      <c r="F76">
        <v>100</v>
      </c>
      <c r="G76" t="s">
        <v>20</v>
      </c>
      <c r="H76" t="s">
        <v>62</v>
      </c>
      <c r="I76" t="s">
        <v>72</v>
      </c>
      <c r="J76" t="s">
        <v>59</v>
      </c>
      <c r="K76">
        <v>4637246.93</v>
      </c>
      <c r="L76">
        <v>416796.04700000002</v>
      </c>
      <c r="M76">
        <v>1.1719999999999999</v>
      </c>
    </row>
    <row r="77" spans="1:14" x14ac:dyDescent="0.35">
      <c r="A77" t="s">
        <v>54</v>
      </c>
      <c r="B77">
        <v>28</v>
      </c>
      <c r="C77" t="s">
        <v>55</v>
      </c>
      <c r="D77">
        <v>2019</v>
      </c>
      <c r="E77">
        <v>55</v>
      </c>
      <c r="F77">
        <v>101</v>
      </c>
      <c r="G77" t="s">
        <v>18</v>
      </c>
      <c r="H77" t="s">
        <v>64</v>
      </c>
      <c r="I77" t="s">
        <v>63</v>
      </c>
      <c r="J77" t="s">
        <v>59</v>
      </c>
      <c r="K77">
        <v>4637247.7709999997</v>
      </c>
      <c r="L77">
        <v>416797.45899999997</v>
      </c>
      <c r="M77">
        <v>1.1759999999999999</v>
      </c>
    </row>
    <row r="78" spans="1:14" x14ac:dyDescent="0.35">
      <c r="A78" t="s">
        <v>54</v>
      </c>
      <c r="B78">
        <v>28</v>
      </c>
      <c r="C78" t="s">
        <v>55</v>
      </c>
      <c r="D78">
        <v>2019</v>
      </c>
      <c r="E78">
        <v>55</v>
      </c>
      <c r="F78">
        <v>102</v>
      </c>
      <c r="G78" t="s">
        <v>18</v>
      </c>
      <c r="H78" t="s">
        <v>64</v>
      </c>
      <c r="I78" t="s">
        <v>63</v>
      </c>
      <c r="J78" t="s">
        <v>59</v>
      </c>
      <c r="K78">
        <v>4637240.8159999996</v>
      </c>
      <c r="L78">
        <v>416803.96899999998</v>
      </c>
      <c r="M78">
        <v>1.196</v>
      </c>
      <c r="N78" t="s">
        <v>26</v>
      </c>
    </row>
    <row r="79" spans="1:14" x14ac:dyDescent="0.35">
      <c r="A79" t="s">
        <v>54</v>
      </c>
      <c r="B79">
        <v>28</v>
      </c>
      <c r="C79" t="s">
        <v>55</v>
      </c>
      <c r="D79">
        <v>2019</v>
      </c>
      <c r="E79">
        <v>55</v>
      </c>
      <c r="F79">
        <v>103</v>
      </c>
      <c r="G79" t="s">
        <v>18</v>
      </c>
      <c r="H79" t="s">
        <v>64</v>
      </c>
      <c r="I79" t="s">
        <v>63</v>
      </c>
      <c r="J79" t="s">
        <v>59</v>
      </c>
      <c r="K79">
        <v>4637238.2920000004</v>
      </c>
      <c r="L79">
        <v>416803.81400000001</v>
      </c>
      <c r="M79">
        <v>1.222</v>
      </c>
      <c r="N79" t="s">
        <v>26</v>
      </c>
    </row>
    <row r="80" spans="1:14" x14ac:dyDescent="0.35">
      <c r="A80" t="s">
        <v>54</v>
      </c>
      <c r="B80">
        <v>28</v>
      </c>
      <c r="C80" t="s">
        <v>55</v>
      </c>
      <c r="D80">
        <v>2019</v>
      </c>
      <c r="E80">
        <v>55</v>
      </c>
      <c r="F80">
        <v>104</v>
      </c>
      <c r="G80" t="s">
        <v>18</v>
      </c>
      <c r="H80" t="s">
        <v>64</v>
      </c>
      <c r="I80" t="s">
        <v>63</v>
      </c>
      <c r="J80" t="s">
        <v>59</v>
      </c>
      <c r="K80">
        <v>4637243.5029999996</v>
      </c>
      <c r="L80">
        <v>416795.50099999999</v>
      </c>
      <c r="M80">
        <v>1.1559999999999999</v>
      </c>
      <c r="N80" t="s">
        <v>26</v>
      </c>
    </row>
    <row r="81" spans="1:14" x14ac:dyDescent="0.35">
      <c r="A81" t="s">
        <v>54</v>
      </c>
      <c r="B81">
        <v>28</v>
      </c>
      <c r="C81" t="s">
        <v>55</v>
      </c>
      <c r="D81">
        <v>2019</v>
      </c>
      <c r="E81">
        <v>55</v>
      </c>
      <c r="F81">
        <v>105</v>
      </c>
      <c r="G81" t="s">
        <v>18</v>
      </c>
      <c r="H81" t="s">
        <v>64</v>
      </c>
      <c r="I81" t="s">
        <v>63</v>
      </c>
      <c r="J81" t="s">
        <v>59</v>
      </c>
      <c r="K81">
        <v>4637233.4610000001</v>
      </c>
      <c r="L81">
        <v>416788.62599999999</v>
      </c>
      <c r="M81">
        <v>1.1759999999999999</v>
      </c>
      <c r="N81" t="s">
        <v>26</v>
      </c>
    </row>
    <row r="82" spans="1:14" x14ac:dyDescent="0.35">
      <c r="A82" t="s">
        <v>54</v>
      </c>
      <c r="B82">
        <v>28</v>
      </c>
      <c r="C82" t="s">
        <v>55</v>
      </c>
      <c r="D82">
        <v>2019</v>
      </c>
      <c r="E82">
        <v>55</v>
      </c>
      <c r="F82">
        <v>106</v>
      </c>
      <c r="G82" t="s">
        <v>18</v>
      </c>
      <c r="H82" t="s">
        <v>64</v>
      </c>
      <c r="I82" t="s">
        <v>63</v>
      </c>
      <c r="J82" t="s">
        <v>59</v>
      </c>
      <c r="K82">
        <v>4637249.716</v>
      </c>
      <c r="L82">
        <v>416786.92</v>
      </c>
      <c r="M82">
        <v>1.141</v>
      </c>
      <c r="N82" t="s">
        <v>26</v>
      </c>
    </row>
    <row r="83" spans="1:14" x14ac:dyDescent="0.35">
      <c r="A83" t="s">
        <v>54</v>
      </c>
      <c r="B83">
        <v>28</v>
      </c>
      <c r="C83" t="s">
        <v>55</v>
      </c>
      <c r="D83">
        <v>2019</v>
      </c>
      <c r="E83">
        <v>55</v>
      </c>
      <c r="F83">
        <v>107</v>
      </c>
      <c r="G83" t="s">
        <v>18</v>
      </c>
      <c r="H83" t="s">
        <v>64</v>
      </c>
      <c r="I83" t="s">
        <v>63</v>
      </c>
      <c r="J83" t="s">
        <v>59</v>
      </c>
      <c r="K83">
        <v>4637232.7379999999</v>
      </c>
      <c r="L83">
        <v>416783.19</v>
      </c>
      <c r="M83">
        <v>1.1919999999999999</v>
      </c>
      <c r="N83" t="s">
        <v>26</v>
      </c>
    </row>
    <row r="84" spans="1:14" x14ac:dyDescent="0.35">
      <c r="A84" t="s">
        <v>54</v>
      </c>
      <c r="B84">
        <v>28</v>
      </c>
      <c r="C84" t="s">
        <v>55</v>
      </c>
      <c r="D84">
        <v>2019</v>
      </c>
      <c r="E84">
        <v>56</v>
      </c>
      <c r="F84">
        <v>108</v>
      </c>
      <c r="G84" t="s">
        <v>37</v>
      </c>
      <c r="H84" t="s">
        <v>62</v>
      </c>
      <c r="I84" t="s">
        <v>74</v>
      </c>
      <c r="J84" t="s">
        <v>59</v>
      </c>
      <c r="K84">
        <v>4637231.8130000001</v>
      </c>
      <c r="L84">
        <v>416784.93300000002</v>
      </c>
      <c r="M84">
        <v>1.1950000000000001</v>
      </c>
    </row>
    <row r="85" spans="1:14" x14ac:dyDescent="0.35">
      <c r="A85" t="s">
        <v>54</v>
      </c>
      <c r="B85">
        <v>28</v>
      </c>
      <c r="C85" t="s">
        <v>55</v>
      </c>
      <c r="D85">
        <v>2019</v>
      </c>
      <c r="E85">
        <v>56</v>
      </c>
      <c r="F85">
        <v>109</v>
      </c>
      <c r="G85" t="s">
        <v>37</v>
      </c>
      <c r="H85" t="s">
        <v>62</v>
      </c>
      <c r="I85" t="s">
        <v>74</v>
      </c>
      <c r="J85" t="s">
        <v>59</v>
      </c>
      <c r="K85">
        <v>4637230.9369999999</v>
      </c>
      <c r="L85">
        <v>416791.17700000003</v>
      </c>
      <c r="M85">
        <v>1.218</v>
      </c>
    </row>
    <row r="86" spans="1:14" x14ac:dyDescent="0.35">
      <c r="A86" t="s">
        <v>54</v>
      </c>
      <c r="B86">
        <v>28</v>
      </c>
      <c r="C86" t="s">
        <v>55</v>
      </c>
      <c r="D86">
        <v>2019</v>
      </c>
      <c r="E86">
        <v>57</v>
      </c>
      <c r="F86">
        <v>110</v>
      </c>
      <c r="G86" t="s">
        <v>38</v>
      </c>
      <c r="H86" t="s">
        <v>75</v>
      </c>
      <c r="I86" t="s">
        <v>72</v>
      </c>
      <c r="J86" t="s">
        <v>59</v>
      </c>
      <c r="K86">
        <v>4637230.3229999999</v>
      </c>
      <c r="L86">
        <v>416793.03600000002</v>
      </c>
      <c r="M86">
        <v>1.1870000000000001</v>
      </c>
    </row>
    <row r="87" spans="1:14" x14ac:dyDescent="0.35">
      <c r="A87" t="s">
        <v>54</v>
      </c>
      <c r="B87">
        <v>28</v>
      </c>
      <c r="C87" t="s">
        <v>55</v>
      </c>
      <c r="D87">
        <v>2019</v>
      </c>
      <c r="E87">
        <v>57</v>
      </c>
      <c r="F87">
        <v>111</v>
      </c>
      <c r="G87" t="s">
        <v>38</v>
      </c>
      <c r="H87" t="s">
        <v>75</v>
      </c>
      <c r="I87" t="s">
        <v>72</v>
      </c>
      <c r="J87" t="s">
        <v>59</v>
      </c>
      <c r="K87">
        <v>4637231.858</v>
      </c>
      <c r="L87">
        <v>416814.26699999999</v>
      </c>
      <c r="M87">
        <v>1.3440000000000001</v>
      </c>
    </row>
    <row r="88" spans="1:14" x14ac:dyDescent="0.35">
      <c r="A88" t="s">
        <v>54</v>
      </c>
      <c r="B88">
        <v>28</v>
      </c>
      <c r="C88" t="s">
        <v>55</v>
      </c>
      <c r="D88">
        <v>2019</v>
      </c>
      <c r="E88">
        <v>58</v>
      </c>
      <c r="F88">
        <v>112</v>
      </c>
      <c r="G88" t="s">
        <v>39</v>
      </c>
      <c r="H88" t="s">
        <v>61</v>
      </c>
      <c r="I88" t="s">
        <v>72</v>
      </c>
      <c r="J88" t="s">
        <v>59</v>
      </c>
      <c r="K88">
        <v>4637231.5149999997</v>
      </c>
      <c r="L88">
        <v>416816.30699999997</v>
      </c>
      <c r="M88">
        <v>1.3540000000000001</v>
      </c>
    </row>
    <row r="89" spans="1:14" x14ac:dyDescent="0.35">
      <c r="A89" t="s">
        <v>54</v>
      </c>
      <c r="B89">
        <v>28</v>
      </c>
      <c r="C89" t="s">
        <v>55</v>
      </c>
      <c r="D89">
        <v>2019</v>
      </c>
      <c r="E89">
        <v>58</v>
      </c>
      <c r="F89">
        <v>113</v>
      </c>
      <c r="G89" t="s">
        <v>39</v>
      </c>
      <c r="H89" t="s">
        <v>61</v>
      </c>
      <c r="I89" t="s">
        <v>72</v>
      </c>
      <c r="J89" t="s">
        <v>59</v>
      </c>
      <c r="K89">
        <v>4637227.6229999997</v>
      </c>
      <c r="L89">
        <v>416823.94099999999</v>
      </c>
      <c r="M89">
        <v>1.448</v>
      </c>
    </row>
    <row r="90" spans="1:14" x14ac:dyDescent="0.35">
      <c r="A90" t="s">
        <v>54</v>
      </c>
      <c r="B90">
        <v>28</v>
      </c>
      <c r="C90" t="s">
        <v>55</v>
      </c>
      <c r="D90">
        <v>2019</v>
      </c>
      <c r="E90">
        <v>60</v>
      </c>
      <c r="F90">
        <v>115</v>
      </c>
      <c r="G90" t="s">
        <v>39</v>
      </c>
      <c r="H90" t="s">
        <v>61</v>
      </c>
      <c r="I90" t="s">
        <v>72</v>
      </c>
      <c r="J90" t="s">
        <v>59</v>
      </c>
      <c r="K90">
        <v>4637224.9419999998</v>
      </c>
      <c r="L90">
        <v>416824.821</v>
      </c>
      <c r="M90">
        <v>1.5289999999999999</v>
      </c>
    </row>
    <row r="91" spans="1:14" x14ac:dyDescent="0.35">
      <c r="A91" t="s">
        <v>54</v>
      </c>
      <c r="B91">
        <v>28</v>
      </c>
      <c r="C91" t="s">
        <v>55</v>
      </c>
      <c r="D91">
        <v>2019</v>
      </c>
      <c r="E91">
        <v>60</v>
      </c>
      <c r="F91">
        <v>116</v>
      </c>
      <c r="G91" t="s">
        <v>39</v>
      </c>
      <c r="H91" t="s">
        <v>61</v>
      </c>
      <c r="I91" t="s">
        <v>72</v>
      </c>
      <c r="J91" t="s">
        <v>59</v>
      </c>
      <c r="K91">
        <v>4637211.585</v>
      </c>
      <c r="L91">
        <v>416816.39</v>
      </c>
      <c r="M91">
        <v>1.3360000000000001</v>
      </c>
    </row>
    <row r="92" spans="1:14" x14ac:dyDescent="0.35">
      <c r="A92" t="s">
        <v>54</v>
      </c>
      <c r="B92">
        <v>28</v>
      </c>
      <c r="C92" t="s">
        <v>55</v>
      </c>
      <c r="D92">
        <v>2019</v>
      </c>
      <c r="E92">
        <v>61</v>
      </c>
      <c r="F92">
        <v>117</v>
      </c>
      <c r="G92" t="s">
        <v>38</v>
      </c>
      <c r="H92" t="s">
        <v>75</v>
      </c>
      <c r="I92" t="s">
        <v>72</v>
      </c>
      <c r="J92" t="s">
        <v>59</v>
      </c>
      <c r="K92">
        <v>4637209.9170000004</v>
      </c>
      <c r="L92">
        <v>416815.674</v>
      </c>
      <c r="M92">
        <v>1.3140000000000001</v>
      </c>
    </row>
    <row r="93" spans="1:14" x14ac:dyDescent="0.35">
      <c r="A93" t="s">
        <v>54</v>
      </c>
      <c r="B93">
        <v>28</v>
      </c>
      <c r="C93" t="s">
        <v>55</v>
      </c>
      <c r="D93">
        <v>2019</v>
      </c>
      <c r="E93">
        <v>61</v>
      </c>
      <c r="F93">
        <v>118</v>
      </c>
      <c r="G93" t="s">
        <v>38</v>
      </c>
      <c r="H93" t="s">
        <v>75</v>
      </c>
      <c r="I93" t="s">
        <v>72</v>
      </c>
      <c r="J93" t="s">
        <v>59</v>
      </c>
      <c r="K93">
        <v>4637209.6710000001</v>
      </c>
      <c r="L93">
        <v>416780.10700000002</v>
      </c>
      <c r="M93">
        <v>1.1559999999999999</v>
      </c>
    </row>
    <row r="94" spans="1:14" x14ac:dyDescent="0.35">
      <c r="A94" t="s">
        <v>54</v>
      </c>
      <c r="B94">
        <v>28</v>
      </c>
      <c r="C94" t="s">
        <v>55</v>
      </c>
      <c r="D94">
        <v>2019</v>
      </c>
      <c r="E94">
        <v>62</v>
      </c>
      <c r="F94">
        <v>119</v>
      </c>
      <c r="G94" t="s">
        <v>20</v>
      </c>
      <c r="H94" t="s">
        <v>62</v>
      </c>
      <c r="I94" t="s">
        <v>72</v>
      </c>
      <c r="J94" t="s">
        <v>59</v>
      </c>
      <c r="K94">
        <v>4637209.0259999996</v>
      </c>
      <c r="L94">
        <v>416778.39799999999</v>
      </c>
      <c r="M94">
        <v>1.1140000000000001</v>
      </c>
    </row>
    <row r="95" spans="1:14" x14ac:dyDescent="0.35">
      <c r="A95" t="s">
        <v>54</v>
      </c>
      <c r="B95">
        <v>28</v>
      </c>
      <c r="C95" t="s">
        <v>55</v>
      </c>
      <c r="D95">
        <v>2019</v>
      </c>
      <c r="E95">
        <v>62</v>
      </c>
      <c r="F95">
        <v>119</v>
      </c>
      <c r="G95" t="s">
        <v>20</v>
      </c>
      <c r="H95" t="s">
        <v>62</v>
      </c>
      <c r="I95" t="s">
        <v>72</v>
      </c>
      <c r="J95" t="s">
        <v>59</v>
      </c>
      <c r="K95">
        <v>4637209.0259999996</v>
      </c>
      <c r="L95">
        <v>416778.39799999999</v>
      </c>
      <c r="M95">
        <v>1.1140000000000001</v>
      </c>
    </row>
    <row r="96" spans="1:14" x14ac:dyDescent="0.35">
      <c r="A96" t="s">
        <v>54</v>
      </c>
      <c r="B96">
        <v>28</v>
      </c>
      <c r="C96" t="s">
        <v>55</v>
      </c>
      <c r="D96">
        <v>2019</v>
      </c>
      <c r="E96">
        <v>62</v>
      </c>
      <c r="F96">
        <v>120</v>
      </c>
      <c r="G96" t="s">
        <v>20</v>
      </c>
      <c r="H96" t="s">
        <v>62</v>
      </c>
      <c r="I96" t="s">
        <v>72</v>
      </c>
      <c r="J96" t="s">
        <v>59</v>
      </c>
      <c r="K96">
        <v>4637212.58</v>
      </c>
      <c r="L96">
        <v>416773.54</v>
      </c>
      <c r="M96">
        <v>1.1439999999999999</v>
      </c>
    </row>
    <row r="97" spans="1:14" x14ac:dyDescent="0.35">
      <c r="A97" t="s">
        <v>54</v>
      </c>
      <c r="B97">
        <v>28</v>
      </c>
      <c r="C97" t="s">
        <v>55</v>
      </c>
      <c r="D97">
        <v>2019</v>
      </c>
      <c r="E97">
        <v>62</v>
      </c>
      <c r="F97">
        <v>120</v>
      </c>
      <c r="G97" t="s">
        <v>20</v>
      </c>
      <c r="H97" t="s">
        <v>62</v>
      </c>
      <c r="I97" t="s">
        <v>72</v>
      </c>
      <c r="J97" t="s">
        <v>59</v>
      </c>
      <c r="K97">
        <v>4637212.58</v>
      </c>
      <c r="L97">
        <v>416773.54</v>
      </c>
      <c r="M97">
        <v>1.1439999999999999</v>
      </c>
    </row>
    <row r="98" spans="1:14" x14ac:dyDescent="0.35">
      <c r="A98" t="s">
        <v>54</v>
      </c>
      <c r="B98">
        <v>28</v>
      </c>
      <c r="C98" t="s">
        <v>55</v>
      </c>
      <c r="D98">
        <v>2019</v>
      </c>
      <c r="E98">
        <v>62</v>
      </c>
      <c r="F98">
        <v>121</v>
      </c>
      <c r="G98" t="s">
        <v>20</v>
      </c>
      <c r="H98" t="s">
        <v>62</v>
      </c>
      <c r="I98" t="s">
        <v>72</v>
      </c>
      <c r="J98" t="s">
        <v>59</v>
      </c>
      <c r="K98">
        <v>4637214.41</v>
      </c>
      <c r="L98">
        <v>416774.1</v>
      </c>
      <c r="M98">
        <v>1.0649999999999999</v>
      </c>
    </row>
    <row r="99" spans="1:14" x14ac:dyDescent="0.35">
      <c r="A99" t="s">
        <v>54</v>
      </c>
      <c r="B99">
        <v>28</v>
      </c>
      <c r="C99" t="s">
        <v>55</v>
      </c>
      <c r="D99">
        <v>2019</v>
      </c>
      <c r="E99">
        <v>63</v>
      </c>
      <c r="F99">
        <v>122</v>
      </c>
      <c r="G99" t="s">
        <v>40</v>
      </c>
      <c r="H99" t="s">
        <v>64</v>
      </c>
      <c r="I99" t="s">
        <v>76</v>
      </c>
      <c r="J99" t="s">
        <v>59</v>
      </c>
      <c r="K99">
        <v>4637214.9809999997</v>
      </c>
      <c r="L99">
        <v>416775.799</v>
      </c>
      <c r="M99">
        <v>1.115</v>
      </c>
    </row>
    <row r="100" spans="1:14" x14ac:dyDescent="0.35">
      <c r="A100" t="s">
        <v>54</v>
      </c>
      <c r="B100">
        <v>28</v>
      </c>
      <c r="C100" t="s">
        <v>55</v>
      </c>
      <c r="D100">
        <v>2019</v>
      </c>
      <c r="E100">
        <v>63</v>
      </c>
      <c r="F100">
        <v>123</v>
      </c>
      <c r="G100" t="s">
        <v>40</v>
      </c>
      <c r="H100" t="s">
        <v>64</v>
      </c>
      <c r="I100" t="s">
        <v>76</v>
      </c>
      <c r="J100" t="s">
        <v>59</v>
      </c>
      <c r="K100">
        <v>4637215.4939999999</v>
      </c>
      <c r="L100">
        <v>416778.81800000003</v>
      </c>
      <c r="M100">
        <v>1.167</v>
      </c>
    </row>
    <row r="101" spans="1:14" x14ac:dyDescent="0.35">
      <c r="A101" t="s">
        <v>54</v>
      </c>
      <c r="B101">
        <v>28</v>
      </c>
      <c r="C101" t="s">
        <v>55</v>
      </c>
      <c r="D101">
        <v>2019</v>
      </c>
      <c r="E101">
        <v>64</v>
      </c>
      <c r="F101">
        <v>124</v>
      </c>
      <c r="G101" t="s">
        <v>38</v>
      </c>
      <c r="H101" t="s">
        <v>75</v>
      </c>
      <c r="I101" t="s">
        <v>72</v>
      </c>
      <c r="J101" t="s">
        <v>59</v>
      </c>
      <c r="K101">
        <v>4637215.7790000001</v>
      </c>
      <c r="L101">
        <v>416780.337</v>
      </c>
      <c r="M101">
        <v>1.135</v>
      </c>
    </row>
    <row r="102" spans="1:14" x14ac:dyDescent="0.35">
      <c r="A102" t="s">
        <v>54</v>
      </c>
      <c r="B102">
        <v>28</v>
      </c>
      <c r="C102" t="s">
        <v>55</v>
      </c>
      <c r="D102">
        <v>2019</v>
      </c>
      <c r="E102">
        <v>64</v>
      </c>
      <c r="F102">
        <v>125</v>
      </c>
      <c r="G102" t="s">
        <v>38</v>
      </c>
      <c r="H102" t="s">
        <v>75</v>
      </c>
      <c r="I102" t="s">
        <v>72</v>
      </c>
      <c r="J102" t="s">
        <v>59</v>
      </c>
      <c r="K102">
        <v>4637224.08</v>
      </c>
      <c r="L102">
        <v>416812.74800000002</v>
      </c>
      <c r="M102">
        <v>1.371</v>
      </c>
    </row>
    <row r="103" spans="1:14" x14ac:dyDescent="0.35">
      <c r="A103" t="s">
        <v>54</v>
      </c>
      <c r="B103">
        <v>28</v>
      </c>
      <c r="C103" t="s">
        <v>55</v>
      </c>
      <c r="D103">
        <v>2019</v>
      </c>
      <c r="E103">
        <v>71</v>
      </c>
      <c r="F103">
        <v>132</v>
      </c>
      <c r="G103" t="s">
        <v>20</v>
      </c>
      <c r="H103" t="s">
        <v>62</v>
      </c>
      <c r="I103" t="s">
        <v>72</v>
      </c>
      <c r="J103" t="s">
        <v>59</v>
      </c>
      <c r="K103">
        <v>4637290.7170000002</v>
      </c>
      <c r="L103">
        <v>416744.28899999999</v>
      </c>
      <c r="M103">
        <v>1.482</v>
      </c>
      <c r="N103" t="s">
        <v>41</v>
      </c>
    </row>
    <row r="104" spans="1:14" x14ac:dyDescent="0.35">
      <c r="A104" t="s">
        <v>54</v>
      </c>
      <c r="B104">
        <v>28</v>
      </c>
      <c r="C104" t="s">
        <v>55</v>
      </c>
      <c r="D104">
        <v>2019</v>
      </c>
      <c r="E104">
        <v>71</v>
      </c>
      <c r="F104">
        <v>133</v>
      </c>
      <c r="G104" t="s">
        <v>20</v>
      </c>
      <c r="H104" t="s">
        <v>62</v>
      </c>
      <c r="I104" t="s">
        <v>72</v>
      </c>
      <c r="J104" t="s">
        <v>59</v>
      </c>
      <c r="K104">
        <v>4637284.8389999997</v>
      </c>
      <c r="L104">
        <v>416751.87199999997</v>
      </c>
      <c r="M104">
        <v>1.393</v>
      </c>
    </row>
    <row r="105" spans="1:14" x14ac:dyDescent="0.35">
      <c r="A105" t="s">
        <v>54</v>
      </c>
      <c r="B105">
        <v>28</v>
      </c>
      <c r="C105" t="s">
        <v>55</v>
      </c>
      <c r="D105">
        <v>2019</v>
      </c>
      <c r="E105">
        <v>72</v>
      </c>
      <c r="F105">
        <v>134</v>
      </c>
      <c r="G105" t="s">
        <v>42</v>
      </c>
      <c r="H105" t="s">
        <v>62</v>
      </c>
      <c r="I105" t="s">
        <v>77</v>
      </c>
      <c r="J105" t="s">
        <v>59</v>
      </c>
      <c r="K105">
        <v>4637283.9910000004</v>
      </c>
      <c r="L105">
        <v>416753.01799999998</v>
      </c>
      <c r="M105">
        <v>1.409</v>
      </c>
    </row>
    <row r="106" spans="1:14" x14ac:dyDescent="0.35">
      <c r="A106" t="s">
        <v>54</v>
      </c>
      <c r="B106">
        <v>28</v>
      </c>
      <c r="C106" t="s">
        <v>55</v>
      </c>
      <c r="D106">
        <v>2019</v>
      </c>
      <c r="E106">
        <v>72</v>
      </c>
      <c r="F106">
        <v>135</v>
      </c>
      <c r="G106" t="s">
        <v>42</v>
      </c>
      <c r="H106" t="s">
        <v>62</v>
      </c>
      <c r="I106" t="s">
        <v>77</v>
      </c>
      <c r="J106" t="s">
        <v>59</v>
      </c>
      <c r="K106">
        <v>4637282.7640000004</v>
      </c>
      <c r="L106">
        <v>416754.92</v>
      </c>
      <c r="M106">
        <v>1.321</v>
      </c>
    </row>
    <row r="107" spans="1:14" x14ac:dyDescent="0.35">
      <c r="A107" t="s">
        <v>54</v>
      </c>
      <c r="B107">
        <v>28</v>
      </c>
      <c r="C107" t="s">
        <v>55</v>
      </c>
      <c r="D107">
        <v>2019</v>
      </c>
      <c r="E107">
        <v>74</v>
      </c>
      <c r="F107">
        <v>137</v>
      </c>
      <c r="G107" t="s">
        <v>20</v>
      </c>
      <c r="H107" t="s">
        <v>62</v>
      </c>
      <c r="I107" t="s">
        <v>72</v>
      </c>
      <c r="J107" t="s">
        <v>59</v>
      </c>
      <c r="K107">
        <v>4637272.9349999996</v>
      </c>
      <c r="L107">
        <v>416764.06300000002</v>
      </c>
      <c r="M107">
        <v>1.274</v>
      </c>
    </row>
    <row r="108" spans="1:14" x14ac:dyDescent="0.35">
      <c r="A108" t="s">
        <v>54</v>
      </c>
      <c r="B108">
        <v>28</v>
      </c>
      <c r="C108" t="s">
        <v>55</v>
      </c>
      <c r="D108">
        <v>2019</v>
      </c>
      <c r="E108">
        <v>74</v>
      </c>
      <c r="F108">
        <v>138</v>
      </c>
      <c r="G108" t="s">
        <v>20</v>
      </c>
      <c r="H108" t="s">
        <v>62</v>
      </c>
      <c r="I108" t="s">
        <v>72</v>
      </c>
      <c r="J108" t="s">
        <v>59</v>
      </c>
      <c r="K108">
        <v>4637266.9340000004</v>
      </c>
      <c r="L108">
        <v>416776.33299999998</v>
      </c>
      <c r="M108">
        <v>1.177</v>
      </c>
    </row>
    <row r="109" spans="1:14" x14ac:dyDescent="0.35">
      <c r="A109" t="s">
        <v>54</v>
      </c>
      <c r="B109">
        <v>28</v>
      </c>
      <c r="C109" t="s">
        <v>55</v>
      </c>
      <c r="D109">
        <v>2019</v>
      </c>
      <c r="E109">
        <v>76</v>
      </c>
      <c r="F109">
        <v>140</v>
      </c>
      <c r="G109" t="s">
        <v>33</v>
      </c>
      <c r="H109" t="s">
        <v>62</v>
      </c>
      <c r="I109" t="s">
        <v>73</v>
      </c>
      <c r="J109" t="s">
        <v>59</v>
      </c>
      <c r="K109">
        <v>4637264.8760000002</v>
      </c>
      <c r="L109">
        <v>416779.70600000001</v>
      </c>
      <c r="M109">
        <v>1.1579999999999999</v>
      </c>
    </row>
    <row r="110" spans="1:14" x14ac:dyDescent="0.35">
      <c r="A110" t="s">
        <v>54</v>
      </c>
      <c r="B110">
        <v>28</v>
      </c>
      <c r="C110" t="s">
        <v>55</v>
      </c>
      <c r="D110">
        <v>2019</v>
      </c>
      <c r="E110">
        <v>76</v>
      </c>
      <c r="F110">
        <v>141</v>
      </c>
      <c r="G110" t="s">
        <v>33</v>
      </c>
      <c r="H110" t="s">
        <v>62</v>
      </c>
      <c r="I110" t="s">
        <v>73</v>
      </c>
      <c r="J110" t="s">
        <v>59</v>
      </c>
      <c r="K110">
        <v>4637261.5930000003</v>
      </c>
      <c r="L110">
        <v>416784.89799999999</v>
      </c>
      <c r="M110">
        <v>1.1559999999999999</v>
      </c>
    </row>
    <row r="111" spans="1:14" x14ac:dyDescent="0.35">
      <c r="A111" t="s">
        <v>54</v>
      </c>
      <c r="B111">
        <v>28</v>
      </c>
      <c r="C111" t="s">
        <v>55</v>
      </c>
      <c r="D111">
        <v>2019</v>
      </c>
      <c r="E111">
        <v>77</v>
      </c>
      <c r="F111">
        <v>142</v>
      </c>
      <c r="G111" t="s">
        <v>42</v>
      </c>
      <c r="H111" t="s">
        <v>62</v>
      </c>
      <c r="I111" t="s">
        <v>77</v>
      </c>
      <c r="J111" t="s">
        <v>59</v>
      </c>
      <c r="K111">
        <v>4637260.7649999997</v>
      </c>
      <c r="L111">
        <v>416786.19900000002</v>
      </c>
      <c r="M111">
        <v>1.1830000000000001</v>
      </c>
    </row>
    <row r="112" spans="1:14" x14ac:dyDescent="0.35">
      <c r="A112" t="s">
        <v>54</v>
      </c>
      <c r="B112">
        <v>28</v>
      </c>
      <c r="C112" t="s">
        <v>55</v>
      </c>
      <c r="D112">
        <v>2019</v>
      </c>
      <c r="E112">
        <v>77</v>
      </c>
      <c r="F112">
        <v>143</v>
      </c>
      <c r="G112" t="s">
        <v>42</v>
      </c>
      <c r="H112" t="s">
        <v>62</v>
      </c>
      <c r="I112" t="s">
        <v>77</v>
      </c>
      <c r="J112" t="s">
        <v>59</v>
      </c>
      <c r="K112">
        <v>4637259.5820000004</v>
      </c>
      <c r="L112">
        <v>416788.07299999997</v>
      </c>
      <c r="M112">
        <v>1.1819999999999999</v>
      </c>
    </row>
    <row r="113" spans="1:13" x14ac:dyDescent="0.35">
      <c r="A113" t="s">
        <v>54</v>
      </c>
      <c r="B113">
        <v>28</v>
      </c>
      <c r="C113" t="s">
        <v>55</v>
      </c>
      <c r="D113">
        <v>2019</v>
      </c>
      <c r="E113">
        <v>78</v>
      </c>
      <c r="F113">
        <v>144</v>
      </c>
      <c r="G113" t="s">
        <v>20</v>
      </c>
      <c r="H113" t="s">
        <v>62</v>
      </c>
      <c r="I113" t="s">
        <v>72</v>
      </c>
      <c r="J113" t="s">
        <v>59</v>
      </c>
      <c r="K113">
        <v>4637258.95</v>
      </c>
      <c r="L113">
        <v>416789.23100000003</v>
      </c>
      <c r="M113">
        <v>1.2210000000000001</v>
      </c>
    </row>
    <row r="114" spans="1:13" x14ac:dyDescent="0.35">
      <c r="A114" t="s">
        <v>54</v>
      </c>
      <c r="B114">
        <v>28</v>
      </c>
      <c r="C114" t="s">
        <v>55</v>
      </c>
      <c r="D114">
        <v>2019</v>
      </c>
      <c r="E114">
        <v>78</v>
      </c>
      <c r="F114">
        <v>145</v>
      </c>
      <c r="G114" t="s">
        <v>20</v>
      </c>
      <c r="H114" t="s">
        <v>62</v>
      </c>
      <c r="I114" t="s">
        <v>72</v>
      </c>
      <c r="J114" t="s">
        <v>59</v>
      </c>
      <c r="K114">
        <v>4637257.5920000002</v>
      </c>
      <c r="L114">
        <v>416791.34600000002</v>
      </c>
      <c r="M114">
        <v>1.212</v>
      </c>
    </row>
    <row r="115" spans="1:13" x14ac:dyDescent="0.35">
      <c r="A115" t="s">
        <v>54</v>
      </c>
      <c r="B115">
        <v>28</v>
      </c>
      <c r="C115" t="s">
        <v>55</v>
      </c>
      <c r="D115">
        <v>2019</v>
      </c>
      <c r="E115">
        <v>79</v>
      </c>
      <c r="F115">
        <v>146</v>
      </c>
      <c r="G115" t="s">
        <v>40</v>
      </c>
      <c r="H115" t="s">
        <v>64</v>
      </c>
      <c r="I115" t="s">
        <v>76</v>
      </c>
      <c r="J115" t="s">
        <v>59</v>
      </c>
      <c r="K115">
        <v>4637258.9330000002</v>
      </c>
      <c r="L115">
        <v>416792.38699999999</v>
      </c>
      <c r="M115">
        <v>1.194</v>
      </c>
    </row>
    <row r="116" spans="1:13" x14ac:dyDescent="0.35">
      <c r="A116" t="s">
        <v>54</v>
      </c>
      <c r="B116">
        <v>28</v>
      </c>
      <c r="C116" t="s">
        <v>55</v>
      </c>
      <c r="D116">
        <v>2019</v>
      </c>
      <c r="E116">
        <v>79</v>
      </c>
      <c r="F116">
        <v>147</v>
      </c>
      <c r="G116" t="s">
        <v>40</v>
      </c>
      <c r="H116" t="s">
        <v>64</v>
      </c>
      <c r="I116" t="s">
        <v>76</v>
      </c>
      <c r="J116" t="s">
        <v>59</v>
      </c>
      <c r="K116">
        <v>4637262.0180000002</v>
      </c>
      <c r="L116">
        <v>416795.636</v>
      </c>
      <c r="M116">
        <v>1.177</v>
      </c>
    </row>
    <row r="117" spans="1:13" x14ac:dyDescent="0.35">
      <c r="A117" t="s">
        <v>54</v>
      </c>
      <c r="B117">
        <v>28</v>
      </c>
      <c r="C117" t="s">
        <v>55</v>
      </c>
      <c r="D117">
        <v>2019</v>
      </c>
      <c r="E117">
        <v>80</v>
      </c>
      <c r="F117">
        <v>148</v>
      </c>
      <c r="G117" t="s">
        <v>38</v>
      </c>
      <c r="H117" t="s">
        <v>75</v>
      </c>
      <c r="I117" t="s">
        <v>72</v>
      </c>
      <c r="J117" t="s">
        <v>59</v>
      </c>
      <c r="K117">
        <v>4637263.1519999998</v>
      </c>
      <c r="L117">
        <v>416797.43599999999</v>
      </c>
      <c r="M117">
        <v>1.2</v>
      </c>
    </row>
    <row r="118" spans="1:13" x14ac:dyDescent="0.35">
      <c r="A118" t="s">
        <v>54</v>
      </c>
      <c r="B118">
        <v>28</v>
      </c>
      <c r="C118" t="s">
        <v>55</v>
      </c>
      <c r="D118">
        <v>2019</v>
      </c>
      <c r="E118">
        <v>80</v>
      </c>
      <c r="F118">
        <v>149</v>
      </c>
      <c r="G118" t="s">
        <v>38</v>
      </c>
      <c r="H118" t="s">
        <v>75</v>
      </c>
      <c r="I118" t="s">
        <v>72</v>
      </c>
      <c r="J118" t="s">
        <v>59</v>
      </c>
      <c r="K118">
        <v>4637264.9280000003</v>
      </c>
      <c r="L118">
        <v>416798.978</v>
      </c>
      <c r="M118">
        <v>1.1879999999999999</v>
      </c>
    </row>
    <row r="119" spans="1:13" x14ac:dyDescent="0.35">
      <c r="A119" t="s">
        <v>54</v>
      </c>
      <c r="B119">
        <v>28</v>
      </c>
      <c r="C119" t="s">
        <v>55</v>
      </c>
      <c r="D119">
        <v>2019</v>
      </c>
      <c r="E119">
        <v>81</v>
      </c>
      <c r="F119">
        <v>150</v>
      </c>
      <c r="G119" t="s">
        <v>40</v>
      </c>
      <c r="H119" t="s">
        <v>64</v>
      </c>
      <c r="I119" t="s">
        <v>76</v>
      </c>
      <c r="J119" t="s">
        <v>59</v>
      </c>
      <c r="K119">
        <v>4637266.1869999999</v>
      </c>
      <c r="L119">
        <v>416800.60100000002</v>
      </c>
      <c r="M119">
        <v>1.1830000000000001</v>
      </c>
    </row>
    <row r="120" spans="1:13" x14ac:dyDescent="0.35">
      <c r="A120" t="s">
        <v>54</v>
      </c>
      <c r="B120">
        <v>28</v>
      </c>
      <c r="C120" t="s">
        <v>55</v>
      </c>
      <c r="D120">
        <v>2019</v>
      </c>
      <c r="E120">
        <v>81</v>
      </c>
      <c r="F120">
        <v>150</v>
      </c>
      <c r="G120" t="s">
        <v>40</v>
      </c>
      <c r="H120" t="s">
        <v>64</v>
      </c>
      <c r="I120" t="s">
        <v>76</v>
      </c>
      <c r="J120" t="s">
        <v>59</v>
      </c>
      <c r="K120">
        <v>4637266.1869999999</v>
      </c>
      <c r="L120">
        <v>416800.60100000002</v>
      </c>
      <c r="M120">
        <v>1.1830000000000001</v>
      </c>
    </row>
    <row r="121" spans="1:13" x14ac:dyDescent="0.35">
      <c r="A121" t="s">
        <v>54</v>
      </c>
      <c r="B121">
        <v>28</v>
      </c>
      <c r="C121" t="s">
        <v>55</v>
      </c>
      <c r="D121">
        <v>2019</v>
      </c>
      <c r="E121">
        <v>83</v>
      </c>
      <c r="F121">
        <v>152</v>
      </c>
      <c r="G121" t="s">
        <v>25</v>
      </c>
      <c r="H121" t="s">
        <v>62</v>
      </c>
      <c r="I121" t="s">
        <v>68</v>
      </c>
      <c r="J121" t="s">
        <v>59</v>
      </c>
      <c r="K121">
        <v>4637285.2079999996</v>
      </c>
      <c r="L121">
        <v>416792.20500000002</v>
      </c>
      <c r="M121">
        <v>1.133</v>
      </c>
    </row>
    <row r="122" spans="1:13" x14ac:dyDescent="0.35">
      <c r="A122" t="s">
        <v>54</v>
      </c>
      <c r="B122">
        <v>28</v>
      </c>
      <c r="C122" t="s">
        <v>55</v>
      </c>
      <c r="D122">
        <v>2019</v>
      </c>
      <c r="E122">
        <v>83</v>
      </c>
      <c r="F122">
        <v>152</v>
      </c>
      <c r="G122" t="s">
        <v>25</v>
      </c>
      <c r="H122" t="s">
        <v>62</v>
      </c>
      <c r="I122" t="s">
        <v>68</v>
      </c>
      <c r="J122" t="s">
        <v>59</v>
      </c>
      <c r="K122">
        <v>4637285.2079999996</v>
      </c>
      <c r="L122">
        <v>416792.20500000002</v>
      </c>
      <c r="M122">
        <v>1.133</v>
      </c>
    </row>
    <row r="123" spans="1:13" x14ac:dyDescent="0.35">
      <c r="A123" t="s">
        <v>54</v>
      </c>
      <c r="B123">
        <v>28</v>
      </c>
      <c r="C123" t="s">
        <v>55</v>
      </c>
      <c r="D123">
        <v>2019</v>
      </c>
      <c r="E123">
        <v>83</v>
      </c>
      <c r="F123">
        <v>153</v>
      </c>
      <c r="G123" t="s">
        <v>25</v>
      </c>
      <c r="H123" t="s">
        <v>62</v>
      </c>
      <c r="I123" t="s">
        <v>68</v>
      </c>
      <c r="J123" t="s">
        <v>59</v>
      </c>
      <c r="K123">
        <v>4637291.4029999999</v>
      </c>
      <c r="L123">
        <v>416804.04499999998</v>
      </c>
      <c r="M123">
        <v>1.115</v>
      </c>
    </row>
    <row r="124" spans="1:13" x14ac:dyDescent="0.35">
      <c r="A124" t="s">
        <v>54</v>
      </c>
      <c r="B124">
        <v>28</v>
      </c>
      <c r="C124" t="s">
        <v>55</v>
      </c>
      <c r="D124">
        <v>2019</v>
      </c>
      <c r="E124">
        <v>86</v>
      </c>
      <c r="F124">
        <v>156</v>
      </c>
      <c r="G124" t="s">
        <v>42</v>
      </c>
      <c r="H124" t="s">
        <v>62</v>
      </c>
      <c r="I124" t="s">
        <v>77</v>
      </c>
      <c r="J124" t="s">
        <v>59</v>
      </c>
      <c r="K124">
        <v>4637293.8779999996</v>
      </c>
      <c r="L124">
        <v>416812.962</v>
      </c>
      <c r="M124">
        <v>1.194</v>
      </c>
    </row>
    <row r="125" spans="1:13" x14ac:dyDescent="0.35">
      <c r="A125" t="s">
        <v>54</v>
      </c>
      <c r="B125">
        <v>28</v>
      </c>
      <c r="C125" t="s">
        <v>55</v>
      </c>
      <c r="D125">
        <v>2019</v>
      </c>
      <c r="E125">
        <v>86</v>
      </c>
      <c r="F125">
        <v>157</v>
      </c>
      <c r="G125" t="s">
        <v>42</v>
      </c>
      <c r="H125" t="s">
        <v>62</v>
      </c>
      <c r="I125" t="s">
        <v>77</v>
      </c>
      <c r="J125" t="s">
        <v>59</v>
      </c>
      <c r="K125">
        <v>4637296.9270000001</v>
      </c>
      <c r="L125">
        <v>416816.96600000001</v>
      </c>
      <c r="M125">
        <v>1.24</v>
      </c>
    </row>
    <row r="126" spans="1:13" x14ac:dyDescent="0.35">
      <c r="A126" t="s">
        <v>54</v>
      </c>
      <c r="B126">
        <v>28</v>
      </c>
      <c r="C126" t="s">
        <v>55</v>
      </c>
      <c r="D126">
        <v>2019</v>
      </c>
      <c r="E126">
        <v>87</v>
      </c>
      <c r="F126">
        <v>158</v>
      </c>
      <c r="G126" t="s">
        <v>38</v>
      </c>
      <c r="H126" t="s">
        <v>75</v>
      </c>
      <c r="I126" t="s">
        <v>72</v>
      </c>
      <c r="J126" t="s">
        <v>59</v>
      </c>
      <c r="K126">
        <v>4637297.3949999996</v>
      </c>
      <c r="L126">
        <v>416818.984</v>
      </c>
      <c r="M126">
        <v>1.236</v>
      </c>
    </row>
    <row r="127" spans="1:13" x14ac:dyDescent="0.35">
      <c r="A127" t="s">
        <v>54</v>
      </c>
      <c r="B127">
        <v>28</v>
      </c>
      <c r="C127" t="s">
        <v>55</v>
      </c>
      <c r="D127">
        <v>2019</v>
      </c>
      <c r="E127">
        <v>87</v>
      </c>
      <c r="F127">
        <v>159</v>
      </c>
      <c r="G127" t="s">
        <v>38</v>
      </c>
      <c r="H127" t="s">
        <v>75</v>
      </c>
      <c r="I127" t="s">
        <v>72</v>
      </c>
      <c r="J127" t="s">
        <v>59</v>
      </c>
      <c r="K127">
        <v>4637300.4979999997</v>
      </c>
      <c r="L127">
        <v>416829.61800000002</v>
      </c>
      <c r="M127">
        <v>1.3819999999999999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8BDC-D6B3-41A3-B9CC-E9B194519227}">
  <dimension ref="A1:N28"/>
  <sheetViews>
    <sheetView topLeftCell="A5" workbookViewId="0">
      <selection sqref="A1:N28"/>
    </sheetView>
  </sheetViews>
  <sheetFormatPr defaultRowHeight="14.5" x14ac:dyDescent="0.35"/>
  <sheetData>
    <row r="1" spans="1:14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0</v>
      </c>
      <c r="I1" t="s">
        <v>51</v>
      </c>
      <c r="J1" t="s">
        <v>52</v>
      </c>
      <c r="K1" t="s">
        <v>1</v>
      </c>
      <c r="L1" t="s">
        <v>2</v>
      </c>
      <c r="M1" t="s">
        <v>53</v>
      </c>
      <c r="N1" t="s">
        <v>3</v>
      </c>
    </row>
    <row r="2" spans="1:14" x14ac:dyDescent="0.35">
      <c r="A2" t="s">
        <v>54</v>
      </c>
      <c r="B2">
        <v>28</v>
      </c>
      <c r="C2" t="s">
        <v>55</v>
      </c>
      <c r="D2">
        <v>2019</v>
      </c>
      <c r="E2">
        <v>1</v>
      </c>
      <c r="F2">
        <v>1</v>
      </c>
      <c r="G2" t="s">
        <v>4</v>
      </c>
      <c r="H2" t="s">
        <v>61</v>
      </c>
      <c r="I2" t="s">
        <v>58</v>
      </c>
      <c r="J2" t="s">
        <v>78</v>
      </c>
      <c r="K2">
        <v>4637509.2819999997</v>
      </c>
      <c r="L2">
        <v>417264.60499999998</v>
      </c>
      <c r="M2">
        <v>1.663</v>
      </c>
      <c r="N2" t="s">
        <v>5</v>
      </c>
    </row>
    <row r="3" spans="1:14" x14ac:dyDescent="0.35">
      <c r="A3" t="s">
        <v>54</v>
      </c>
      <c r="B3">
        <v>28</v>
      </c>
      <c r="C3" t="s">
        <v>55</v>
      </c>
      <c r="D3">
        <v>2019</v>
      </c>
      <c r="E3">
        <v>4</v>
      </c>
      <c r="F3">
        <v>6</v>
      </c>
      <c r="G3" t="s">
        <v>9</v>
      </c>
      <c r="H3" t="s">
        <v>64</v>
      </c>
      <c r="I3" t="s">
        <v>79</v>
      </c>
      <c r="J3" t="s">
        <v>78</v>
      </c>
      <c r="K3">
        <v>4637481.6059999997</v>
      </c>
      <c r="L3">
        <v>417283.065</v>
      </c>
      <c r="M3">
        <v>1.496</v>
      </c>
      <c r="N3" t="s">
        <v>5</v>
      </c>
    </row>
    <row r="4" spans="1:14" x14ac:dyDescent="0.35">
      <c r="A4" t="s">
        <v>54</v>
      </c>
      <c r="B4">
        <v>28</v>
      </c>
      <c r="C4" t="s">
        <v>55</v>
      </c>
      <c r="D4">
        <v>2019</v>
      </c>
      <c r="E4">
        <v>8</v>
      </c>
      <c r="F4">
        <v>14</v>
      </c>
      <c r="G4" t="s">
        <v>6</v>
      </c>
      <c r="H4" t="s">
        <v>57</v>
      </c>
      <c r="I4" t="s">
        <v>58</v>
      </c>
      <c r="J4" t="s">
        <v>78</v>
      </c>
      <c r="K4">
        <v>4637462.8480000002</v>
      </c>
      <c r="L4">
        <v>417265.40700000001</v>
      </c>
      <c r="M4">
        <v>1.387</v>
      </c>
      <c r="N4" t="s">
        <v>5</v>
      </c>
    </row>
    <row r="5" spans="1:14" x14ac:dyDescent="0.35">
      <c r="A5" t="s">
        <v>54</v>
      </c>
      <c r="B5">
        <v>28</v>
      </c>
      <c r="C5" t="s">
        <v>55</v>
      </c>
      <c r="D5">
        <v>2019</v>
      </c>
      <c r="E5">
        <v>9</v>
      </c>
      <c r="F5">
        <v>15</v>
      </c>
      <c r="G5" t="s">
        <v>13</v>
      </c>
      <c r="H5" t="s">
        <v>61</v>
      </c>
      <c r="I5" t="s">
        <v>67</v>
      </c>
      <c r="J5" t="s">
        <v>78</v>
      </c>
      <c r="K5">
        <v>4637461.3310000002</v>
      </c>
      <c r="L5">
        <v>417264.03899999999</v>
      </c>
      <c r="M5">
        <v>1.327</v>
      </c>
      <c r="N5" t="s">
        <v>14</v>
      </c>
    </row>
    <row r="6" spans="1:14" x14ac:dyDescent="0.35">
      <c r="A6" t="s">
        <v>54</v>
      </c>
      <c r="B6">
        <v>28</v>
      </c>
      <c r="C6" t="s">
        <v>55</v>
      </c>
      <c r="D6">
        <v>2019</v>
      </c>
      <c r="E6">
        <v>10</v>
      </c>
      <c r="F6">
        <v>16</v>
      </c>
      <c r="G6" t="s">
        <v>15</v>
      </c>
      <c r="H6" t="s">
        <v>65</v>
      </c>
      <c r="I6" t="s">
        <v>58</v>
      </c>
      <c r="J6" t="s">
        <v>78</v>
      </c>
      <c r="K6">
        <v>4637462.3210000005</v>
      </c>
      <c r="L6">
        <v>417262.41700000002</v>
      </c>
      <c r="M6">
        <v>1.3740000000000001</v>
      </c>
      <c r="N6" t="s">
        <v>5</v>
      </c>
    </row>
    <row r="7" spans="1:14" x14ac:dyDescent="0.35">
      <c r="A7" t="s">
        <v>54</v>
      </c>
      <c r="B7">
        <v>28</v>
      </c>
      <c r="C7" t="s">
        <v>55</v>
      </c>
      <c r="D7">
        <v>2019</v>
      </c>
      <c r="E7">
        <v>13</v>
      </c>
      <c r="F7">
        <v>21</v>
      </c>
      <c r="G7" t="s">
        <v>6</v>
      </c>
      <c r="H7" t="s">
        <v>57</v>
      </c>
      <c r="I7" t="s">
        <v>58</v>
      </c>
      <c r="J7" t="s">
        <v>78</v>
      </c>
      <c r="K7">
        <v>4637451.7989999996</v>
      </c>
      <c r="L7">
        <v>417258.55800000002</v>
      </c>
      <c r="M7">
        <v>1.361</v>
      </c>
      <c r="N7" t="s">
        <v>5</v>
      </c>
    </row>
    <row r="8" spans="1:14" x14ac:dyDescent="0.35">
      <c r="A8" t="s">
        <v>54</v>
      </c>
      <c r="B8">
        <v>28</v>
      </c>
      <c r="C8" t="s">
        <v>55</v>
      </c>
      <c r="D8">
        <v>2019</v>
      </c>
      <c r="E8">
        <v>15</v>
      </c>
      <c r="F8">
        <v>24</v>
      </c>
      <c r="G8" t="s">
        <v>18</v>
      </c>
      <c r="H8" t="s">
        <v>64</v>
      </c>
      <c r="I8" t="s">
        <v>63</v>
      </c>
      <c r="J8" t="s">
        <v>78</v>
      </c>
      <c r="K8">
        <v>4637451.8870000001</v>
      </c>
      <c r="L8">
        <v>417250.598</v>
      </c>
      <c r="M8">
        <v>1.1779999999999999</v>
      </c>
      <c r="N8" t="s">
        <v>5</v>
      </c>
    </row>
    <row r="9" spans="1:14" x14ac:dyDescent="0.35">
      <c r="A9" t="s">
        <v>54</v>
      </c>
      <c r="B9">
        <v>28</v>
      </c>
      <c r="C9" t="s">
        <v>55</v>
      </c>
      <c r="D9">
        <v>2019</v>
      </c>
      <c r="E9">
        <v>17</v>
      </c>
      <c r="F9">
        <v>29</v>
      </c>
      <c r="G9" t="s">
        <v>18</v>
      </c>
      <c r="H9" t="s">
        <v>64</v>
      </c>
      <c r="I9" t="s">
        <v>63</v>
      </c>
      <c r="J9" t="s">
        <v>78</v>
      </c>
      <c r="K9">
        <v>4637430.676</v>
      </c>
      <c r="L9">
        <v>417239.85200000001</v>
      </c>
      <c r="M9">
        <v>1.284</v>
      </c>
    </row>
    <row r="10" spans="1:14" x14ac:dyDescent="0.35">
      <c r="A10" t="s">
        <v>54</v>
      </c>
      <c r="B10">
        <v>28</v>
      </c>
      <c r="C10" t="s">
        <v>55</v>
      </c>
      <c r="D10">
        <v>2019</v>
      </c>
      <c r="E10">
        <v>18</v>
      </c>
      <c r="F10">
        <v>30</v>
      </c>
      <c r="G10" t="s">
        <v>16</v>
      </c>
      <c r="H10" t="s">
        <v>62</v>
      </c>
      <c r="I10" t="s">
        <v>63</v>
      </c>
      <c r="J10" t="s">
        <v>78</v>
      </c>
      <c r="K10">
        <v>4637428.8109999998</v>
      </c>
      <c r="L10">
        <v>417239.71799999999</v>
      </c>
      <c r="M10">
        <v>1.2390000000000001</v>
      </c>
    </row>
    <row r="11" spans="1:14" x14ac:dyDescent="0.35">
      <c r="A11" t="s">
        <v>54</v>
      </c>
      <c r="B11">
        <v>28</v>
      </c>
      <c r="C11" t="s">
        <v>55</v>
      </c>
      <c r="D11">
        <v>2019</v>
      </c>
      <c r="E11">
        <v>19</v>
      </c>
      <c r="F11">
        <v>31</v>
      </c>
      <c r="G11" t="s">
        <v>20</v>
      </c>
      <c r="H11" t="s">
        <v>62</v>
      </c>
      <c r="I11" t="s">
        <v>72</v>
      </c>
      <c r="J11" t="s">
        <v>78</v>
      </c>
      <c r="K11">
        <v>4637427.0369999995</v>
      </c>
      <c r="L11">
        <v>417241.022</v>
      </c>
      <c r="M11">
        <v>1.1919999999999999</v>
      </c>
      <c r="N11" t="s">
        <v>21</v>
      </c>
    </row>
    <row r="12" spans="1:14" x14ac:dyDescent="0.35">
      <c r="A12" t="s">
        <v>54</v>
      </c>
      <c r="B12">
        <v>28</v>
      </c>
      <c r="C12" t="s">
        <v>55</v>
      </c>
      <c r="D12">
        <v>2019</v>
      </c>
      <c r="E12">
        <v>25</v>
      </c>
      <c r="F12">
        <v>42</v>
      </c>
      <c r="G12" t="s">
        <v>13</v>
      </c>
      <c r="H12" t="s">
        <v>61</v>
      </c>
      <c r="I12" t="s">
        <v>67</v>
      </c>
      <c r="J12" t="s">
        <v>78</v>
      </c>
      <c r="K12">
        <v>4637436.4630000005</v>
      </c>
      <c r="L12">
        <v>417270.01</v>
      </c>
      <c r="M12">
        <v>1.534</v>
      </c>
    </row>
    <row r="13" spans="1:14" x14ac:dyDescent="0.35">
      <c r="A13" t="s">
        <v>54</v>
      </c>
      <c r="B13">
        <v>28</v>
      </c>
      <c r="C13" t="s">
        <v>55</v>
      </c>
      <c r="D13">
        <v>2019</v>
      </c>
      <c r="E13">
        <v>31</v>
      </c>
      <c r="F13">
        <v>53</v>
      </c>
      <c r="G13" t="s">
        <v>18</v>
      </c>
      <c r="H13" t="s">
        <v>64</v>
      </c>
      <c r="I13" t="s">
        <v>63</v>
      </c>
      <c r="J13" t="s">
        <v>78</v>
      </c>
      <c r="K13">
        <v>4637419.9979999997</v>
      </c>
      <c r="L13">
        <v>417284.62300000002</v>
      </c>
      <c r="M13">
        <v>1.3120000000000001</v>
      </c>
      <c r="N13" t="s">
        <v>5</v>
      </c>
    </row>
    <row r="14" spans="1:14" x14ac:dyDescent="0.35">
      <c r="A14" t="s">
        <v>54</v>
      </c>
      <c r="B14">
        <v>28</v>
      </c>
      <c r="C14" t="s">
        <v>55</v>
      </c>
      <c r="D14">
        <v>2019</v>
      </c>
      <c r="E14">
        <v>38</v>
      </c>
      <c r="F14">
        <v>73</v>
      </c>
      <c r="G14" t="s">
        <v>15</v>
      </c>
      <c r="H14" t="s">
        <v>65</v>
      </c>
      <c r="I14" t="s">
        <v>58</v>
      </c>
      <c r="J14" t="s">
        <v>78</v>
      </c>
      <c r="K14">
        <v>4637450.477</v>
      </c>
      <c r="L14">
        <v>417301.08600000001</v>
      </c>
      <c r="M14">
        <v>1.5429999999999999</v>
      </c>
      <c r="N14" t="s">
        <v>5</v>
      </c>
    </row>
    <row r="15" spans="1:14" x14ac:dyDescent="0.35">
      <c r="A15" t="s">
        <v>54</v>
      </c>
      <c r="B15">
        <v>28</v>
      </c>
      <c r="C15" t="s">
        <v>55</v>
      </c>
      <c r="D15">
        <v>2019</v>
      </c>
      <c r="E15">
        <v>40</v>
      </c>
      <c r="F15">
        <v>76</v>
      </c>
      <c r="G15" t="s">
        <v>15</v>
      </c>
      <c r="H15" t="s">
        <v>65</v>
      </c>
      <c r="I15" t="s">
        <v>58</v>
      </c>
      <c r="J15" t="s">
        <v>78</v>
      </c>
      <c r="K15">
        <v>4637442.6040000003</v>
      </c>
      <c r="L15">
        <v>417303.60600000003</v>
      </c>
      <c r="M15">
        <v>1.5149999999999999</v>
      </c>
      <c r="N15" t="s">
        <v>5</v>
      </c>
    </row>
    <row r="16" spans="1:14" x14ac:dyDescent="0.35">
      <c r="A16" t="s">
        <v>54</v>
      </c>
      <c r="B16">
        <v>28</v>
      </c>
      <c r="C16" t="s">
        <v>55</v>
      </c>
      <c r="D16">
        <v>2019</v>
      </c>
      <c r="E16">
        <v>42</v>
      </c>
      <c r="F16">
        <v>80</v>
      </c>
      <c r="G16" t="s">
        <v>29</v>
      </c>
      <c r="H16" t="s">
        <v>75</v>
      </c>
      <c r="I16" t="s">
        <v>58</v>
      </c>
      <c r="J16" t="s">
        <v>78</v>
      </c>
      <c r="K16">
        <v>4637293.3380000005</v>
      </c>
      <c r="L16">
        <v>416736.39399999997</v>
      </c>
      <c r="M16">
        <v>1.5580000000000001</v>
      </c>
      <c r="N16" t="s">
        <v>30</v>
      </c>
    </row>
    <row r="17" spans="1:14" x14ac:dyDescent="0.35">
      <c r="A17" t="s">
        <v>54</v>
      </c>
      <c r="B17">
        <v>28</v>
      </c>
      <c r="C17" t="s">
        <v>55</v>
      </c>
      <c r="D17">
        <v>2019</v>
      </c>
      <c r="E17">
        <v>43</v>
      </c>
      <c r="F17">
        <v>81</v>
      </c>
      <c r="G17" t="s">
        <v>31</v>
      </c>
      <c r="H17" t="s">
        <v>62</v>
      </c>
      <c r="I17" t="s">
        <v>58</v>
      </c>
      <c r="J17" t="s">
        <v>78</v>
      </c>
      <c r="K17">
        <v>4637292.1720000003</v>
      </c>
      <c r="L17">
        <v>416737.70500000002</v>
      </c>
      <c r="M17">
        <v>1.4359999999999999</v>
      </c>
      <c r="N17" t="s">
        <v>5</v>
      </c>
    </row>
    <row r="18" spans="1:14" x14ac:dyDescent="0.35">
      <c r="A18" t="s">
        <v>54</v>
      </c>
      <c r="B18">
        <v>28</v>
      </c>
      <c r="C18" t="s">
        <v>55</v>
      </c>
      <c r="D18">
        <v>2019</v>
      </c>
      <c r="E18">
        <v>45</v>
      </c>
      <c r="F18">
        <v>85</v>
      </c>
      <c r="G18" t="s">
        <v>18</v>
      </c>
      <c r="H18" t="s">
        <v>64</v>
      </c>
      <c r="I18" t="s">
        <v>63</v>
      </c>
      <c r="J18" t="s">
        <v>78</v>
      </c>
      <c r="K18">
        <v>4637283.0980000002</v>
      </c>
      <c r="L18">
        <v>416749.08600000001</v>
      </c>
      <c r="M18">
        <v>1.37</v>
      </c>
      <c r="N18" t="s">
        <v>5</v>
      </c>
    </row>
    <row r="19" spans="1:14" x14ac:dyDescent="0.35">
      <c r="A19" t="s">
        <v>54</v>
      </c>
      <c r="B19">
        <v>28</v>
      </c>
      <c r="C19" t="s">
        <v>55</v>
      </c>
      <c r="D19">
        <v>2019</v>
      </c>
      <c r="E19">
        <v>46</v>
      </c>
      <c r="F19">
        <v>86</v>
      </c>
      <c r="G19" t="s">
        <v>32</v>
      </c>
      <c r="H19" t="s">
        <v>62</v>
      </c>
      <c r="I19" t="s">
        <v>80</v>
      </c>
      <c r="J19" t="s">
        <v>78</v>
      </c>
      <c r="K19">
        <v>4637282.0619999999</v>
      </c>
      <c r="L19">
        <v>416750.73800000001</v>
      </c>
      <c r="M19">
        <v>1.357</v>
      </c>
    </row>
    <row r="20" spans="1:14" x14ac:dyDescent="0.35">
      <c r="A20" t="s">
        <v>54</v>
      </c>
      <c r="B20">
        <v>28</v>
      </c>
      <c r="C20" t="s">
        <v>55</v>
      </c>
      <c r="D20">
        <v>2019</v>
      </c>
      <c r="E20">
        <v>50</v>
      </c>
      <c r="F20">
        <v>94</v>
      </c>
      <c r="G20" t="s">
        <v>34</v>
      </c>
      <c r="H20" t="s">
        <v>62</v>
      </c>
      <c r="I20" t="s">
        <v>81</v>
      </c>
      <c r="J20" t="s">
        <v>78</v>
      </c>
      <c r="K20">
        <v>4637257.6390000004</v>
      </c>
      <c r="L20">
        <v>416785.17099999997</v>
      </c>
      <c r="M20">
        <v>1.161</v>
      </c>
      <c r="N20" t="s">
        <v>5</v>
      </c>
    </row>
    <row r="21" spans="1:14" x14ac:dyDescent="0.35">
      <c r="A21" t="s">
        <v>54</v>
      </c>
      <c r="B21">
        <v>28</v>
      </c>
      <c r="C21" t="s">
        <v>55</v>
      </c>
      <c r="D21">
        <v>2019</v>
      </c>
      <c r="E21">
        <v>52</v>
      </c>
      <c r="F21">
        <v>97</v>
      </c>
      <c r="G21" t="s">
        <v>35</v>
      </c>
      <c r="H21" t="s">
        <v>62</v>
      </c>
      <c r="I21" t="s">
        <v>60</v>
      </c>
      <c r="J21" t="s">
        <v>78</v>
      </c>
      <c r="K21">
        <v>4637255.1529999999</v>
      </c>
      <c r="L21">
        <v>416789.217</v>
      </c>
      <c r="M21">
        <v>1.196</v>
      </c>
    </row>
    <row r="22" spans="1:14" x14ac:dyDescent="0.35">
      <c r="A22" t="s">
        <v>54</v>
      </c>
      <c r="B22">
        <v>28</v>
      </c>
      <c r="C22" t="s">
        <v>55</v>
      </c>
      <c r="D22">
        <v>2019</v>
      </c>
      <c r="E22">
        <v>53</v>
      </c>
      <c r="F22">
        <v>98</v>
      </c>
      <c r="G22" t="s">
        <v>36</v>
      </c>
      <c r="H22" t="s">
        <v>62</v>
      </c>
      <c r="I22" t="s">
        <v>82</v>
      </c>
      <c r="J22" t="s">
        <v>78</v>
      </c>
      <c r="K22">
        <v>4637254.6040000003</v>
      </c>
      <c r="L22">
        <v>416790.30099999998</v>
      </c>
      <c r="M22">
        <v>1.202</v>
      </c>
    </row>
    <row r="23" spans="1:14" x14ac:dyDescent="0.35">
      <c r="A23" t="s">
        <v>54</v>
      </c>
      <c r="B23">
        <v>28</v>
      </c>
      <c r="C23" t="s">
        <v>55</v>
      </c>
      <c r="D23">
        <v>2019</v>
      </c>
      <c r="E23">
        <v>59</v>
      </c>
      <c r="F23">
        <v>114</v>
      </c>
      <c r="G23" t="s">
        <v>29</v>
      </c>
      <c r="H23" t="s">
        <v>75</v>
      </c>
      <c r="I23" t="s">
        <v>58</v>
      </c>
      <c r="J23" t="s">
        <v>78</v>
      </c>
      <c r="K23">
        <v>4637227.1229999997</v>
      </c>
      <c r="L23">
        <v>416825.74</v>
      </c>
      <c r="M23">
        <v>1.5389999999999999</v>
      </c>
      <c r="N23" t="s">
        <v>5</v>
      </c>
    </row>
    <row r="24" spans="1:14" x14ac:dyDescent="0.35">
      <c r="A24" t="s">
        <v>54</v>
      </c>
      <c r="B24">
        <v>28</v>
      </c>
      <c r="C24" t="s">
        <v>55</v>
      </c>
      <c r="D24">
        <v>2019</v>
      </c>
      <c r="E24">
        <v>65</v>
      </c>
      <c r="F24">
        <v>126</v>
      </c>
      <c r="G24" t="s">
        <v>39</v>
      </c>
      <c r="H24" t="s">
        <v>61</v>
      </c>
      <c r="I24" t="s">
        <v>72</v>
      </c>
      <c r="J24" t="s">
        <v>78</v>
      </c>
      <c r="K24">
        <v>4637224.818</v>
      </c>
      <c r="L24">
        <v>416814.98100000003</v>
      </c>
      <c r="M24">
        <v>1.3660000000000001</v>
      </c>
      <c r="N24" t="s">
        <v>5</v>
      </c>
    </row>
    <row r="25" spans="1:14" x14ac:dyDescent="0.35">
      <c r="A25" t="s">
        <v>54</v>
      </c>
      <c r="B25">
        <v>28</v>
      </c>
      <c r="C25" t="s">
        <v>55</v>
      </c>
      <c r="D25">
        <v>2019</v>
      </c>
      <c r="E25">
        <v>66</v>
      </c>
      <c r="F25">
        <v>127</v>
      </c>
      <c r="G25" t="s">
        <v>38</v>
      </c>
      <c r="H25" t="s">
        <v>75</v>
      </c>
      <c r="I25" t="s">
        <v>72</v>
      </c>
      <c r="J25" t="s">
        <v>78</v>
      </c>
      <c r="K25">
        <v>4637224.7709999997</v>
      </c>
      <c r="L25">
        <v>416816.58500000002</v>
      </c>
      <c r="M25">
        <v>1.3660000000000001</v>
      </c>
      <c r="N25" t="s">
        <v>5</v>
      </c>
    </row>
    <row r="26" spans="1:14" x14ac:dyDescent="0.35">
      <c r="A26" t="s">
        <v>54</v>
      </c>
      <c r="B26">
        <v>28</v>
      </c>
      <c r="C26" t="s">
        <v>55</v>
      </c>
      <c r="D26">
        <v>2019</v>
      </c>
      <c r="E26">
        <v>67</v>
      </c>
      <c r="F26">
        <v>128</v>
      </c>
      <c r="G26" t="s">
        <v>39</v>
      </c>
      <c r="H26" t="s">
        <v>61</v>
      </c>
      <c r="I26" t="s">
        <v>72</v>
      </c>
      <c r="J26" t="s">
        <v>78</v>
      </c>
      <c r="K26">
        <v>4637225.0939999996</v>
      </c>
      <c r="L26">
        <v>416817.81199999998</v>
      </c>
      <c r="M26">
        <v>1.42</v>
      </c>
      <c r="N26" t="s">
        <v>5</v>
      </c>
    </row>
    <row r="27" spans="1:14" x14ac:dyDescent="0.35">
      <c r="A27" t="s">
        <v>54</v>
      </c>
      <c r="B27">
        <v>28</v>
      </c>
      <c r="C27" t="s">
        <v>55</v>
      </c>
      <c r="D27">
        <v>2019</v>
      </c>
      <c r="E27">
        <v>68</v>
      </c>
      <c r="F27">
        <v>129</v>
      </c>
      <c r="G27" t="s">
        <v>38</v>
      </c>
      <c r="H27" t="s">
        <v>75</v>
      </c>
      <c r="I27" t="s">
        <v>72</v>
      </c>
      <c r="J27" t="s">
        <v>78</v>
      </c>
      <c r="K27">
        <v>4637225.665</v>
      </c>
      <c r="L27">
        <v>416818.76899999997</v>
      </c>
      <c r="M27">
        <v>1.4239999999999999</v>
      </c>
      <c r="N27" t="s">
        <v>5</v>
      </c>
    </row>
    <row r="28" spans="1:14" x14ac:dyDescent="0.35">
      <c r="A28" t="s">
        <v>54</v>
      </c>
      <c r="B28">
        <v>28</v>
      </c>
      <c r="C28" t="s">
        <v>55</v>
      </c>
      <c r="D28">
        <v>2019</v>
      </c>
      <c r="E28">
        <v>69</v>
      </c>
      <c r="F28">
        <v>130</v>
      </c>
      <c r="G28" t="s">
        <v>39</v>
      </c>
      <c r="H28" t="s">
        <v>61</v>
      </c>
      <c r="I28" t="s">
        <v>72</v>
      </c>
      <c r="J28" t="s">
        <v>78</v>
      </c>
      <c r="K28">
        <v>4637225.983</v>
      </c>
      <c r="L28">
        <v>416820.152</v>
      </c>
      <c r="M28">
        <v>1.446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52FB-2156-4A40-9FB0-20F9588E42E4}">
  <dimension ref="A1:N4"/>
  <sheetViews>
    <sheetView workbookViewId="0">
      <selection sqref="A1:N4"/>
    </sheetView>
  </sheetViews>
  <sheetFormatPr defaultRowHeight="14.5" x14ac:dyDescent="0.35"/>
  <sheetData>
    <row r="1" spans="1:14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0</v>
      </c>
      <c r="I1" t="s">
        <v>51</v>
      </c>
      <c r="J1" t="s">
        <v>52</v>
      </c>
      <c r="K1" t="s">
        <v>1</v>
      </c>
      <c r="L1" t="s">
        <v>2</v>
      </c>
      <c r="M1" t="s">
        <v>53</v>
      </c>
      <c r="N1" t="s">
        <v>3</v>
      </c>
    </row>
    <row r="2" spans="1:14" x14ac:dyDescent="0.35">
      <c r="A2" t="s">
        <v>54</v>
      </c>
      <c r="B2">
        <v>28</v>
      </c>
      <c r="C2" t="s">
        <v>55</v>
      </c>
      <c r="D2">
        <v>2019</v>
      </c>
      <c r="E2">
        <v>5</v>
      </c>
      <c r="F2">
        <v>7</v>
      </c>
      <c r="G2" t="s">
        <v>10</v>
      </c>
      <c r="H2" t="s">
        <v>83</v>
      </c>
      <c r="I2" t="s">
        <v>84</v>
      </c>
      <c r="J2" t="s">
        <v>56</v>
      </c>
      <c r="K2">
        <v>4637480.0219999999</v>
      </c>
      <c r="L2">
        <v>417281.48300000001</v>
      </c>
      <c r="M2">
        <v>1.462</v>
      </c>
      <c r="N2" t="s">
        <v>11</v>
      </c>
    </row>
    <row r="3" spans="1:14" x14ac:dyDescent="0.35">
      <c r="A3" t="s">
        <v>54</v>
      </c>
      <c r="B3">
        <v>28</v>
      </c>
      <c r="C3" t="s">
        <v>55</v>
      </c>
      <c r="D3">
        <v>2019</v>
      </c>
      <c r="E3">
        <v>5</v>
      </c>
      <c r="F3">
        <v>8</v>
      </c>
      <c r="G3" t="s">
        <v>10</v>
      </c>
      <c r="H3" t="s">
        <v>83</v>
      </c>
      <c r="I3" t="s">
        <v>84</v>
      </c>
      <c r="J3" t="s">
        <v>56</v>
      </c>
      <c r="K3">
        <v>4637476.8250000002</v>
      </c>
      <c r="L3">
        <v>417279.05200000003</v>
      </c>
      <c r="M3">
        <v>1.4650000000000001</v>
      </c>
    </row>
    <row r="4" spans="1:14" x14ac:dyDescent="0.35">
      <c r="A4" t="s">
        <v>54</v>
      </c>
      <c r="B4">
        <v>28</v>
      </c>
      <c r="C4" t="s">
        <v>55</v>
      </c>
      <c r="D4">
        <v>2019</v>
      </c>
      <c r="E4">
        <v>5</v>
      </c>
      <c r="F4">
        <v>9</v>
      </c>
      <c r="G4" t="s">
        <v>10</v>
      </c>
      <c r="H4" t="s">
        <v>83</v>
      </c>
      <c r="I4" t="s">
        <v>84</v>
      </c>
      <c r="J4" t="s">
        <v>56</v>
      </c>
      <c r="K4">
        <v>4637480.1890000002</v>
      </c>
      <c r="L4">
        <v>417275.74599999998</v>
      </c>
      <c r="M4">
        <v>1.4470000000000001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wellfleet28sep2019</vt:lpstr>
      <vt:lpstr>Line</vt:lpstr>
      <vt:lpstr>MU</vt:lpstr>
      <vt:lpstr>Poly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Wicks</cp:lastModifiedBy>
  <dcterms:created xsi:type="dcterms:W3CDTF">2025-04-15T18:15:17Z</dcterms:created>
  <dcterms:modified xsi:type="dcterms:W3CDTF">2025-04-21T11:52:42Z</dcterms:modified>
</cp:coreProperties>
</file>