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 Wicks\OneDrive\Desktop\Temp2\TempEPASalthmarsh\"/>
    </mc:Choice>
  </mc:AlternateContent>
  <xr:revisionPtr revIDLastSave="0" documentId="13_ncr:1_{80155D12-1B7C-4FCD-B40E-42AB232CEEF0}" xr6:coauthVersionLast="47" xr6:coauthVersionMax="47" xr10:uidLastSave="{00000000-0000-0000-0000-000000000000}"/>
  <bookViews>
    <workbookView xWindow="-120" yWindow="-120" windowWidth="19440" windowHeight="10440" xr2:uid="{EB9263A4-120E-4C5B-891B-447C497914EE}"/>
  </bookViews>
  <sheets>
    <sheet name="southriver23oct2019" sheetId="1" r:id="rId1"/>
    <sheet name="Line" sheetId="2" r:id="rId2"/>
    <sheet name="MU" sheetId="3" r:id="rId3"/>
    <sheet name="Poly" sheetId="4" r:id="rId4"/>
  </sheets>
  <definedNames>
    <definedName name="_xlnm._FilterDatabase" localSheetId="0" hidden="1">southriver23oct2019!$A$1:$N$115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8" i="1" l="1"/>
  <c r="I78" i="1" s="1"/>
  <c r="H77" i="1"/>
  <c r="I77" i="1" s="1"/>
  <c r="H2" i="1"/>
  <c r="I2" i="1" s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H115" i="1"/>
  <c r="I115" i="1" s="1"/>
  <c r="H114" i="1"/>
  <c r="I114" i="1" s="1"/>
  <c r="H113" i="1"/>
  <c r="I113" i="1" s="1"/>
  <c r="H112" i="1"/>
  <c r="I112" i="1" s="1"/>
  <c r="H111" i="1"/>
  <c r="I111" i="1" s="1"/>
  <c r="H110" i="1"/>
  <c r="I110" i="1" s="1"/>
  <c r="H109" i="1"/>
  <c r="I109" i="1" s="1"/>
  <c r="H108" i="1"/>
  <c r="I108" i="1" s="1"/>
  <c r="H107" i="1"/>
  <c r="I107" i="1" s="1"/>
  <c r="H106" i="1"/>
  <c r="I106" i="1" s="1"/>
  <c r="H105" i="1"/>
  <c r="I105" i="1" s="1"/>
  <c r="H104" i="1"/>
  <c r="I104" i="1" s="1"/>
  <c r="H103" i="1"/>
  <c r="I103" i="1" s="1"/>
  <c r="H102" i="1"/>
  <c r="I102" i="1" s="1"/>
  <c r="H101" i="1"/>
  <c r="I101" i="1" s="1"/>
  <c r="H100" i="1"/>
  <c r="I100" i="1" s="1"/>
  <c r="H99" i="1"/>
  <c r="I99" i="1" s="1"/>
  <c r="H98" i="1"/>
  <c r="I98" i="1" s="1"/>
  <c r="H97" i="1"/>
  <c r="I97" i="1" s="1"/>
  <c r="H96" i="1"/>
  <c r="I96" i="1" s="1"/>
  <c r="H95" i="1"/>
  <c r="I95" i="1" s="1"/>
  <c r="H94" i="1"/>
  <c r="I94" i="1" s="1"/>
  <c r="H93" i="1"/>
  <c r="I93" i="1" s="1"/>
  <c r="H92" i="1"/>
  <c r="I92" i="1" s="1"/>
  <c r="H91" i="1"/>
  <c r="I91" i="1" s="1"/>
  <c r="H90" i="1"/>
  <c r="I90" i="1" s="1"/>
  <c r="H89" i="1"/>
  <c r="I89" i="1" s="1"/>
  <c r="H88" i="1"/>
  <c r="I88" i="1" s="1"/>
  <c r="H87" i="1"/>
  <c r="I87" i="1" s="1"/>
  <c r="H86" i="1"/>
  <c r="I86" i="1" s="1"/>
  <c r="H85" i="1"/>
  <c r="I85" i="1" s="1"/>
  <c r="H84" i="1"/>
  <c r="I84" i="1" s="1"/>
  <c r="H83" i="1"/>
  <c r="I83" i="1" s="1"/>
  <c r="H82" i="1"/>
  <c r="I82" i="1" s="1"/>
  <c r="H81" i="1"/>
  <c r="I81" i="1" s="1"/>
  <c r="H80" i="1"/>
  <c r="I80" i="1" s="1"/>
  <c r="H79" i="1"/>
  <c r="I79" i="1" s="1"/>
  <c r="H76" i="1"/>
  <c r="I76" i="1" s="1"/>
  <c r="H75" i="1"/>
  <c r="I75" i="1" s="1"/>
  <c r="H74" i="1"/>
  <c r="I74" i="1" s="1"/>
  <c r="H73" i="1"/>
  <c r="I73" i="1" s="1"/>
  <c r="H72" i="1"/>
  <c r="I72" i="1" s="1"/>
  <c r="H71" i="1"/>
  <c r="I71" i="1" s="1"/>
  <c r="H70" i="1"/>
  <c r="I70" i="1" s="1"/>
  <c r="H69" i="1"/>
  <c r="I69" i="1" s="1"/>
  <c r="H68" i="1"/>
  <c r="I68" i="1" s="1"/>
  <c r="H67" i="1"/>
  <c r="I67" i="1" s="1"/>
  <c r="H66" i="1"/>
  <c r="I66" i="1" s="1"/>
  <c r="H65" i="1"/>
  <c r="I65" i="1" s="1"/>
  <c r="H64" i="1"/>
  <c r="I64" i="1" s="1"/>
  <c r="H63" i="1"/>
  <c r="I63" i="1" s="1"/>
  <c r="H62" i="1"/>
  <c r="I62" i="1" s="1"/>
  <c r="H61" i="1"/>
  <c r="I61" i="1" s="1"/>
  <c r="H60" i="1"/>
  <c r="I60" i="1" s="1"/>
  <c r="H59" i="1"/>
  <c r="I59" i="1" s="1"/>
  <c r="H58" i="1"/>
  <c r="I58" i="1" s="1"/>
  <c r="H57" i="1"/>
  <c r="I57" i="1" s="1"/>
  <c r="H56" i="1"/>
  <c r="I56" i="1" s="1"/>
  <c r="H55" i="1"/>
  <c r="I55" i="1" s="1"/>
  <c r="H54" i="1"/>
  <c r="I54" i="1" s="1"/>
  <c r="H53" i="1"/>
  <c r="I53" i="1" s="1"/>
  <c r="H52" i="1"/>
  <c r="I52" i="1" s="1"/>
  <c r="H42" i="1"/>
  <c r="I42" i="1" s="1"/>
  <c r="H41" i="1"/>
  <c r="I41" i="1" s="1"/>
  <c r="H40" i="1"/>
  <c r="I40" i="1" s="1"/>
  <c r="H39" i="1"/>
  <c r="I39" i="1" s="1"/>
  <c r="H38" i="1"/>
  <c r="I38" i="1" s="1"/>
  <c r="H37" i="1"/>
  <c r="I37" i="1" s="1"/>
  <c r="H36" i="1"/>
  <c r="I36" i="1" s="1"/>
  <c r="H35" i="1"/>
  <c r="I35" i="1" s="1"/>
  <c r="H34" i="1"/>
  <c r="I34" i="1" s="1"/>
  <c r="H33" i="1"/>
  <c r="I33" i="1" s="1"/>
  <c r="H32" i="1"/>
  <c r="I32" i="1" s="1"/>
  <c r="H31" i="1"/>
  <c r="I31" i="1" s="1"/>
  <c r="H30" i="1"/>
  <c r="I30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H7" i="1"/>
  <c r="I7" i="1" s="1"/>
  <c r="H6" i="1"/>
  <c r="I6" i="1" s="1"/>
  <c r="H5" i="1"/>
  <c r="I5" i="1" s="1"/>
  <c r="H4" i="1"/>
  <c r="I4" i="1" s="1"/>
  <c r="H3" i="1"/>
  <c r="I3" i="1" s="1"/>
  <c r="E3" i="1" l="1"/>
  <c r="E4" i="1" s="1"/>
  <c r="E5" i="1" s="1"/>
  <c r="E6" i="1" s="1"/>
  <c r="E7" i="1" s="1"/>
  <c r="E8" i="1" s="1"/>
  <c r="F53" i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J5" i="1" l="1"/>
  <c r="J3" i="1"/>
  <c r="J6" i="1"/>
  <c r="J4" i="1"/>
  <c r="J2" i="1"/>
  <c r="E9" i="1"/>
  <c r="J8" i="1" s="1"/>
  <c r="J7" i="1"/>
  <c r="E10" i="1" l="1"/>
  <c r="J9" i="1" s="1"/>
  <c r="E11" i="1" l="1"/>
  <c r="J10" i="1" s="1"/>
  <c r="E12" i="1" l="1"/>
  <c r="J11" i="1" s="1"/>
  <c r="E13" i="1" l="1"/>
  <c r="J12" i="1" s="1"/>
  <c r="E14" i="1" l="1"/>
  <c r="J13" i="1" s="1"/>
  <c r="E15" i="1" l="1"/>
  <c r="J14" i="1" s="1"/>
  <c r="E16" i="1" l="1"/>
  <c r="J15" i="1" s="1"/>
  <c r="E17" i="1" l="1"/>
  <c r="J16" i="1" s="1"/>
  <c r="E18" i="1" l="1"/>
  <c r="J17" i="1" s="1"/>
  <c r="E19" i="1" l="1"/>
  <c r="J18" i="1" s="1"/>
  <c r="E20" i="1" l="1"/>
  <c r="J19" i="1"/>
  <c r="E21" i="1" l="1"/>
  <c r="J20" i="1" s="1"/>
  <c r="E22" i="1" l="1"/>
  <c r="J21" i="1" s="1"/>
  <c r="E23" i="1" l="1"/>
  <c r="J22" i="1" s="1"/>
  <c r="E24" i="1" l="1"/>
  <c r="J23" i="1" s="1"/>
  <c r="E25" i="1" l="1"/>
  <c r="J24" i="1"/>
  <c r="E26" i="1" l="1"/>
  <c r="J25" i="1" s="1"/>
  <c r="E27" i="1" l="1"/>
  <c r="J26" i="1"/>
  <c r="E28" i="1" l="1"/>
  <c r="J27" i="1" s="1"/>
  <c r="E29" i="1" l="1"/>
  <c r="J28" i="1" s="1"/>
  <c r="E30" i="1" l="1"/>
  <c r="J29" i="1" s="1"/>
  <c r="E31" i="1" l="1"/>
  <c r="J30" i="1"/>
  <c r="E32" i="1" l="1"/>
  <c r="J31" i="1" s="1"/>
  <c r="E33" i="1" l="1"/>
  <c r="J32" i="1" s="1"/>
  <c r="E34" i="1" l="1"/>
  <c r="J33" i="1" s="1"/>
  <c r="E35" i="1" l="1"/>
  <c r="J34" i="1" s="1"/>
  <c r="E36" i="1" l="1"/>
  <c r="J35" i="1" s="1"/>
  <c r="E37" i="1" l="1"/>
  <c r="J36" i="1" s="1"/>
  <c r="E38" i="1" l="1"/>
  <c r="J37" i="1" s="1"/>
  <c r="E39" i="1" l="1"/>
  <c r="E40" i="1" l="1"/>
  <c r="E41" i="1" l="1"/>
  <c r="E42" i="1" l="1"/>
  <c r="E43" i="1" l="1"/>
  <c r="E44" i="1" l="1"/>
  <c r="E45" i="1" l="1"/>
  <c r="E46" i="1" l="1"/>
  <c r="E47" i="1" l="1"/>
  <c r="E48" i="1" l="1"/>
  <c r="E49" i="1" l="1"/>
  <c r="E50" i="1" l="1"/>
  <c r="E51" i="1" l="1"/>
  <c r="E52" i="1" l="1"/>
  <c r="E53" i="1" l="1"/>
  <c r="J52" i="1" s="1"/>
  <c r="E54" i="1" l="1"/>
  <c r="J53" i="1" s="1"/>
  <c r="E55" i="1" l="1"/>
  <c r="J54" i="1"/>
  <c r="E56" i="1" l="1"/>
  <c r="J55" i="1" s="1"/>
  <c r="E57" i="1" l="1"/>
  <c r="E58" i="1" l="1"/>
  <c r="E59" i="1" l="1"/>
  <c r="E60" i="1" l="1"/>
  <c r="E61" i="1" l="1"/>
  <c r="E62" i="1" l="1"/>
  <c r="E63" i="1" l="1"/>
  <c r="E64" i="1" l="1"/>
  <c r="E65" i="1" l="1"/>
  <c r="E66" i="1" l="1"/>
  <c r="E67" i="1" l="1"/>
  <c r="E68" i="1" l="1"/>
  <c r="E69" i="1" l="1"/>
  <c r="E70" i="1" l="1"/>
  <c r="E71" i="1" l="1"/>
  <c r="E72" i="1" l="1"/>
  <c r="E73" i="1" l="1"/>
  <c r="E74" i="1" l="1"/>
  <c r="E75" i="1" l="1"/>
  <c r="E76" i="1" l="1"/>
  <c r="E77" i="1" s="1"/>
  <c r="E78" i="1" s="1"/>
  <c r="E79" i="1" s="1"/>
  <c r="E80" i="1" l="1"/>
  <c r="J79" i="1" s="1"/>
  <c r="E81" i="1" l="1"/>
  <c r="J80" i="1" s="1"/>
  <c r="E82" i="1" l="1"/>
  <c r="E83" i="1" l="1"/>
  <c r="E84" i="1" l="1"/>
  <c r="E85" i="1" l="1"/>
  <c r="E86" i="1" l="1"/>
  <c r="J85" i="1" s="1"/>
  <c r="E87" i="1" l="1"/>
  <c r="J86" i="1" s="1"/>
  <c r="E88" i="1" l="1"/>
  <c r="E89" i="1" l="1"/>
  <c r="J87" i="1"/>
  <c r="E90" i="1" l="1"/>
  <c r="J88" i="1"/>
  <c r="E91" i="1" l="1"/>
  <c r="J89" i="1"/>
  <c r="E92" i="1" l="1"/>
  <c r="J90" i="1"/>
  <c r="E93" i="1" l="1"/>
  <c r="J92" i="1" s="1"/>
  <c r="J91" i="1"/>
  <c r="E94" i="1" l="1"/>
  <c r="J93" i="1" s="1"/>
  <c r="E95" i="1" l="1"/>
  <c r="J94" i="1" s="1"/>
  <c r="E96" i="1" l="1"/>
  <c r="J95" i="1" s="1"/>
  <c r="E97" i="1" l="1"/>
  <c r="J96" i="1" s="1"/>
  <c r="E98" i="1" l="1"/>
  <c r="J97" i="1" s="1"/>
  <c r="E99" i="1" l="1"/>
  <c r="J98" i="1" s="1"/>
  <c r="E100" i="1" l="1"/>
  <c r="J99" i="1" s="1"/>
  <c r="E101" i="1" l="1"/>
  <c r="J100" i="1" s="1"/>
  <c r="E102" i="1" l="1"/>
  <c r="J101" i="1" s="1"/>
  <c r="E103" i="1" l="1"/>
  <c r="J102" i="1" s="1"/>
  <c r="E104" i="1" l="1"/>
  <c r="J103" i="1" s="1"/>
  <c r="E105" i="1" l="1"/>
  <c r="J104" i="1" s="1"/>
  <c r="E106" i="1" l="1"/>
  <c r="J105" i="1" s="1"/>
  <c r="E107" i="1" l="1"/>
  <c r="J106" i="1"/>
  <c r="E108" i="1" l="1"/>
  <c r="J107" i="1" s="1"/>
  <c r="E109" i="1" l="1"/>
  <c r="J108" i="1" s="1"/>
  <c r="E110" i="1" l="1"/>
  <c r="E111" i="1" l="1"/>
  <c r="J109" i="1"/>
  <c r="E112" i="1" l="1"/>
  <c r="J110" i="1"/>
  <c r="E113" i="1" l="1"/>
  <c r="J111" i="1"/>
  <c r="E114" i="1" l="1"/>
  <c r="J113" i="1" s="1"/>
  <c r="J112" i="1"/>
  <c r="E115" i="1" l="1"/>
  <c r="J115" i="1" s="1"/>
  <c r="J114" i="1" l="1"/>
</calcChain>
</file>

<file path=xl/sharedStrings.xml><?xml version="1.0" encoding="utf-8"?>
<sst xmlns="http://schemas.openxmlformats.org/spreadsheetml/2006/main" count="1070" uniqueCount="50">
  <si>
    <t>Subclass</t>
  </si>
  <si>
    <t>Northing</t>
  </si>
  <si>
    <t>Easting</t>
  </si>
  <si>
    <t>Notes</t>
  </si>
  <si>
    <t>07a</t>
  </si>
  <si>
    <t>08a</t>
  </si>
  <si>
    <t>14a</t>
  </si>
  <si>
    <t>09a</t>
  </si>
  <si>
    <t>11a</t>
  </si>
  <si>
    <t>12a</t>
  </si>
  <si>
    <t>09ai</t>
  </si>
  <si>
    <t>06a</t>
  </si>
  <si>
    <t>13a</t>
  </si>
  <si>
    <t>21j</t>
  </si>
  <si>
    <t>05a</t>
  </si>
  <si>
    <t>22gj</t>
  </si>
  <si>
    <t>04a</t>
  </si>
  <si>
    <t>03a</t>
  </si>
  <si>
    <t>Site</t>
  </si>
  <si>
    <t>Day</t>
  </si>
  <si>
    <t>Month</t>
  </si>
  <si>
    <t>Year</t>
  </si>
  <si>
    <t>PolygonNum</t>
  </si>
  <si>
    <t>PointNum</t>
  </si>
  <si>
    <t>Sub&amp;Att</t>
  </si>
  <si>
    <t>Attributes</t>
  </si>
  <si>
    <t>SampFormat</t>
  </si>
  <si>
    <t>Altitude</t>
  </si>
  <si>
    <t>SOR</t>
  </si>
  <si>
    <t>Oct</t>
  </si>
  <si>
    <t>added attribute "a" during review - reviewer's best guess</t>
  </si>
  <si>
    <t>added attribute "i" during review - reviewer's best guess</t>
  </si>
  <si>
    <t>runnel</t>
  </si>
  <si>
    <t>a</t>
  </si>
  <si>
    <t>j</t>
  </si>
  <si>
    <t>01aj</t>
  </si>
  <si>
    <t>Poly</t>
  </si>
  <si>
    <t>northing</t>
  </si>
  <si>
    <t>easting</t>
  </si>
  <si>
    <t>Line</t>
  </si>
  <si>
    <t>elevation</t>
  </si>
  <si>
    <t>point added by reviewer to complete polygon</t>
  </si>
  <si>
    <t>22jg</t>
  </si>
  <si>
    <t>01a</t>
  </si>
  <si>
    <t>in channel</t>
  </si>
  <si>
    <t>ai</t>
  </si>
  <si>
    <t>aj</t>
  </si>
  <si>
    <t>jg</t>
  </si>
  <si>
    <t>MU</t>
  </si>
  <si>
    <t>gj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</si>
</sst>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AA7EA-F2DC-4F9D-A1E0-481FABA9D6C0}">
  <dimension ref="A1:W115"/>
  <sheetViews>
    <sheetView tabSelected="1" workbookViewId="0">
      <selection activeCell="F8" sqref="F8"/>
    </sheetView>
  </sheetViews>
  <sheetFormatPr defaultRowHeight="15" x14ac:dyDescent="0.25"/>
  <cols>
    <col min="11" max="11" width="13.42578125" customWidth="1"/>
    <col min="12" max="12" width="11.85546875" customWidth="1"/>
    <col min="13" max="13" width="11.5703125" customWidth="1"/>
  </cols>
  <sheetData>
    <row r="1" spans="1:14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0</v>
      </c>
      <c r="I1" t="s">
        <v>25</v>
      </c>
      <c r="J1" t="s">
        <v>26</v>
      </c>
      <c r="K1" t="s">
        <v>1</v>
      </c>
      <c r="L1" t="s">
        <v>2</v>
      </c>
      <c r="M1" t="s">
        <v>27</v>
      </c>
      <c r="N1" t="s">
        <v>3</v>
      </c>
    </row>
    <row r="2" spans="1:14" x14ac:dyDescent="0.25">
      <c r="A2" t="s">
        <v>28</v>
      </c>
      <c r="B2">
        <v>23</v>
      </c>
      <c r="C2" t="s">
        <v>29</v>
      </c>
      <c r="D2">
        <v>2019</v>
      </c>
      <c r="E2">
        <v>1</v>
      </c>
      <c r="F2">
        <v>1</v>
      </c>
      <c r="G2" t="s">
        <v>4</v>
      </c>
      <c r="H2" t="str">
        <f>LEFT(G2,2)</f>
        <v>07</v>
      </c>
      <c r="I2" t="str">
        <f>RIGHT(G2,LEN(G2)-LEN(H2))</f>
        <v>a</v>
      </c>
      <c r="J2" t="str">
        <f>IF(OR((E2=E3),(E2=E1)),"Line","MU")</f>
        <v>MU</v>
      </c>
      <c r="K2">
        <v>4665576.6919999998</v>
      </c>
      <c r="L2">
        <v>360019.66200000001</v>
      </c>
      <c r="M2">
        <v>1.3959999999999999</v>
      </c>
    </row>
    <row r="3" spans="1:14" x14ac:dyDescent="0.25">
      <c r="A3" t="s">
        <v>28</v>
      </c>
      <c r="B3">
        <v>23</v>
      </c>
      <c r="C3" t="s">
        <v>29</v>
      </c>
      <c r="D3">
        <v>2019</v>
      </c>
      <c r="E3">
        <f>IF(H3=H2,E2,E2+1)</f>
        <v>2</v>
      </c>
      <c r="F3">
        <f>1+F2</f>
        <v>2</v>
      </c>
      <c r="G3" t="s">
        <v>5</v>
      </c>
      <c r="H3" t="str">
        <f t="shared" ref="H3:H66" si="0">LEFT(G3,2)</f>
        <v>08</v>
      </c>
      <c r="I3" t="str">
        <f>RIGHT(G3,LEN(G3)-LEN(H3))</f>
        <v>a</v>
      </c>
      <c r="J3" t="str">
        <f t="shared" ref="J3:J66" si="1">IF(OR((E3=E4),(E3=E2)),"Line","MU")</f>
        <v>Line</v>
      </c>
      <c r="K3">
        <v>4665574.6150000002</v>
      </c>
      <c r="L3">
        <v>360019.77299999999</v>
      </c>
      <c r="M3">
        <v>1.397</v>
      </c>
    </row>
    <row r="4" spans="1:14" x14ac:dyDescent="0.25">
      <c r="A4" t="s">
        <v>28</v>
      </c>
      <c r="B4">
        <v>23</v>
      </c>
      <c r="C4" t="s">
        <v>29</v>
      </c>
      <c r="D4">
        <v>2019</v>
      </c>
      <c r="E4">
        <f t="shared" ref="E4:E67" si="2">IF(H4=H3,E3,E3+1)</f>
        <v>2</v>
      </c>
      <c r="F4">
        <f t="shared" ref="F4:F67" si="3">1+F3</f>
        <v>3</v>
      </c>
      <c r="G4" t="s">
        <v>5</v>
      </c>
      <c r="H4" t="str">
        <f t="shared" si="0"/>
        <v>08</v>
      </c>
      <c r="I4" t="str">
        <f t="shared" ref="I4:I66" si="4">RIGHT(G4,LEN(G4)-LEN(H4))</f>
        <v>a</v>
      </c>
      <c r="J4" t="str">
        <f t="shared" si="1"/>
        <v>Line</v>
      </c>
      <c r="K4">
        <v>4665559.3320000004</v>
      </c>
      <c r="L4">
        <v>360015.11700000003</v>
      </c>
      <c r="M4">
        <v>1.4370000000000001</v>
      </c>
    </row>
    <row r="5" spans="1:14" x14ac:dyDescent="0.25">
      <c r="A5" t="s">
        <v>28</v>
      </c>
      <c r="B5">
        <v>23</v>
      </c>
      <c r="C5" t="s">
        <v>29</v>
      </c>
      <c r="D5">
        <v>2019</v>
      </c>
      <c r="E5">
        <f t="shared" si="2"/>
        <v>3</v>
      </c>
      <c r="F5">
        <f t="shared" si="3"/>
        <v>4</v>
      </c>
      <c r="G5" t="s">
        <v>4</v>
      </c>
      <c r="H5" t="str">
        <f t="shared" si="0"/>
        <v>07</v>
      </c>
      <c r="I5" t="str">
        <f t="shared" si="4"/>
        <v>a</v>
      </c>
      <c r="J5" t="str">
        <f t="shared" si="1"/>
        <v>Line</v>
      </c>
      <c r="K5">
        <v>4665557.53</v>
      </c>
      <c r="L5">
        <v>360014.35800000001</v>
      </c>
      <c r="M5">
        <v>1.423</v>
      </c>
    </row>
    <row r="6" spans="1:14" x14ac:dyDescent="0.25">
      <c r="A6" t="s">
        <v>28</v>
      </c>
      <c r="B6">
        <v>23</v>
      </c>
      <c r="C6" t="s">
        <v>29</v>
      </c>
      <c r="D6">
        <v>2019</v>
      </c>
      <c r="E6">
        <f t="shared" si="2"/>
        <v>3</v>
      </c>
      <c r="F6">
        <f t="shared" si="3"/>
        <v>5</v>
      </c>
      <c r="G6" t="s">
        <v>4</v>
      </c>
      <c r="H6" t="str">
        <f t="shared" si="0"/>
        <v>07</v>
      </c>
      <c r="I6" t="str">
        <f t="shared" si="4"/>
        <v>a</v>
      </c>
      <c r="J6" t="str">
        <f t="shared" si="1"/>
        <v>Line</v>
      </c>
      <c r="K6">
        <v>4665555.926</v>
      </c>
      <c r="L6">
        <v>360013.06300000002</v>
      </c>
      <c r="M6">
        <v>1.421</v>
      </c>
    </row>
    <row r="7" spans="1:14" x14ac:dyDescent="0.25">
      <c r="A7" t="s">
        <v>28</v>
      </c>
      <c r="B7">
        <v>23</v>
      </c>
      <c r="C7" t="s">
        <v>29</v>
      </c>
      <c r="D7">
        <v>2019</v>
      </c>
      <c r="E7">
        <f t="shared" si="2"/>
        <v>4</v>
      </c>
      <c r="F7">
        <f t="shared" si="3"/>
        <v>6</v>
      </c>
      <c r="G7" t="s">
        <v>6</v>
      </c>
      <c r="H7" t="str">
        <f t="shared" si="0"/>
        <v>14</v>
      </c>
      <c r="I7" t="str">
        <f t="shared" si="4"/>
        <v>a</v>
      </c>
      <c r="J7" t="str">
        <f t="shared" si="1"/>
        <v>MU</v>
      </c>
      <c r="K7">
        <v>4665556.1440000003</v>
      </c>
      <c r="L7">
        <v>360010.897</v>
      </c>
      <c r="M7">
        <v>1.421</v>
      </c>
    </row>
    <row r="8" spans="1:14" x14ac:dyDescent="0.25">
      <c r="A8" t="s">
        <v>28</v>
      </c>
      <c r="B8">
        <v>23</v>
      </c>
      <c r="C8" t="s">
        <v>29</v>
      </c>
      <c r="D8">
        <v>2019</v>
      </c>
      <c r="E8">
        <f t="shared" si="2"/>
        <v>5</v>
      </c>
      <c r="F8">
        <f t="shared" si="3"/>
        <v>7</v>
      </c>
      <c r="G8" s="1" t="s">
        <v>5</v>
      </c>
      <c r="H8" t="str">
        <f t="shared" si="0"/>
        <v>08</v>
      </c>
      <c r="I8" t="str">
        <f t="shared" si="4"/>
        <v>a</v>
      </c>
      <c r="J8" t="str">
        <f t="shared" si="1"/>
        <v>Line</v>
      </c>
      <c r="K8">
        <v>4665556.3720000004</v>
      </c>
      <c r="L8">
        <v>360008.73300000001</v>
      </c>
      <c r="M8">
        <v>1.4610000000000001</v>
      </c>
      <c r="N8" t="s">
        <v>30</v>
      </c>
    </row>
    <row r="9" spans="1:14" x14ac:dyDescent="0.25">
      <c r="A9" t="s">
        <v>28</v>
      </c>
      <c r="B9">
        <v>23</v>
      </c>
      <c r="C9" t="s">
        <v>29</v>
      </c>
      <c r="D9">
        <v>2019</v>
      </c>
      <c r="E9">
        <f t="shared" si="2"/>
        <v>5</v>
      </c>
      <c r="F9">
        <f t="shared" si="3"/>
        <v>8</v>
      </c>
      <c r="G9" t="s">
        <v>5</v>
      </c>
      <c r="H9" t="str">
        <f t="shared" si="0"/>
        <v>08</v>
      </c>
      <c r="I9" t="str">
        <f t="shared" si="4"/>
        <v>a</v>
      </c>
      <c r="J9" t="str">
        <f t="shared" si="1"/>
        <v>Line</v>
      </c>
      <c r="K9">
        <v>4665556.5269999998</v>
      </c>
      <c r="L9">
        <v>360006.17599999998</v>
      </c>
      <c r="M9">
        <v>1.4610000000000001</v>
      </c>
    </row>
    <row r="10" spans="1:14" x14ac:dyDescent="0.25">
      <c r="A10" t="s">
        <v>28</v>
      </c>
      <c r="B10">
        <v>23</v>
      </c>
      <c r="C10" t="s">
        <v>29</v>
      </c>
      <c r="D10">
        <v>2019</v>
      </c>
      <c r="E10">
        <f t="shared" si="2"/>
        <v>6</v>
      </c>
      <c r="F10">
        <f t="shared" si="3"/>
        <v>9</v>
      </c>
      <c r="G10" t="s">
        <v>7</v>
      </c>
      <c r="H10" t="str">
        <f t="shared" si="0"/>
        <v>09</v>
      </c>
      <c r="I10" t="str">
        <f t="shared" si="4"/>
        <v>a</v>
      </c>
      <c r="J10" t="str">
        <f t="shared" si="1"/>
        <v>Line</v>
      </c>
      <c r="K10">
        <v>4665556.5769999996</v>
      </c>
      <c r="L10">
        <v>360004.03600000002</v>
      </c>
      <c r="M10">
        <v>1.4450000000000001</v>
      </c>
    </row>
    <row r="11" spans="1:14" x14ac:dyDescent="0.25">
      <c r="A11" t="s">
        <v>28</v>
      </c>
      <c r="B11">
        <v>23</v>
      </c>
      <c r="C11" t="s">
        <v>29</v>
      </c>
      <c r="D11">
        <v>2019</v>
      </c>
      <c r="E11">
        <f t="shared" si="2"/>
        <v>6</v>
      </c>
      <c r="F11">
        <f t="shared" si="3"/>
        <v>10</v>
      </c>
      <c r="G11" t="s">
        <v>7</v>
      </c>
      <c r="H11" t="str">
        <f t="shared" si="0"/>
        <v>09</v>
      </c>
      <c r="I11" t="str">
        <f t="shared" si="4"/>
        <v>a</v>
      </c>
      <c r="J11" t="str">
        <f t="shared" si="1"/>
        <v>Line</v>
      </c>
      <c r="K11">
        <v>4665560.6770000001</v>
      </c>
      <c r="L11">
        <v>359997.53100000002</v>
      </c>
      <c r="M11">
        <v>1.492</v>
      </c>
    </row>
    <row r="12" spans="1:14" x14ac:dyDescent="0.25">
      <c r="A12" t="s">
        <v>28</v>
      </c>
      <c r="B12">
        <v>23</v>
      </c>
      <c r="C12" t="s">
        <v>29</v>
      </c>
      <c r="D12">
        <v>2019</v>
      </c>
      <c r="E12">
        <f t="shared" si="2"/>
        <v>7</v>
      </c>
      <c r="F12">
        <f t="shared" si="3"/>
        <v>11</v>
      </c>
      <c r="G12" t="s">
        <v>8</v>
      </c>
      <c r="H12" t="str">
        <f t="shared" si="0"/>
        <v>11</v>
      </c>
      <c r="I12" t="str">
        <f t="shared" si="4"/>
        <v>a</v>
      </c>
      <c r="J12" t="str">
        <f t="shared" si="1"/>
        <v>Line</v>
      </c>
      <c r="K12">
        <v>4665562.8629999999</v>
      </c>
      <c r="L12">
        <v>359997.17099999997</v>
      </c>
      <c r="M12">
        <v>1.512</v>
      </c>
    </row>
    <row r="13" spans="1:14" x14ac:dyDescent="0.25">
      <c r="A13" t="s">
        <v>28</v>
      </c>
      <c r="B13">
        <v>23</v>
      </c>
      <c r="C13" t="s">
        <v>29</v>
      </c>
      <c r="D13">
        <v>2019</v>
      </c>
      <c r="E13">
        <f t="shared" si="2"/>
        <v>7</v>
      </c>
      <c r="F13">
        <f t="shared" si="3"/>
        <v>12</v>
      </c>
      <c r="G13" t="s">
        <v>8</v>
      </c>
      <c r="H13" t="str">
        <f t="shared" si="0"/>
        <v>11</v>
      </c>
      <c r="I13" t="str">
        <f t="shared" si="4"/>
        <v>a</v>
      </c>
      <c r="J13" t="str">
        <f t="shared" si="1"/>
        <v>Line</v>
      </c>
      <c r="K13">
        <v>4665566.7769999998</v>
      </c>
      <c r="L13">
        <v>359995.647</v>
      </c>
      <c r="M13">
        <v>1.6279999999999999</v>
      </c>
    </row>
    <row r="14" spans="1:14" x14ac:dyDescent="0.25">
      <c r="A14" t="s">
        <v>28</v>
      </c>
      <c r="B14">
        <v>23</v>
      </c>
      <c r="C14" t="s">
        <v>29</v>
      </c>
      <c r="D14">
        <v>2019</v>
      </c>
      <c r="E14">
        <f t="shared" si="2"/>
        <v>7</v>
      </c>
      <c r="F14">
        <f t="shared" si="3"/>
        <v>13</v>
      </c>
      <c r="G14" t="s">
        <v>8</v>
      </c>
      <c r="H14" t="str">
        <f t="shared" si="0"/>
        <v>11</v>
      </c>
      <c r="I14" t="str">
        <f t="shared" si="4"/>
        <v>a</v>
      </c>
      <c r="J14" t="str">
        <f t="shared" si="1"/>
        <v>Line</v>
      </c>
      <c r="K14">
        <v>4665569.3859999999</v>
      </c>
      <c r="L14">
        <v>359994.875</v>
      </c>
      <c r="M14">
        <v>1.5229999999999999</v>
      </c>
    </row>
    <row r="15" spans="1:14" x14ac:dyDescent="0.25">
      <c r="A15" t="s">
        <v>28</v>
      </c>
      <c r="B15">
        <v>23</v>
      </c>
      <c r="C15" t="s">
        <v>29</v>
      </c>
      <c r="D15">
        <v>2019</v>
      </c>
      <c r="E15">
        <f t="shared" si="2"/>
        <v>8</v>
      </c>
      <c r="F15">
        <f t="shared" si="3"/>
        <v>14</v>
      </c>
      <c r="G15" t="s">
        <v>9</v>
      </c>
      <c r="H15" t="str">
        <f t="shared" si="0"/>
        <v>12</v>
      </c>
      <c r="I15" t="str">
        <f t="shared" si="4"/>
        <v>a</v>
      </c>
      <c r="J15" t="str">
        <f t="shared" si="1"/>
        <v>Line</v>
      </c>
      <c r="K15">
        <v>4665572.1310000001</v>
      </c>
      <c r="L15">
        <v>359999.80699999997</v>
      </c>
      <c r="M15">
        <v>1.4650000000000001</v>
      </c>
    </row>
    <row r="16" spans="1:14" x14ac:dyDescent="0.25">
      <c r="A16" t="s">
        <v>28</v>
      </c>
      <c r="B16">
        <v>23</v>
      </c>
      <c r="C16" t="s">
        <v>29</v>
      </c>
      <c r="D16">
        <v>2019</v>
      </c>
      <c r="E16">
        <f t="shared" si="2"/>
        <v>8</v>
      </c>
      <c r="F16">
        <f t="shared" si="3"/>
        <v>15</v>
      </c>
      <c r="G16" t="s">
        <v>9</v>
      </c>
      <c r="H16" t="str">
        <f t="shared" si="0"/>
        <v>12</v>
      </c>
      <c r="I16" t="str">
        <f t="shared" si="4"/>
        <v>a</v>
      </c>
      <c r="J16" t="str">
        <f t="shared" si="1"/>
        <v>Line</v>
      </c>
      <c r="K16">
        <v>4665575.7010000004</v>
      </c>
      <c r="L16">
        <v>360007.49300000002</v>
      </c>
      <c r="M16">
        <v>1.534</v>
      </c>
    </row>
    <row r="17" spans="1:14" x14ac:dyDescent="0.25">
      <c r="A17" t="s">
        <v>28</v>
      </c>
      <c r="B17">
        <v>23</v>
      </c>
      <c r="C17" t="s">
        <v>29</v>
      </c>
      <c r="D17">
        <v>2019</v>
      </c>
      <c r="E17">
        <f t="shared" si="2"/>
        <v>8</v>
      </c>
      <c r="F17">
        <f t="shared" si="3"/>
        <v>16</v>
      </c>
      <c r="G17" t="s">
        <v>9</v>
      </c>
      <c r="H17" t="str">
        <f t="shared" si="0"/>
        <v>12</v>
      </c>
      <c r="I17" t="str">
        <f t="shared" si="4"/>
        <v>a</v>
      </c>
      <c r="J17" t="str">
        <f t="shared" si="1"/>
        <v>Line</v>
      </c>
      <c r="K17">
        <v>4665580.3820000002</v>
      </c>
      <c r="L17">
        <v>360019.598</v>
      </c>
      <c r="M17">
        <v>1.2370000000000001</v>
      </c>
    </row>
    <row r="18" spans="1:14" x14ac:dyDescent="0.25">
      <c r="A18" t="s">
        <v>28</v>
      </c>
      <c r="B18">
        <v>23</v>
      </c>
      <c r="C18" t="s">
        <v>29</v>
      </c>
      <c r="D18">
        <v>2019</v>
      </c>
      <c r="E18">
        <f t="shared" si="2"/>
        <v>9</v>
      </c>
      <c r="F18">
        <f t="shared" si="3"/>
        <v>17</v>
      </c>
      <c r="G18" t="s">
        <v>8</v>
      </c>
      <c r="H18" t="str">
        <f t="shared" si="0"/>
        <v>11</v>
      </c>
      <c r="I18" t="str">
        <f t="shared" si="4"/>
        <v>a</v>
      </c>
      <c r="J18" t="str">
        <f t="shared" si="1"/>
        <v>Line</v>
      </c>
      <c r="K18">
        <v>4665580.3880000003</v>
      </c>
      <c r="L18">
        <v>360021.03499999997</v>
      </c>
      <c r="M18">
        <v>1.232</v>
      </c>
    </row>
    <row r="19" spans="1:14" x14ac:dyDescent="0.25">
      <c r="A19" t="s">
        <v>28</v>
      </c>
      <c r="B19">
        <v>23</v>
      </c>
      <c r="C19" t="s">
        <v>29</v>
      </c>
      <c r="D19">
        <v>2019</v>
      </c>
      <c r="E19">
        <f t="shared" si="2"/>
        <v>9</v>
      </c>
      <c r="F19">
        <f t="shared" si="3"/>
        <v>18</v>
      </c>
      <c r="G19" t="s">
        <v>8</v>
      </c>
      <c r="H19" t="str">
        <f t="shared" si="0"/>
        <v>11</v>
      </c>
      <c r="I19" t="str">
        <f t="shared" si="4"/>
        <v>a</v>
      </c>
      <c r="J19" t="str">
        <f t="shared" si="1"/>
        <v>Line</v>
      </c>
      <c r="K19">
        <v>4665579.4139999999</v>
      </c>
      <c r="L19">
        <v>360023.30800000002</v>
      </c>
      <c r="M19">
        <v>1.278</v>
      </c>
    </row>
    <row r="20" spans="1:14" x14ac:dyDescent="0.25">
      <c r="A20" t="s">
        <v>28</v>
      </c>
      <c r="B20">
        <v>23</v>
      </c>
      <c r="C20" t="s">
        <v>29</v>
      </c>
      <c r="D20">
        <v>2019</v>
      </c>
      <c r="E20">
        <f t="shared" si="2"/>
        <v>10</v>
      </c>
      <c r="F20">
        <f t="shared" si="3"/>
        <v>19</v>
      </c>
      <c r="G20" t="s">
        <v>7</v>
      </c>
      <c r="H20" t="str">
        <f t="shared" si="0"/>
        <v>09</v>
      </c>
      <c r="I20" t="str">
        <f t="shared" si="4"/>
        <v>a</v>
      </c>
      <c r="J20" t="str">
        <f t="shared" si="1"/>
        <v>Line</v>
      </c>
      <c r="K20">
        <v>4665577.82</v>
      </c>
      <c r="L20">
        <v>360023.93</v>
      </c>
      <c r="M20">
        <v>1.421</v>
      </c>
    </row>
    <row r="21" spans="1:14" x14ac:dyDescent="0.25">
      <c r="A21" t="s">
        <v>28</v>
      </c>
      <c r="B21">
        <v>23</v>
      </c>
      <c r="C21" t="s">
        <v>29</v>
      </c>
      <c r="D21">
        <v>2019</v>
      </c>
      <c r="E21">
        <f t="shared" si="2"/>
        <v>10</v>
      </c>
      <c r="F21">
        <f t="shared" si="3"/>
        <v>20</v>
      </c>
      <c r="G21" t="s">
        <v>7</v>
      </c>
      <c r="H21" t="str">
        <f t="shared" si="0"/>
        <v>09</v>
      </c>
      <c r="I21" t="str">
        <f t="shared" si="4"/>
        <v>a</v>
      </c>
      <c r="J21" t="str">
        <f t="shared" si="1"/>
        <v>Line</v>
      </c>
      <c r="K21">
        <v>4665579.5319999997</v>
      </c>
      <c r="L21">
        <v>360039.86099999998</v>
      </c>
      <c r="M21">
        <v>1.431</v>
      </c>
    </row>
    <row r="22" spans="1:14" x14ac:dyDescent="0.25">
      <c r="A22" t="s">
        <v>28</v>
      </c>
      <c r="B22">
        <v>23</v>
      </c>
      <c r="C22" t="s">
        <v>29</v>
      </c>
      <c r="D22">
        <v>2019</v>
      </c>
      <c r="E22">
        <f t="shared" si="2"/>
        <v>11</v>
      </c>
      <c r="F22">
        <f t="shared" si="3"/>
        <v>21</v>
      </c>
      <c r="G22" t="s">
        <v>9</v>
      </c>
      <c r="H22" t="str">
        <f t="shared" si="0"/>
        <v>12</v>
      </c>
      <c r="I22" t="str">
        <f t="shared" si="4"/>
        <v>a</v>
      </c>
      <c r="J22" t="str">
        <f t="shared" si="1"/>
        <v>Line</v>
      </c>
      <c r="K22">
        <v>4665581.03</v>
      </c>
      <c r="L22">
        <v>360040.20199999999</v>
      </c>
      <c r="M22">
        <v>1.2829999999999999</v>
      </c>
    </row>
    <row r="23" spans="1:14" x14ac:dyDescent="0.25">
      <c r="A23" t="s">
        <v>28</v>
      </c>
      <c r="B23">
        <v>23</v>
      </c>
      <c r="C23" t="s">
        <v>29</v>
      </c>
      <c r="D23">
        <v>2019</v>
      </c>
      <c r="E23">
        <f t="shared" si="2"/>
        <v>11</v>
      </c>
      <c r="F23">
        <f t="shared" si="3"/>
        <v>22</v>
      </c>
      <c r="G23" t="s">
        <v>9</v>
      </c>
      <c r="H23" t="str">
        <f t="shared" si="0"/>
        <v>12</v>
      </c>
      <c r="I23" t="str">
        <f t="shared" si="4"/>
        <v>a</v>
      </c>
      <c r="J23" t="str">
        <f t="shared" si="1"/>
        <v>Line</v>
      </c>
      <c r="K23">
        <v>4665587.2719999999</v>
      </c>
      <c r="L23">
        <v>360058.103</v>
      </c>
      <c r="M23">
        <v>1.323</v>
      </c>
    </row>
    <row r="24" spans="1:14" x14ac:dyDescent="0.25">
      <c r="A24" t="s">
        <v>28</v>
      </c>
      <c r="B24">
        <v>23</v>
      </c>
      <c r="C24" t="s">
        <v>29</v>
      </c>
      <c r="D24">
        <v>2019</v>
      </c>
      <c r="E24">
        <f t="shared" si="2"/>
        <v>12</v>
      </c>
      <c r="F24">
        <f t="shared" si="3"/>
        <v>23</v>
      </c>
      <c r="G24" t="s">
        <v>7</v>
      </c>
      <c r="H24" t="str">
        <f t="shared" si="0"/>
        <v>09</v>
      </c>
      <c r="I24" t="str">
        <f t="shared" si="4"/>
        <v>a</v>
      </c>
      <c r="J24" t="str">
        <f t="shared" si="1"/>
        <v>Line</v>
      </c>
      <c r="K24">
        <v>4665588.0650000004</v>
      </c>
      <c r="L24">
        <v>360059.63699999999</v>
      </c>
      <c r="M24">
        <v>1.3260000000000001</v>
      </c>
    </row>
    <row r="25" spans="1:14" x14ac:dyDescent="0.25">
      <c r="A25" t="s">
        <v>28</v>
      </c>
      <c r="B25">
        <v>23</v>
      </c>
      <c r="C25" t="s">
        <v>29</v>
      </c>
      <c r="D25">
        <v>2019</v>
      </c>
      <c r="E25">
        <f t="shared" si="2"/>
        <v>12</v>
      </c>
      <c r="F25">
        <f t="shared" si="3"/>
        <v>24</v>
      </c>
      <c r="G25" t="s">
        <v>7</v>
      </c>
      <c r="H25" t="str">
        <f t="shared" si="0"/>
        <v>09</v>
      </c>
      <c r="I25" t="str">
        <f t="shared" si="4"/>
        <v>a</v>
      </c>
      <c r="J25" t="str">
        <f t="shared" si="1"/>
        <v>Line</v>
      </c>
      <c r="K25">
        <v>4665591.5810000002</v>
      </c>
      <c r="L25">
        <v>360063.25599999999</v>
      </c>
      <c r="M25">
        <v>1.498</v>
      </c>
    </row>
    <row r="26" spans="1:14" x14ac:dyDescent="0.25">
      <c r="A26" t="s">
        <v>28</v>
      </c>
      <c r="B26">
        <v>23</v>
      </c>
      <c r="C26" t="s">
        <v>29</v>
      </c>
      <c r="D26">
        <v>2019</v>
      </c>
      <c r="E26">
        <f t="shared" si="2"/>
        <v>12</v>
      </c>
      <c r="F26">
        <f t="shared" si="3"/>
        <v>25</v>
      </c>
      <c r="G26" t="s">
        <v>10</v>
      </c>
      <c r="H26" t="str">
        <f t="shared" si="0"/>
        <v>09</v>
      </c>
      <c r="I26" t="str">
        <f t="shared" si="4"/>
        <v>ai</v>
      </c>
      <c r="J26" t="str">
        <f t="shared" si="1"/>
        <v>Line</v>
      </c>
      <c r="K26">
        <v>4665593.5410000002</v>
      </c>
      <c r="L26">
        <v>360067.68699999998</v>
      </c>
      <c r="M26">
        <v>1.5009999999999999</v>
      </c>
      <c r="N26" t="s">
        <v>31</v>
      </c>
    </row>
    <row r="27" spans="1:14" x14ac:dyDescent="0.25">
      <c r="A27" t="s">
        <v>28</v>
      </c>
      <c r="B27">
        <v>23</v>
      </c>
      <c r="C27" t="s">
        <v>29</v>
      </c>
      <c r="D27">
        <v>2019</v>
      </c>
      <c r="E27">
        <f t="shared" si="2"/>
        <v>12</v>
      </c>
      <c r="F27">
        <f t="shared" si="3"/>
        <v>26</v>
      </c>
      <c r="G27" t="s">
        <v>10</v>
      </c>
      <c r="H27" t="str">
        <f t="shared" si="0"/>
        <v>09</v>
      </c>
      <c r="I27" t="str">
        <f t="shared" si="4"/>
        <v>ai</v>
      </c>
      <c r="J27" t="str">
        <f t="shared" si="1"/>
        <v>Line</v>
      </c>
      <c r="K27">
        <v>4665596.2699999996</v>
      </c>
      <c r="L27">
        <v>360098.65</v>
      </c>
      <c r="M27">
        <v>1.38</v>
      </c>
    </row>
    <row r="28" spans="1:14" x14ac:dyDescent="0.25">
      <c r="A28" t="s">
        <v>28</v>
      </c>
      <c r="B28">
        <v>23</v>
      </c>
      <c r="C28" t="s">
        <v>29</v>
      </c>
      <c r="D28">
        <v>2019</v>
      </c>
      <c r="E28">
        <f t="shared" si="2"/>
        <v>13</v>
      </c>
      <c r="F28">
        <f t="shared" si="3"/>
        <v>27</v>
      </c>
      <c r="G28" t="s">
        <v>4</v>
      </c>
      <c r="H28" t="str">
        <f t="shared" si="0"/>
        <v>07</v>
      </c>
      <c r="I28" t="str">
        <f t="shared" si="4"/>
        <v>a</v>
      </c>
      <c r="J28" t="str">
        <f t="shared" si="1"/>
        <v>MU</v>
      </c>
      <c r="K28">
        <v>4665594.1100000003</v>
      </c>
      <c r="L28">
        <v>360098.90600000002</v>
      </c>
      <c r="M28">
        <v>1.3180000000000001</v>
      </c>
    </row>
    <row r="29" spans="1:14" x14ac:dyDescent="0.25">
      <c r="A29" t="s">
        <v>28</v>
      </c>
      <c r="B29">
        <v>23</v>
      </c>
      <c r="C29" t="s">
        <v>29</v>
      </c>
      <c r="D29">
        <v>2019</v>
      </c>
      <c r="E29">
        <f t="shared" si="2"/>
        <v>14</v>
      </c>
      <c r="F29">
        <f t="shared" si="3"/>
        <v>28</v>
      </c>
      <c r="G29" t="s">
        <v>11</v>
      </c>
      <c r="H29" t="str">
        <f t="shared" si="0"/>
        <v>06</v>
      </c>
      <c r="I29" t="str">
        <f t="shared" si="4"/>
        <v>a</v>
      </c>
      <c r="J29" t="str">
        <f t="shared" si="1"/>
        <v>MU</v>
      </c>
      <c r="K29">
        <v>4665593.6469999999</v>
      </c>
      <c r="L29">
        <v>360096.78200000001</v>
      </c>
      <c r="M29">
        <v>1.2749999999999999</v>
      </c>
    </row>
    <row r="30" spans="1:14" x14ac:dyDescent="0.25">
      <c r="A30" t="s">
        <v>28</v>
      </c>
      <c r="B30">
        <v>23</v>
      </c>
      <c r="C30" t="s">
        <v>29</v>
      </c>
      <c r="D30">
        <v>2019</v>
      </c>
      <c r="E30">
        <f t="shared" si="2"/>
        <v>15</v>
      </c>
      <c r="F30">
        <f t="shared" si="3"/>
        <v>29</v>
      </c>
      <c r="G30" t="s">
        <v>7</v>
      </c>
      <c r="H30" t="str">
        <f t="shared" si="0"/>
        <v>09</v>
      </c>
      <c r="I30" t="str">
        <f t="shared" si="4"/>
        <v>a</v>
      </c>
      <c r="J30" t="str">
        <f t="shared" si="1"/>
        <v>Line</v>
      </c>
      <c r="K30">
        <v>4665593.2910000002</v>
      </c>
      <c r="L30">
        <v>360094.71100000001</v>
      </c>
      <c r="M30">
        <v>1.26</v>
      </c>
    </row>
    <row r="31" spans="1:14" x14ac:dyDescent="0.25">
      <c r="A31" t="s">
        <v>28</v>
      </c>
      <c r="B31">
        <v>23</v>
      </c>
      <c r="C31" t="s">
        <v>29</v>
      </c>
      <c r="D31">
        <v>2019</v>
      </c>
      <c r="E31">
        <f t="shared" si="2"/>
        <v>15</v>
      </c>
      <c r="F31">
        <f t="shared" si="3"/>
        <v>30</v>
      </c>
      <c r="G31" t="s">
        <v>7</v>
      </c>
      <c r="H31" t="str">
        <f t="shared" si="0"/>
        <v>09</v>
      </c>
      <c r="I31" t="str">
        <f t="shared" si="4"/>
        <v>a</v>
      </c>
      <c r="J31" t="str">
        <f t="shared" si="1"/>
        <v>Line</v>
      </c>
      <c r="K31">
        <v>4665593.0240000002</v>
      </c>
      <c r="L31">
        <v>360091.46</v>
      </c>
      <c r="M31">
        <v>1.2529999999999999</v>
      </c>
    </row>
    <row r="32" spans="1:14" x14ac:dyDescent="0.25">
      <c r="A32" t="s">
        <v>28</v>
      </c>
      <c r="B32">
        <v>23</v>
      </c>
      <c r="C32" t="s">
        <v>29</v>
      </c>
      <c r="D32">
        <v>2019</v>
      </c>
      <c r="E32">
        <f t="shared" si="2"/>
        <v>16</v>
      </c>
      <c r="F32">
        <f t="shared" si="3"/>
        <v>31</v>
      </c>
      <c r="G32" t="s">
        <v>4</v>
      </c>
      <c r="H32" t="str">
        <f t="shared" si="0"/>
        <v>07</v>
      </c>
      <c r="I32" t="str">
        <f t="shared" si="4"/>
        <v>a</v>
      </c>
      <c r="J32" t="str">
        <f t="shared" si="1"/>
        <v>Line</v>
      </c>
      <c r="K32">
        <v>4665592.6119999997</v>
      </c>
      <c r="L32">
        <v>360089.44500000001</v>
      </c>
      <c r="M32">
        <v>1.242</v>
      </c>
    </row>
    <row r="33" spans="1:23" x14ac:dyDescent="0.25">
      <c r="A33" t="s">
        <v>28</v>
      </c>
      <c r="B33">
        <v>23</v>
      </c>
      <c r="C33" t="s">
        <v>29</v>
      </c>
      <c r="D33">
        <v>2019</v>
      </c>
      <c r="E33">
        <f t="shared" si="2"/>
        <v>16</v>
      </c>
      <c r="F33">
        <f t="shared" si="3"/>
        <v>32</v>
      </c>
      <c r="G33" t="s">
        <v>4</v>
      </c>
      <c r="H33" t="str">
        <f t="shared" si="0"/>
        <v>07</v>
      </c>
      <c r="I33" t="str">
        <f t="shared" si="4"/>
        <v>a</v>
      </c>
      <c r="J33" t="str">
        <f t="shared" si="1"/>
        <v>Line</v>
      </c>
      <c r="K33">
        <v>4665590.9139999999</v>
      </c>
      <c r="L33">
        <v>360081.9</v>
      </c>
      <c r="M33">
        <v>1.2370000000000001</v>
      </c>
    </row>
    <row r="34" spans="1:23" x14ac:dyDescent="0.25">
      <c r="A34" t="s">
        <v>28</v>
      </c>
      <c r="B34">
        <v>23</v>
      </c>
      <c r="C34" t="s">
        <v>29</v>
      </c>
      <c r="D34">
        <v>2019</v>
      </c>
      <c r="E34">
        <f t="shared" si="2"/>
        <v>17</v>
      </c>
      <c r="F34">
        <f t="shared" si="3"/>
        <v>33</v>
      </c>
      <c r="G34" t="s">
        <v>7</v>
      </c>
      <c r="H34" t="str">
        <f t="shared" si="0"/>
        <v>09</v>
      </c>
      <c r="I34" t="str">
        <f t="shared" si="4"/>
        <v>a</v>
      </c>
      <c r="J34" t="str">
        <f t="shared" si="1"/>
        <v>MU</v>
      </c>
      <c r="K34">
        <v>4665588.9550000001</v>
      </c>
      <c r="L34">
        <v>360082.2</v>
      </c>
      <c r="M34">
        <v>1.1519999999999999</v>
      </c>
    </row>
    <row r="35" spans="1:23" x14ac:dyDescent="0.25">
      <c r="A35" t="s">
        <v>28</v>
      </c>
      <c r="B35">
        <v>23</v>
      </c>
      <c r="C35" t="s">
        <v>29</v>
      </c>
      <c r="D35">
        <v>2019</v>
      </c>
      <c r="E35">
        <f t="shared" si="2"/>
        <v>18</v>
      </c>
      <c r="F35">
        <f t="shared" si="3"/>
        <v>34</v>
      </c>
      <c r="G35" t="s">
        <v>35</v>
      </c>
      <c r="H35" t="str">
        <f t="shared" si="0"/>
        <v>01</v>
      </c>
      <c r="I35" t="str">
        <f t="shared" si="4"/>
        <v>aj</v>
      </c>
      <c r="J35" t="str">
        <f t="shared" si="1"/>
        <v>Line</v>
      </c>
      <c r="K35">
        <v>4665587.7130000005</v>
      </c>
      <c r="L35">
        <v>360081.83399999997</v>
      </c>
      <c r="M35">
        <v>0.84199999999999997</v>
      </c>
      <c r="N35" t="s">
        <v>32</v>
      </c>
    </row>
    <row r="36" spans="1:23" x14ac:dyDescent="0.25">
      <c r="A36" t="s">
        <v>28</v>
      </c>
      <c r="B36">
        <v>23</v>
      </c>
      <c r="C36" t="s">
        <v>29</v>
      </c>
      <c r="D36">
        <v>2019</v>
      </c>
      <c r="E36">
        <f t="shared" si="2"/>
        <v>18</v>
      </c>
      <c r="F36">
        <f t="shared" si="3"/>
        <v>35</v>
      </c>
      <c r="G36" t="s">
        <v>35</v>
      </c>
      <c r="H36" t="str">
        <f t="shared" si="0"/>
        <v>01</v>
      </c>
      <c r="I36" t="str">
        <f t="shared" si="4"/>
        <v>aj</v>
      </c>
      <c r="J36" t="str">
        <f t="shared" si="1"/>
        <v>Line</v>
      </c>
      <c r="K36">
        <v>4665590.0010000002</v>
      </c>
      <c r="L36">
        <v>360102.74599999998</v>
      </c>
      <c r="M36">
        <v>0.62</v>
      </c>
      <c r="N36" t="s">
        <v>32</v>
      </c>
    </row>
    <row r="37" spans="1:23" x14ac:dyDescent="0.25">
      <c r="A37" t="s">
        <v>28</v>
      </c>
      <c r="B37">
        <v>23</v>
      </c>
      <c r="C37" t="s">
        <v>29</v>
      </c>
      <c r="D37">
        <v>2019</v>
      </c>
      <c r="E37">
        <f t="shared" si="2"/>
        <v>18</v>
      </c>
      <c r="F37">
        <f t="shared" si="3"/>
        <v>36</v>
      </c>
      <c r="G37" t="s">
        <v>35</v>
      </c>
      <c r="H37" t="str">
        <f t="shared" si="0"/>
        <v>01</v>
      </c>
      <c r="I37" t="str">
        <f t="shared" si="4"/>
        <v>aj</v>
      </c>
      <c r="J37" t="str">
        <f t="shared" si="1"/>
        <v>Line</v>
      </c>
      <c r="K37">
        <v>4665591.9840000002</v>
      </c>
      <c r="L37">
        <v>360117.78399999999</v>
      </c>
      <c r="M37">
        <v>0.73799999999999999</v>
      </c>
      <c r="N37" t="s">
        <v>32</v>
      </c>
    </row>
    <row r="38" spans="1:23" x14ac:dyDescent="0.25">
      <c r="A38" t="s">
        <v>28</v>
      </c>
      <c r="B38">
        <v>23</v>
      </c>
      <c r="C38" t="s">
        <v>29</v>
      </c>
      <c r="D38">
        <v>2019</v>
      </c>
      <c r="E38">
        <f t="shared" si="2"/>
        <v>19</v>
      </c>
      <c r="F38">
        <f t="shared" si="3"/>
        <v>37</v>
      </c>
      <c r="G38" t="s">
        <v>12</v>
      </c>
      <c r="H38" t="str">
        <f t="shared" si="0"/>
        <v>13</v>
      </c>
      <c r="I38" t="str">
        <f t="shared" si="4"/>
        <v>a</v>
      </c>
      <c r="J38" t="s">
        <v>36</v>
      </c>
      <c r="K38">
        <v>4665593.28</v>
      </c>
      <c r="L38">
        <v>360118.55</v>
      </c>
      <c r="M38">
        <v>1.079</v>
      </c>
    </row>
    <row r="39" spans="1:23" x14ac:dyDescent="0.25">
      <c r="A39" t="s">
        <v>28</v>
      </c>
      <c r="B39">
        <v>23</v>
      </c>
      <c r="C39" t="s">
        <v>29</v>
      </c>
      <c r="D39">
        <v>2019</v>
      </c>
      <c r="E39">
        <f t="shared" si="2"/>
        <v>19</v>
      </c>
      <c r="F39">
        <f t="shared" si="3"/>
        <v>38</v>
      </c>
      <c r="G39" t="s">
        <v>12</v>
      </c>
      <c r="H39" t="str">
        <f t="shared" si="0"/>
        <v>13</v>
      </c>
      <c r="I39" t="str">
        <f t="shared" si="4"/>
        <v>a</v>
      </c>
      <c r="J39" t="s">
        <v>36</v>
      </c>
      <c r="K39">
        <v>4665592.3969999999</v>
      </c>
      <c r="L39">
        <v>360122.14500000002</v>
      </c>
      <c r="M39">
        <v>0.63600000000000001</v>
      </c>
    </row>
    <row r="40" spans="1:23" x14ac:dyDescent="0.25">
      <c r="A40" t="s">
        <v>28</v>
      </c>
      <c r="B40">
        <v>23</v>
      </c>
      <c r="C40" t="s">
        <v>29</v>
      </c>
      <c r="D40">
        <v>2019</v>
      </c>
      <c r="E40">
        <f t="shared" si="2"/>
        <v>19</v>
      </c>
      <c r="F40">
        <f t="shared" si="3"/>
        <v>39</v>
      </c>
      <c r="G40" t="s">
        <v>12</v>
      </c>
      <c r="H40" t="str">
        <f t="shared" si="0"/>
        <v>13</v>
      </c>
      <c r="I40" t="str">
        <f t="shared" si="4"/>
        <v>a</v>
      </c>
      <c r="J40" t="s">
        <v>36</v>
      </c>
      <c r="K40">
        <v>4665596.443</v>
      </c>
      <c r="L40">
        <v>360147.73599999998</v>
      </c>
      <c r="M40">
        <v>0.79200000000000004</v>
      </c>
    </row>
    <row r="41" spans="1:23" x14ac:dyDescent="0.25">
      <c r="A41" t="s">
        <v>28</v>
      </c>
      <c r="B41">
        <v>23</v>
      </c>
      <c r="C41" t="s">
        <v>29</v>
      </c>
      <c r="D41">
        <v>2019</v>
      </c>
      <c r="E41">
        <f t="shared" si="2"/>
        <v>19</v>
      </c>
      <c r="F41">
        <f t="shared" si="3"/>
        <v>40</v>
      </c>
      <c r="G41" t="s">
        <v>12</v>
      </c>
      <c r="H41" t="str">
        <f t="shared" si="0"/>
        <v>13</v>
      </c>
      <c r="I41" t="str">
        <f t="shared" si="4"/>
        <v>a</v>
      </c>
      <c r="J41" t="s">
        <v>36</v>
      </c>
      <c r="K41">
        <v>4665598.1040000003</v>
      </c>
      <c r="L41">
        <v>360147.26299999998</v>
      </c>
      <c r="M41">
        <v>1.1719999999999999</v>
      </c>
    </row>
    <row r="42" spans="1:23" x14ac:dyDescent="0.25">
      <c r="A42" t="s">
        <v>28</v>
      </c>
      <c r="B42">
        <v>23</v>
      </c>
      <c r="C42" t="s">
        <v>29</v>
      </c>
      <c r="D42">
        <v>2019</v>
      </c>
      <c r="E42">
        <f t="shared" si="2"/>
        <v>19</v>
      </c>
      <c r="F42">
        <f t="shared" si="3"/>
        <v>41</v>
      </c>
      <c r="G42" t="s">
        <v>12</v>
      </c>
      <c r="H42" t="str">
        <f t="shared" si="0"/>
        <v>13</v>
      </c>
      <c r="I42" t="str">
        <f t="shared" si="4"/>
        <v>a</v>
      </c>
      <c r="J42" t="s">
        <v>36</v>
      </c>
      <c r="K42">
        <v>4665594.5880000005</v>
      </c>
      <c r="L42">
        <v>360118.52</v>
      </c>
      <c r="M42">
        <v>1.19</v>
      </c>
      <c r="Q42" t="s">
        <v>37</v>
      </c>
      <c r="R42" t="s">
        <v>38</v>
      </c>
      <c r="S42" t="s">
        <v>37</v>
      </c>
      <c r="T42" t="s">
        <v>37</v>
      </c>
      <c r="U42" t="s">
        <v>37</v>
      </c>
      <c r="V42" t="s">
        <v>38</v>
      </c>
      <c r="W42" t="s">
        <v>40</v>
      </c>
    </row>
    <row r="43" spans="1:23" x14ac:dyDescent="0.25">
      <c r="A43" t="s">
        <v>28</v>
      </c>
      <c r="B43">
        <v>23</v>
      </c>
      <c r="C43" t="s">
        <v>29</v>
      </c>
      <c r="D43">
        <v>2019</v>
      </c>
      <c r="E43">
        <f t="shared" si="2"/>
        <v>20</v>
      </c>
      <c r="F43">
        <v>42</v>
      </c>
      <c r="G43" t="s">
        <v>13</v>
      </c>
      <c r="H43" s="2">
        <v>21</v>
      </c>
      <c r="I43" t="s">
        <v>34</v>
      </c>
      <c r="J43" t="s">
        <v>36</v>
      </c>
      <c r="K43">
        <v>4665592.8109999998</v>
      </c>
      <c r="L43">
        <v>360119.88299999997</v>
      </c>
      <c r="M43">
        <v>0.60899999999999999</v>
      </c>
      <c r="P43">
        <v>42</v>
      </c>
      <c r="Q43" t="s">
        <v>13</v>
      </c>
      <c r="R43" s="2">
        <v>21</v>
      </c>
      <c r="S43" t="s">
        <v>34</v>
      </c>
      <c r="T43" t="s">
        <v>36</v>
      </c>
      <c r="U43">
        <v>4665592.8109999998</v>
      </c>
      <c r="V43">
        <v>360119.88299999997</v>
      </c>
      <c r="W43">
        <v>0.60899999999999999</v>
      </c>
    </row>
    <row r="44" spans="1:23" x14ac:dyDescent="0.25">
      <c r="A44" t="s">
        <v>28</v>
      </c>
      <c r="B44">
        <v>23</v>
      </c>
      <c r="C44" t="s">
        <v>29</v>
      </c>
      <c r="D44">
        <v>2019</v>
      </c>
      <c r="E44">
        <f t="shared" si="2"/>
        <v>20</v>
      </c>
      <c r="F44">
        <v>43</v>
      </c>
      <c r="G44" t="s">
        <v>13</v>
      </c>
      <c r="H44" s="2">
        <v>21</v>
      </c>
      <c r="I44" t="s">
        <v>34</v>
      </c>
      <c r="J44" t="s">
        <v>36</v>
      </c>
      <c r="K44">
        <v>4665592.5999999996</v>
      </c>
      <c r="L44">
        <v>360124.484</v>
      </c>
      <c r="M44">
        <v>0.56799999999999995</v>
      </c>
      <c r="P44">
        <v>43</v>
      </c>
      <c r="Q44" t="s">
        <v>13</v>
      </c>
      <c r="R44" s="2">
        <v>21</v>
      </c>
      <c r="S44" t="s">
        <v>34</v>
      </c>
      <c r="T44" t="s">
        <v>36</v>
      </c>
      <c r="U44">
        <v>4665592.5999999996</v>
      </c>
      <c r="V44">
        <v>360124.484</v>
      </c>
      <c r="W44">
        <v>0.56799999999999995</v>
      </c>
    </row>
    <row r="45" spans="1:23" x14ac:dyDescent="0.25">
      <c r="A45" t="s">
        <v>28</v>
      </c>
      <c r="B45">
        <v>23</v>
      </c>
      <c r="C45" t="s">
        <v>29</v>
      </c>
      <c r="D45">
        <v>2019</v>
      </c>
      <c r="E45">
        <f t="shared" si="2"/>
        <v>20</v>
      </c>
      <c r="F45">
        <v>44</v>
      </c>
      <c r="G45" t="s">
        <v>13</v>
      </c>
      <c r="H45" s="2">
        <v>21</v>
      </c>
      <c r="I45" t="s">
        <v>34</v>
      </c>
      <c r="J45" t="s">
        <v>36</v>
      </c>
      <c r="K45">
        <v>4665595.318</v>
      </c>
      <c r="L45">
        <v>360142.8</v>
      </c>
      <c r="M45">
        <v>0.64900000000000002</v>
      </c>
      <c r="P45">
        <v>44</v>
      </c>
      <c r="Q45" t="s">
        <v>13</v>
      </c>
      <c r="R45" s="2">
        <v>21</v>
      </c>
      <c r="S45" t="s">
        <v>34</v>
      </c>
      <c r="T45" t="s">
        <v>36</v>
      </c>
      <c r="U45">
        <v>4665595.318</v>
      </c>
      <c r="V45">
        <v>360142.8</v>
      </c>
      <c r="W45">
        <v>0.64900000000000002</v>
      </c>
    </row>
    <row r="46" spans="1:23" x14ac:dyDescent="0.25">
      <c r="A46" t="s">
        <v>28</v>
      </c>
      <c r="B46">
        <v>23</v>
      </c>
      <c r="C46" t="s">
        <v>29</v>
      </c>
      <c r="D46">
        <v>2019</v>
      </c>
      <c r="E46">
        <f t="shared" si="2"/>
        <v>20</v>
      </c>
      <c r="F46">
        <v>45</v>
      </c>
      <c r="G46" t="s">
        <v>13</v>
      </c>
      <c r="H46" s="2">
        <v>21</v>
      </c>
      <c r="I46" t="s">
        <v>34</v>
      </c>
      <c r="J46" t="s">
        <v>36</v>
      </c>
      <c r="K46">
        <v>4665596.21</v>
      </c>
      <c r="L46">
        <v>360147.07299999997</v>
      </c>
      <c r="M46">
        <v>0.755</v>
      </c>
      <c r="P46">
        <v>45</v>
      </c>
      <c r="Q46" t="s">
        <v>13</v>
      </c>
      <c r="R46" s="2">
        <v>21</v>
      </c>
      <c r="S46" t="s">
        <v>34</v>
      </c>
      <c r="T46" t="s">
        <v>36</v>
      </c>
      <c r="U46">
        <v>4665596.21</v>
      </c>
      <c r="V46">
        <v>360147.07299999997</v>
      </c>
      <c r="W46">
        <v>0.755</v>
      </c>
    </row>
    <row r="47" spans="1:23" x14ac:dyDescent="0.25">
      <c r="A47" t="s">
        <v>28</v>
      </c>
      <c r="B47">
        <v>23</v>
      </c>
      <c r="C47" t="s">
        <v>29</v>
      </c>
      <c r="D47">
        <v>2019</v>
      </c>
      <c r="E47">
        <f t="shared" si="2"/>
        <v>20</v>
      </c>
      <c r="F47">
        <v>48</v>
      </c>
      <c r="G47" t="s">
        <v>13</v>
      </c>
      <c r="H47" s="2">
        <v>21</v>
      </c>
      <c r="I47" t="s">
        <v>34</v>
      </c>
      <c r="J47" t="s">
        <v>36</v>
      </c>
      <c r="K47">
        <v>4665595.0120000001</v>
      </c>
      <c r="L47">
        <v>360147.41899999999</v>
      </c>
      <c r="M47">
        <v>0.78700000000000003</v>
      </c>
      <c r="P47">
        <v>48</v>
      </c>
      <c r="Q47" t="s">
        <v>13</v>
      </c>
      <c r="R47" s="2">
        <v>21</v>
      </c>
      <c r="S47" t="s">
        <v>34</v>
      </c>
      <c r="T47" t="s">
        <v>36</v>
      </c>
      <c r="U47">
        <v>4665595.0120000001</v>
      </c>
      <c r="V47">
        <v>360147.41899999999</v>
      </c>
      <c r="W47">
        <v>0.78700000000000003</v>
      </c>
    </row>
    <row r="48" spans="1:23" x14ac:dyDescent="0.25">
      <c r="A48" t="s">
        <v>28</v>
      </c>
      <c r="B48">
        <v>23</v>
      </c>
      <c r="C48" t="s">
        <v>29</v>
      </c>
      <c r="D48">
        <v>2019</v>
      </c>
      <c r="E48">
        <f t="shared" si="2"/>
        <v>20</v>
      </c>
      <c r="F48">
        <v>49</v>
      </c>
      <c r="G48" t="s">
        <v>13</v>
      </c>
      <c r="H48" s="2">
        <v>21</v>
      </c>
      <c r="I48" t="s">
        <v>34</v>
      </c>
      <c r="J48" t="s">
        <v>36</v>
      </c>
      <c r="K48">
        <v>4665595.4720000001</v>
      </c>
      <c r="L48">
        <v>360146.53100000002</v>
      </c>
      <c r="M48">
        <v>0.161</v>
      </c>
      <c r="P48">
        <v>49</v>
      </c>
      <c r="Q48" t="s">
        <v>13</v>
      </c>
      <c r="R48" s="2">
        <v>21</v>
      </c>
      <c r="S48" t="s">
        <v>34</v>
      </c>
      <c r="T48" t="s">
        <v>36</v>
      </c>
      <c r="U48">
        <v>4665595.4720000001</v>
      </c>
      <c r="V48">
        <v>360146.53100000002</v>
      </c>
      <c r="W48">
        <v>0.161</v>
      </c>
    </row>
    <row r="49" spans="1:23" x14ac:dyDescent="0.25">
      <c r="A49" t="s">
        <v>28</v>
      </c>
      <c r="B49">
        <v>23</v>
      </c>
      <c r="C49" t="s">
        <v>29</v>
      </c>
      <c r="D49">
        <v>2019</v>
      </c>
      <c r="E49">
        <f t="shared" si="2"/>
        <v>20</v>
      </c>
      <c r="F49">
        <v>50</v>
      </c>
      <c r="G49" t="s">
        <v>13</v>
      </c>
      <c r="H49" s="2">
        <v>21</v>
      </c>
      <c r="I49" t="s">
        <v>34</v>
      </c>
      <c r="J49" t="s">
        <v>36</v>
      </c>
      <c r="K49">
        <v>4665593.7709999997</v>
      </c>
      <c r="L49">
        <v>360136.05099999998</v>
      </c>
      <c r="M49">
        <v>5.0000000000000001E-3</v>
      </c>
      <c r="P49">
        <v>50</v>
      </c>
      <c r="Q49" t="s">
        <v>13</v>
      </c>
      <c r="R49" s="2">
        <v>21</v>
      </c>
      <c r="S49" t="s">
        <v>34</v>
      </c>
      <c r="T49" t="s">
        <v>36</v>
      </c>
      <c r="U49">
        <v>4665593.7709999997</v>
      </c>
      <c r="V49">
        <v>360136.05099999998</v>
      </c>
      <c r="W49">
        <v>5.0000000000000001E-3</v>
      </c>
    </row>
    <row r="50" spans="1:23" x14ac:dyDescent="0.25">
      <c r="A50" t="s">
        <v>28</v>
      </c>
      <c r="B50">
        <v>23</v>
      </c>
      <c r="C50" t="s">
        <v>29</v>
      </c>
      <c r="D50">
        <v>2019</v>
      </c>
      <c r="E50">
        <f t="shared" si="2"/>
        <v>20</v>
      </c>
      <c r="F50">
        <v>47</v>
      </c>
      <c r="G50" t="s">
        <v>13</v>
      </c>
      <c r="H50" s="2">
        <v>21</v>
      </c>
      <c r="I50" t="s">
        <v>34</v>
      </c>
      <c r="J50" t="s">
        <v>36</v>
      </c>
      <c r="K50">
        <v>4665592.9369999999</v>
      </c>
      <c r="L50">
        <v>360132.49</v>
      </c>
      <c r="M50">
        <v>0.82599999999999996</v>
      </c>
      <c r="P50">
        <v>47</v>
      </c>
      <c r="Q50" t="s">
        <v>13</v>
      </c>
      <c r="R50" s="2">
        <v>21</v>
      </c>
      <c r="S50" t="s">
        <v>34</v>
      </c>
      <c r="T50" t="s">
        <v>36</v>
      </c>
      <c r="U50">
        <v>4665592.9369999999</v>
      </c>
      <c r="V50">
        <v>360132.49</v>
      </c>
      <c r="W50">
        <v>0.82599999999999996</v>
      </c>
    </row>
    <row r="51" spans="1:23" x14ac:dyDescent="0.25">
      <c r="A51" t="s">
        <v>28</v>
      </c>
      <c r="B51">
        <v>23</v>
      </c>
      <c r="C51" t="s">
        <v>29</v>
      </c>
      <c r="D51">
        <v>2019</v>
      </c>
      <c r="E51">
        <f t="shared" si="2"/>
        <v>20</v>
      </c>
      <c r="F51">
        <v>46</v>
      </c>
      <c r="G51" t="s">
        <v>13</v>
      </c>
      <c r="H51" s="2">
        <v>21</v>
      </c>
      <c r="I51" t="s">
        <v>34</v>
      </c>
      <c r="J51" t="s">
        <v>36</v>
      </c>
      <c r="K51">
        <v>4665591.6689999998</v>
      </c>
      <c r="L51">
        <v>360121.08100000001</v>
      </c>
      <c r="M51">
        <v>0.92100000000000004</v>
      </c>
      <c r="P51">
        <v>46</v>
      </c>
      <c r="Q51" t="s">
        <v>13</v>
      </c>
      <c r="R51" s="2">
        <v>21</v>
      </c>
      <c r="S51" t="s">
        <v>34</v>
      </c>
      <c r="T51" t="s">
        <v>36</v>
      </c>
      <c r="U51">
        <v>4665591.6689999998</v>
      </c>
      <c r="V51">
        <v>360121.08100000001</v>
      </c>
      <c r="W51">
        <v>0.92100000000000004</v>
      </c>
    </row>
    <row r="52" spans="1:23" x14ac:dyDescent="0.25">
      <c r="A52" t="s">
        <v>28</v>
      </c>
      <c r="B52">
        <v>23</v>
      </c>
      <c r="C52" t="s">
        <v>29</v>
      </c>
      <c r="D52">
        <v>2019</v>
      </c>
      <c r="E52">
        <f t="shared" si="2"/>
        <v>21</v>
      </c>
      <c r="F52">
        <v>51</v>
      </c>
      <c r="G52" t="s">
        <v>14</v>
      </c>
      <c r="H52" t="str">
        <f t="shared" si="0"/>
        <v>05</v>
      </c>
      <c r="I52" t="str">
        <f t="shared" si="4"/>
        <v>a</v>
      </c>
      <c r="J52" t="str">
        <f t="shared" si="1"/>
        <v>Line</v>
      </c>
      <c r="K52">
        <v>4665582.5769999996</v>
      </c>
      <c r="L52">
        <v>360152.85800000001</v>
      </c>
      <c r="M52">
        <v>1.1539999999999999</v>
      </c>
    </row>
    <row r="53" spans="1:23" x14ac:dyDescent="0.25">
      <c r="A53" t="s">
        <v>28</v>
      </c>
      <c r="B53">
        <v>23</v>
      </c>
      <c r="C53" t="s">
        <v>29</v>
      </c>
      <c r="D53">
        <v>2019</v>
      </c>
      <c r="E53">
        <f t="shared" si="2"/>
        <v>21</v>
      </c>
      <c r="F53">
        <f t="shared" si="3"/>
        <v>52</v>
      </c>
      <c r="G53" t="s">
        <v>14</v>
      </c>
      <c r="H53" t="str">
        <f t="shared" si="0"/>
        <v>05</v>
      </c>
      <c r="I53" t="str">
        <f t="shared" si="4"/>
        <v>a</v>
      </c>
      <c r="J53" t="str">
        <f t="shared" si="1"/>
        <v>Line</v>
      </c>
      <c r="K53">
        <v>4665576.1239999998</v>
      </c>
      <c r="L53">
        <v>360150.44500000001</v>
      </c>
      <c r="M53">
        <v>1.28</v>
      </c>
    </row>
    <row r="54" spans="1:23" x14ac:dyDescent="0.25">
      <c r="A54" t="s">
        <v>28</v>
      </c>
      <c r="B54">
        <v>23</v>
      </c>
      <c r="C54" t="s">
        <v>29</v>
      </c>
      <c r="D54">
        <v>2019</v>
      </c>
      <c r="E54">
        <f t="shared" si="2"/>
        <v>22</v>
      </c>
      <c r="F54">
        <f t="shared" si="3"/>
        <v>53</v>
      </c>
      <c r="G54" t="s">
        <v>11</v>
      </c>
      <c r="H54" t="str">
        <f t="shared" si="0"/>
        <v>06</v>
      </c>
      <c r="I54" t="str">
        <f t="shared" si="4"/>
        <v>a</v>
      </c>
      <c r="J54" t="str">
        <f t="shared" si="1"/>
        <v>Line</v>
      </c>
      <c r="K54">
        <v>4665574.0420000004</v>
      </c>
      <c r="L54">
        <v>360150.217</v>
      </c>
      <c r="M54">
        <v>1.1970000000000001</v>
      </c>
    </row>
    <row r="55" spans="1:23" x14ac:dyDescent="0.25">
      <c r="A55" t="s">
        <v>28</v>
      </c>
      <c r="B55">
        <v>23</v>
      </c>
      <c r="C55" t="s">
        <v>29</v>
      </c>
      <c r="D55">
        <v>2019</v>
      </c>
      <c r="E55">
        <f t="shared" si="2"/>
        <v>22</v>
      </c>
      <c r="F55">
        <f t="shared" si="3"/>
        <v>54</v>
      </c>
      <c r="G55" t="s">
        <v>11</v>
      </c>
      <c r="H55" t="str">
        <f t="shared" si="0"/>
        <v>06</v>
      </c>
      <c r="I55" t="str">
        <f t="shared" si="4"/>
        <v>a</v>
      </c>
      <c r="J55" t="str">
        <f t="shared" si="1"/>
        <v>Line</v>
      </c>
      <c r="K55">
        <v>4665563.2769999998</v>
      </c>
      <c r="L55">
        <v>360150.196</v>
      </c>
      <c r="M55">
        <v>1.2010000000000001</v>
      </c>
    </row>
    <row r="56" spans="1:23" x14ac:dyDescent="0.25">
      <c r="A56" t="s">
        <v>28</v>
      </c>
      <c r="B56">
        <v>23</v>
      </c>
      <c r="C56" t="s">
        <v>29</v>
      </c>
      <c r="D56">
        <v>2019</v>
      </c>
      <c r="E56">
        <f t="shared" si="2"/>
        <v>23</v>
      </c>
      <c r="F56">
        <f t="shared" si="3"/>
        <v>55</v>
      </c>
      <c r="G56" t="s">
        <v>12</v>
      </c>
      <c r="H56" t="str">
        <f t="shared" si="0"/>
        <v>13</v>
      </c>
      <c r="I56" t="str">
        <f t="shared" si="4"/>
        <v>a</v>
      </c>
      <c r="J56" t="s">
        <v>36</v>
      </c>
      <c r="K56">
        <v>4665563.4680000003</v>
      </c>
      <c r="L56">
        <v>360152.22600000002</v>
      </c>
      <c r="M56">
        <v>1.048</v>
      </c>
    </row>
    <row r="57" spans="1:23" x14ac:dyDescent="0.25">
      <c r="A57" t="s">
        <v>28</v>
      </c>
      <c r="B57">
        <v>23</v>
      </c>
      <c r="C57" t="s">
        <v>29</v>
      </c>
      <c r="D57">
        <v>2019</v>
      </c>
      <c r="E57">
        <f t="shared" si="2"/>
        <v>23</v>
      </c>
      <c r="F57">
        <f t="shared" si="3"/>
        <v>56</v>
      </c>
      <c r="G57" t="s">
        <v>12</v>
      </c>
      <c r="H57" t="str">
        <f t="shared" si="0"/>
        <v>13</v>
      </c>
      <c r="I57" t="str">
        <f t="shared" si="4"/>
        <v>a</v>
      </c>
      <c r="J57" t="s">
        <v>36</v>
      </c>
      <c r="K57">
        <v>4665560.6189999999</v>
      </c>
      <c r="L57">
        <v>360152.19199999998</v>
      </c>
      <c r="M57">
        <v>1.133</v>
      </c>
    </row>
    <row r="58" spans="1:23" x14ac:dyDescent="0.25">
      <c r="A58" t="s">
        <v>28</v>
      </c>
      <c r="B58">
        <v>23</v>
      </c>
      <c r="C58" t="s">
        <v>29</v>
      </c>
      <c r="D58">
        <v>2019</v>
      </c>
      <c r="E58">
        <f t="shared" si="2"/>
        <v>23</v>
      </c>
      <c r="F58">
        <f t="shared" si="3"/>
        <v>57</v>
      </c>
      <c r="G58" t="s">
        <v>12</v>
      </c>
      <c r="H58" t="str">
        <f t="shared" si="0"/>
        <v>13</v>
      </c>
      <c r="I58" t="str">
        <f t="shared" si="4"/>
        <v>a</v>
      </c>
      <c r="J58" t="s">
        <v>36</v>
      </c>
      <c r="K58">
        <v>4665560.9079999998</v>
      </c>
      <c r="L58">
        <v>360155.64399999997</v>
      </c>
      <c r="M58">
        <v>1.194</v>
      </c>
    </row>
    <row r="59" spans="1:23" x14ac:dyDescent="0.25">
      <c r="A59" t="s">
        <v>28</v>
      </c>
      <c r="B59">
        <v>23</v>
      </c>
      <c r="C59" t="s">
        <v>29</v>
      </c>
      <c r="D59">
        <v>2019</v>
      </c>
      <c r="E59">
        <f t="shared" si="2"/>
        <v>23</v>
      </c>
      <c r="F59">
        <f t="shared" si="3"/>
        <v>58</v>
      </c>
      <c r="G59" t="s">
        <v>12</v>
      </c>
      <c r="H59" t="str">
        <f t="shared" si="0"/>
        <v>13</v>
      </c>
      <c r="I59" t="str">
        <f t="shared" si="4"/>
        <v>a</v>
      </c>
      <c r="J59" t="s">
        <v>36</v>
      </c>
      <c r="K59">
        <v>4665569.6430000002</v>
      </c>
      <c r="L59">
        <v>360154.93599999999</v>
      </c>
      <c r="M59">
        <v>0.83199999999999996</v>
      </c>
    </row>
    <row r="60" spans="1:23" x14ac:dyDescent="0.25">
      <c r="A60" t="s">
        <v>28</v>
      </c>
      <c r="B60">
        <v>23</v>
      </c>
      <c r="C60" t="s">
        <v>29</v>
      </c>
      <c r="D60">
        <v>2019</v>
      </c>
      <c r="E60">
        <f t="shared" si="2"/>
        <v>23</v>
      </c>
      <c r="F60">
        <f t="shared" si="3"/>
        <v>59</v>
      </c>
      <c r="G60" t="s">
        <v>12</v>
      </c>
      <c r="H60" t="str">
        <f t="shared" si="0"/>
        <v>13</v>
      </c>
      <c r="I60" t="str">
        <f t="shared" si="4"/>
        <v>a</v>
      </c>
      <c r="J60" t="s">
        <v>36</v>
      </c>
      <c r="K60">
        <v>4665570.07</v>
      </c>
      <c r="L60">
        <v>360153</v>
      </c>
      <c r="M60">
        <v>1.113</v>
      </c>
    </row>
    <row r="61" spans="1:23" x14ac:dyDescent="0.25">
      <c r="A61" t="s">
        <v>28</v>
      </c>
      <c r="B61">
        <v>23</v>
      </c>
      <c r="C61" t="s">
        <v>29</v>
      </c>
      <c r="D61">
        <v>2019</v>
      </c>
      <c r="E61">
        <f t="shared" si="2"/>
        <v>24</v>
      </c>
      <c r="F61">
        <f t="shared" si="3"/>
        <v>60</v>
      </c>
      <c r="G61" t="s">
        <v>15</v>
      </c>
      <c r="H61" t="str">
        <f t="shared" si="0"/>
        <v>22</v>
      </c>
      <c r="I61" t="str">
        <f t="shared" si="4"/>
        <v>gj</v>
      </c>
      <c r="J61" t="s">
        <v>36</v>
      </c>
      <c r="K61">
        <v>4665561.3039999995</v>
      </c>
      <c r="L61">
        <v>360155.75</v>
      </c>
      <c r="M61">
        <v>1.07</v>
      </c>
    </row>
    <row r="62" spans="1:23" x14ac:dyDescent="0.25">
      <c r="A62" t="s">
        <v>28</v>
      </c>
      <c r="B62">
        <v>23</v>
      </c>
      <c r="C62" t="s">
        <v>29</v>
      </c>
      <c r="D62">
        <v>2019</v>
      </c>
      <c r="E62">
        <f t="shared" si="2"/>
        <v>24</v>
      </c>
      <c r="F62">
        <f t="shared" si="3"/>
        <v>61</v>
      </c>
      <c r="G62" t="s">
        <v>15</v>
      </c>
      <c r="H62" t="str">
        <f t="shared" si="0"/>
        <v>22</v>
      </c>
      <c r="I62" t="str">
        <f t="shared" si="4"/>
        <v>gj</v>
      </c>
      <c r="J62" t="s">
        <v>36</v>
      </c>
      <c r="K62">
        <v>4665567.5789999999</v>
      </c>
      <c r="L62">
        <v>360155.14899999998</v>
      </c>
      <c r="M62">
        <v>0.90500000000000003</v>
      </c>
    </row>
    <row r="63" spans="1:23" x14ac:dyDescent="0.25">
      <c r="A63" t="s">
        <v>28</v>
      </c>
      <c r="B63">
        <v>23</v>
      </c>
      <c r="C63" t="s">
        <v>29</v>
      </c>
      <c r="D63">
        <v>2019</v>
      </c>
      <c r="E63">
        <f t="shared" si="2"/>
        <v>24</v>
      </c>
      <c r="F63">
        <f t="shared" si="3"/>
        <v>62</v>
      </c>
      <c r="G63" t="s">
        <v>15</v>
      </c>
      <c r="H63" t="str">
        <f t="shared" si="0"/>
        <v>22</v>
      </c>
      <c r="I63" t="str">
        <f t="shared" si="4"/>
        <v>gj</v>
      </c>
      <c r="J63" t="s">
        <v>36</v>
      </c>
      <c r="K63">
        <v>4665573.01</v>
      </c>
      <c r="L63">
        <v>360154.16200000001</v>
      </c>
      <c r="M63">
        <v>1.0129999999999999</v>
      </c>
    </row>
    <row r="64" spans="1:23" x14ac:dyDescent="0.25">
      <c r="A64" t="s">
        <v>28</v>
      </c>
      <c r="B64">
        <v>23</v>
      </c>
      <c r="C64" t="s">
        <v>29</v>
      </c>
      <c r="D64">
        <v>2019</v>
      </c>
      <c r="E64">
        <f t="shared" si="2"/>
        <v>24</v>
      </c>
      <c r="F64">
        <f t="shared" si="3"/>
        <v>63</v>
      </c>
      <c r="G64" t="s">
        <v>15</v>
      </c>
      <c r="H64" t="str">
        <f t="shared" si="0"/>
        <v>22</v>
      </c>
      <c r="I64" t="str">
        <f t="shared" si="4"/>
        <v>gj</v>
      </c>
      <c r="J64" t="s">
        <v>36</v>
      </c>
      <c r="K64">
        <v>4665579.07</v>
      </c>
      <c r="L64">
        <v>360155.53499999997</v>
      </c>
      <c r="M64">
        <v>1.0049999999999999</v>
      </c>
    </row>
    <row r="65" spans="1:14" x14ac:dyDescent="0.25">
      <c r="A65" t="s">
        <v>28</v>
      </c>
      <c r="B65">
        <v>23</v>
      </c>
      <c r="C65" t="s">
        <v>29</v>
      </c>
      <c r="D65">
        <v>2019</v>
      </c>
      <c r="E65">
        <f t="shared" si="2"/>
        <v>24</v>
      </c>
      <c r="F65">
        <f t="shared" si="3"/>
        <v>64</v>
      </c>
      <c r="G65" t="s">
        <v>15</v>
      </c>
      <c r="H65" t="str">
        <f t="shared" si="0"/>
        <v>22</v>
      </c>
      <c r="I65" t="str">
        <f t="shared" si="4"/>
        <v>gj</v>
      </c>
      <c r="J65" t="s">
        <v>36</v>
      </c>
      <c r="K65">
        <v>4665588.551</v>
      </c>
      <c r="L65">
        <v>360158.72100000002</v>
      </c>
      <c r="M65">
        <v>0.93600000000000005</v>
      </c>
    </row>
    <row r="66" spans="1:14" x14ac:dyDescent="0.25">
      <c r="A66" t="s">
        <v>28</v>
      </c>
      <c r="B66">
        <v>23</v>
      </c>
      <c r="C66" t="s">
        <v>29</v>
      </c>
      <c r="D66">
        <v>2019</v>
      </c>
      <c r="E66">
        <f t="shared" si="2"/>
        <v>24</v>
      </c>
      <c r="F66">
        <f t="shared" si="3"/>
        <v>65</v>
      </c>
      <c r="G66" t="s">
        <v>15</v>
      </c>
      <c r="H66" t="str">
        <f t="shared" si="0"/>
        <v>22</v>
      </c>
      <c r="I66" t="str">
        <f t="shared" si="4"/>
        <v>gj</v>
      </c>
      <c r="J66" t="s">
        <v>36</v>
      </c>
      <c r="K66">
        <v>4665594.66</v>
      </c>
      <c r="L66">
        <v>360160.54100000003</v>
      </c>
      <c r="M66">
        <v>0.89700000000000002</v>
      </c>
    </row>
    <row r="67" spans="1:14" x14ac:dyDescent="0.25">
      <c r="A67" t="s">
        <v>28</v>
      </c>
      <c r="B67">
        <v>23</v>
      </c>
      <c r="C67" t="s">
        <v>29</v>
      </c>
      <c r="D67">
        <v>2019</v>
      </c>
      <c r="E67">
        <f t="shared" si="2"/>
        <v>24</v>
      </c>
      <c r="F67">
        <f t="shared" si="3"/>
        <v>66</v>
      </c>
      <c r="G67" t="s">
        <v>15</v>
      </c>
      <c r="H67" t="str">
        <f t="shared" ref="H67:H115" si="5">LEFT(G67,2)</f>
        <v>22</v>
      </c>
      <c r="I67" t="str">
        <f t="shared" ref="I67:I115" si="6">RIGHT(G67,LEN(G67)-LEN(H67))</f>
        <v>gj</v>
      </c>
      <c r="J67" t="s">
        <v>36</v>
      </c>
      <c r="K67">
        <v>4665594.7470000004</v>
      </c>
      <c r="L67">
        <v>360160.96500000003</v>
      </c>
      <c r="M67">
        <v>0.02</v>
      </c>
    </row>
    <row r="68" spans="1:14" x14ac:dyDescent="0.25">
      <c r="A68" t="s">
        <v>28</v>
      </c>
      <c r="B68">
        <v>23</v>
      </c>
      <c r="C68" t="s">
        <v>29</v>
      </c>
      <c r="D68">
        <v>2019</v>
      </c>
      <c r="E68">
        <f t="shared" ref="E68:E115" si="7">IF(H68=H67,E67,E67+1)</f>
        <v>24</v>
      </c>
      <c r="F68">
        <f t="shared" ref="F68:F115" si="8">1+F67</f>
        <v>67</v>
      </c>
      <c r="G68" t="s">
        <v>15</v>
      </c>
      <c r="H68" t="str">
        <f t="shared" si="5"/>
        <v>22</v>
      </c>
      <c r="I68" t="str">
        <f t="shared" si="6"/>
        <v>gj</v>
      </c>
      <c r="J68" t="s">
        <v>36</v>
      </c>
      <c r="K68">
        <v>4665599.4239999996</v>
      </c>
      <c r="L68">
        <v>360162.92200000002</v>
      </c>
      <c r="M68">
        <v>-5.6000000000000001E-2</v>
      </c>
    </row>
    <row r="69" spans="1:14" x14ac:dyDescent="0.25">
      <c r="A69" t="s">
        <v>28</v>
      </c>
      <c r="B69">
        <v>23</v>
      </c>
      <c r="C69" t="s">
        <v>29</v>
      </c>
      <c r="D69">
        <v>2019</v>
      </c>
      <c r="E69">
        <f t="shared" si="7"/>
        <v>24</v>
      </c>
      <c r="F69">
        <f t="shared" si="8"/>
        <v>68</v>
      </c>
      <c r="G69" t="s">
        <v>15</v>
      </c>
      <c r="H69" t="str">
        <f t="shared" si="5"/>
        <v>22</v>
      </c>
      <c r="I69" t="str">
        <f t="shared" si="6"/>
        <v>gj</v>
      </c>
      <c r="J69" t="s">
        <v>36</v>
      </c>
      <c r="K69">
        <v>4665599.8250000002</v>
      </c>
      <c r="L69">
        <v>360162.43199999997</v>
      </c>
      <c r="M69">
        <v>0.93799999999999994</v>
      </c>
    </row>
    <row r="70" spans="1:14" x14ac:dyDescent="0.25">
      <c r="A70" t="s">
        <v>28</v>
      </c>
      <c r="B70">
        <v>23</v>
      </c>
      <c r="C70" t="s">
        <v>29</v>
      </c>
      <c r="D70">
        <v>2019</v>
      </c>
      <c r="E70">
        <f t="shared" si="7"/>
        <v>24</v>
      </c>
      <c r="F70">
        <f t="shared" si="8"/>
        <v>69</v>
      </c>
      <c r="G70" t="s">
        <v>15</v>
      </c>
      <c r="H70" t="str">
        <f t="shared" si="5"/>
        <v>22</v>
      </c>
      <c r="I70" t="str">
        <f t="shared" si="6"/>
        <v>gj</v>
      </c>
      <c r="J70" t="s">
        <v>36</v>
      </c>
      <c r="K70">
        <v>4665604.25</v>
      </c>
      <c r="L70">
        <v>360163.71</v>
      </c>
      <c r="M70">
        <v>1.0009999999999999</v>
      </c>
    </row>
    <row r="71" spans="1:14" x14ac:dyDescent="0.25">
      <c r="A71" t="s">
        <v>28</v>
      </c>
      <c r="B71">
        <v>23</v>
      </c>
      <c r="C71" t="s">
        <v>29</v>
      </c>
      <c r="D71">
        <v>2019</v>
      </c>
      <c r="E71">
        <f t="shared" si="7"/>
        <v>24</v>
      </c>
      <c r="F71">
        <f t="shared" si="8"/>
        <v>70</v>
      </c>
      <c r="G71" t="s">
        <v>15</v>
      </c>
      <c r="H71" t="str">
        <f t="shared" si="5"/>
        <v>22</v>
      </c>
      <c r="I71" t="str">
        <f t="shared" si="6"/>
        <v>gj</v>
      </c>
      <c r="J71" t="s">
        <v>36</v>
      </c>
      <c r="K71">
        <v>4665611.2019999996</v>
      </c>
      <c r="L71">
        <v>360165.81699999998</v>
      </c>
      <c r="M71">
        <v>1.127</v>
      </c>
    </row>
    <row r="72" spans="1:14" x14ac:dyDescent="0.25">
      <c r="A72" t="s">
        <v>28</v>
      </c>
      <c r="B72">
        <v>23</v>
      </c>
      <c r="C72" t="s">
        <v>29</v>
      </c>
      <c r="D72">
        <v>2019</v>
      </c>
      <c r="E72">
        <f t="shared" si="7"/>
        <v>24</v>
      </c>
      <c r="F72">
        <f t="shared" si="8"/>
        <v>71</v>
      </c>
      <c r="G72" t="s">
        <v>15</v>
      </c>
      <c r="H72" t="str">
        <f t="shared" si="5"/>
        <v>22</v>
      </c>
      <c r="I72" t="str">
        <f t="shared" si="6"/>
        <v>gj</v>
      </c>
      <c r="J72" t="s">
        <v>36</v>
      </c>
      <c r="K72">
        <v>4665615.7609999999</v>
      </c>
      <c r="L72">
        <v>360167.30800000002</v>
      </c>
      <c r="M72">
        <v>1.135</v>
      </c>
    </row>
    <row r="73" spans="1:14" x14ac:dyDescent="0.25">
      <c r="A73" t="s">
        <v>28</v>
      </c>
      <c r="B73">
        <v>23</v>
      </c>
      <c r="C73" t="s">
        <v>29</v>
      </c>
      <c r="D73">
        <v>2019</v>
      </c>
      <c r="E73">
        <f t="shared" si="7"/>
        <v>24</v>
      </c>
      <c r="F73">
        <f t="shared" si="8"/>
        <v>72</v>
      </c>
      <c r="G73" t="s">
        <v>15</v>
      </c>
      <c r="H73" t="str">
        <f t="shared" si="5"/>
        <v>22</v>
      </c>
      <c r="I73" t="str">
        <f t="shared" si="6"/>
        <v>gj</v>
      </c>
      <c r="J73" t="s">
        <v>36</v>
      </c>
      <c r="K73">
        <v>4665613.2039999999</v>
      </c>
      <c r="L73">
        <v>360168.68599999999</v>
      </c>
      <c r="M73">
        <v>1.0680000000000001</v>
      </c>
    </row>
    <row r="74" spans="1:14" x14ac:dyDescent="0.25">
      <c r="A74" t="s">
        <v>28</v>
      </c>
      <c r="B74">
        <v>23</v>
      </c>
      <c r="C74" t="s">
        <v>29</v>
      </c>
      <c r="D74">
        <v>2019</v>
      </c>
      <c r="E74">
        <f t="shared" si="7"/>
        <v>24</v>
      </c>
      <c r="F74">
        <f t="shared" si="8"/>
        <v>73</v>
      </c>
      <c r="G74" t="s">
        <v>15</v>
      </c>
      <c r="H74" t="str">
        <f t="shared" si="5"/>
        <v>22</v>
      </c>
      <c r="I74" t="str">
        <f t="shared" si="6"/>
        <v>gj</v>
      </c>
      <c r="J74" t="s">
        <v>36</v>
      </c>
      <c r="K74">
        <v>4665610.1349999998</v>
      </c>
      <c r="L74">
        <v>360167.41899999999</v>
      </c>
      <c r="M74">
        <v>0.67500000000000004</v>
      </c>
    </row>
    <row r="75" spans="1:14" x14ac:dyDescent="0.25">
      <c r="A75" t="s">
        <v>28</v>
      </c>
      <c r="B75">
        <v>23</v>
      </c>
      <c r="C75" t="s">
        <v>29</v>
      </c>
      <c r="D75">
        <v>2019</v>
      </c>
      <c r="E75">
        <f t="shared" si="7"/>
        <v>24</v>
      </c>
      <c r="F75">
        <f t="shared" si="8"/>
        <v>74</v>
      </c>
      <c r="G75" t="s">
        <v>15</v>
      </c>
      <c r="H75" t="str">
        <f t="shared" si="5"/>
        <v>22</v>
      </c>
      <c r="I75" t="str">
        <f t="shared" si="6"/>
        <v>gj</v>
      </c>
      <c r="J75" t="s">
        <v>36</v>
      </c>
      <c r="K75">
        <v>4665603.3890000004</v>
      </c>
      <c r="L75">
        <v>360165.33500000002</v>
      </c>
      <c r="M75">
        <v>1.1000000000000001</v>
      </c>
    </row>
    <row r="76" spans="1:14" x14ac:dyDescent="0.25">
      <c r="A76" t="s">
        <v>28</v>
      </c>
      <c r="B76">
        <v>23</v>
      </c>
      <c r="C76" t="s">
        <v>29</v>
      </c>
      <c r="D76">
        <v>2019</v>
      </c>
      <c r="E76">
        <f t="shared" si="7"/>
        <v>24</v>
      </c>
      <c r="F76">
        <f t="shared" si="8"/>
        <v>75</v>
      </c>
      <c r="G76" t="s">
        <v>15</v>
      </c>
      <c r="H76" t="str">
        <f t="shared" si="5"/>
        <v>22</v>
      </c>
      <c r="I76" t="str">
        <f t="shared" si="6"/>
        <v>gj</v>
      </c>
      <c r="J76" t="s">
        <v>36</v>
      </c>
      <c r="K76">
        <v>4665598.8099999996</v>
      </c>
      <c r="L76">
        <v>360164.32400000002</v>
      </c>
      <c r="M76">
        <v>1.0069999999999999</v>
      </c>
    </row>
    <row r="77" spans="1:14" x14ac:dyDescent="0.25">
      <c r="A77" t="s">
        <v>28</v>
      </c>
      <c r="B77">
        <v>23</v>
      </c>
      <c r="C77" t="s">
        <v>29</v>
      </c>
      <c r="D77">
        <v>2019</v>
      </c>
      <c r="E77">
        <f t="shared" ref="E77:E78" si="9">IF(H77=H76,E76,E76+1)</f>
        <v>24</v>
      </c>
      <c r="F77">
        <v>76</v>
      </c>
      <c r="G77" t="s">
        <v>15</v>
      </c>
      <c r="H77" t="str">
        <f t="shared" si="5"/>
        <v>22</v>
      </c>
      <c r="I77" t="str">
        <f t="shared" si="6"/>
        <v>gj</v>
      </c>
      <c r="J77" t="s">
        <v>36</v>
      </c>
      <c r="K77">
        <v>4665578.6900000004</v>
      </c>
      <c r="L77">
        <v>360157.9</v>
      </c>
      <c r="N77" t="s">
        <v>41</v>
      </c>
    </row>
    <row r="78" spans="1:14" x14ac:dyDescent="0.25">
      <c r="A78" t="s">
        <v>28</v>
      </c>
      <c r="B78">
        <v>23</v>
      </c>
      <c r="C78" t="s">
        <v>29</v>
      </c>
      <c r="D78">
        <v>2019</v>
      </c>
      <c r="E78">
        <f t="shared" si="9"/>
        <v>24</v>
      </c>
      <c r="F78">
        <v>77</v>
      </c>
      <c r="G78" t="s">
        <v>15</v>
      </c>
      <c r="H78" t="str">
        <f t="shared" si="5"/>
        <v>22</v>
      </c>
      <c r="I78" t="str">
        <f t="shared" si="6"/>
        <v>gj</v>
      </c>
      <c r="J78" t="s">
        <v>36</v>
      </c>
      <c r="K78">
        <v>4665574.0599999996</v>
      </c>
      <c r="L78">
        <v>360156.65</v>
      </c>
      <c r="N78" t="s">
        <v>41</v>
      </c>
    </row>
    <row r="79" spans="1:14" x14ac:dyDescent="0.25">
      <c r="A79" t="s">
        <v>28</v>
      </c>
      <c r="B79">
        <v>23</v>
      </c>
      <c r="C79" t="s">
        <v>29</v>
      </c>
      <c r="D79">
        <v>2019</v>
      </c>
      <c r="E79">
        <f t="shared" si="7"/>
        <v>25</v>
      </c>
      <c r="F79">
        <v>78</v>
      </c>
      <c r="G79" t="s">
        <v>7</v>
      </c>
      <c r="H79" t="str">
        <f t="shared" si="5"/>
        <v>09</v>
      </c>
      <c r="I79" t="str">
        <f t="shared" si="6"/>
        <v>a</v>
      </c>
      <c r="J79" t="str">
        <f>IF(OR((E79=E80),(E79=E76)),"Line","MU")</f>
        <v>Line</v>
      </c>
      <c r="K79">
        <v>4665600.2929999996</v>
      </c>
      <c r="L79">
        <v>360165.071</v>
      </c>
      <c r="M79">
        <v>1.244</v>
      </c>
    </row>
    <row r="80" spans="1:14" x14ac:dyDescent="0.25">
      <c r="A80" t="s">
        <v>28</v>
      </c>
      <c r="B80">
        <v>23</v>
      </c>
      <c r="C80" t="s">
        <v>29</v>
      </c>
      <c r="D80">
        <v>2019</v>
      </c>
      <c r="E80">
        <f t="shared" si="7"/>
        <v>25</v>
      </c>
      <c r="F80">
        <f t="shared" si="8"/>
        <v>79</v>
      </c>
      <c r="G80" t="s">
        <v>7</v>
      </c>
      <c r="H80" t="str">
        <f t="shared" si="5"/>
        <v>09</v>
      </c>
      <c r="I80" t="str">
        <f t="shared" si="6"/>
        <v>a</v>
      </c>
      <c r="J80" t="str">
        <f t="shared" ref="J67:J115" si="10">IF(OR((E80=E81),(E80=E79)),"Line","MU")</f>
        <v>Line</v>
      </c>
      <c r="K80">
        <v>4665603.7359999996</v>
      </c>
      <c r="L80">
        <v>360165.83899999998</v>
      </c>
      <c r="M80">
        <v>1.145</v>
      </c>
    </row>
    <row r="81" spans="1:14" x14ac:dyDescent="0.25">
      <c r="A81" t="s">
        <v>28</v>
      </c>
      <c r="B81">
        <v>23</v>
      </c>
      <c r="C81" t="s">
        <v>29</v>
      </c>
      <c r="D81">
        <v>2019</v>
      </c>
      <c r="E81">
        <f t="shared" si="7"/>
        <v>26</v>
      </c>
      <c r="F81">
        <f t="shared" si="8"/>
        <v>80</v>
      </c>
      <c r="G81" t="s">
        <v>12</v>
      </c>
      <c r="H81" t="str">
        <f t="shared" si="5"/>
        <v>13</v>
      </c>
      <c r="I81" t="str">
        <f t="shared" si="6"/>
        <v>a</v>
      </c>
      <c r="J81" t="s">
        <v>36</v>
      </c>
      <c r="K81">
        <v>4665604.6960000005</v>
      </c>
      <c r="L81">
        <v>360165.98599999998</v>
      </c>
      <c r="M81">
        <v>1.1080000000000001</v>
      </c>
    </row>
    <row r="82" spans="1:14" x14ac:dyDescent="0.25">
      <c r="A82" t="s">
        <v>28</v>
      </c>
      <c r="B82">
        <v>23</v>
      </c>
      <c r="C82" t="s">
        <v>29</v>
      </c>
      <c r="D82">
        <v>2019</v>
      </c>
      <c r="E82">
        <f t="shared" si="7"/>
        <v>26</v>
      </c>
      <c r="F82">
        <f t="shared" si="8"/>
        <v>81</v>
      </c>
      <c r="G82" t="s">
        <v>12</v>
      </c>
      <c r="H82" t="str">
        <f t="shared" si="5"/>
        <v>13</v>
      </c>
      <c r="I82" t="str">
        <f t="shared" si="6"/>
        <v>a</v>
      </c>
      <c r="J82" t="s">
        <v>36</v>
      </c>
      <c r="K82">
        <v>4665604.18</v>
      </c>
      <c r="L82">
        <v>360167.34399999998</v>
      </c>
      <c r="M82">
        <v>1.194</v>
      </c>
    </row>
    <row r="83" spans="1:14" x14ac:dyDescent="0.25">
      <c r="A83" t="s">
        <v>28</v>
      </c>
      <c r="B83">
        <v>23</v>
      </c>
      <c r="C83" t="s">
        <v>29</v>
      </c>
      <c r="D83">
        <v>2019</v>
      </c>
      <c r="E83">
        <f t="shared" si="7"/>
        <v>26</v>
      </c>
      <c r="F83">
        <f t="shared" si="8"/>
        <v>82</v>
      </c>
      <c r="G83" t="s">
        <v>12</v>
      </c>
      <c r="H83" t="str">
        <f t="shared" si="5"/>
        <v>13</v>
      </c>
      <c r="I83" t="str">
        <f t="shared" si="6"/>
        <v>a</v>
      </c>
      <c r="J83" t="s">
        <v>36</v>
      </c>
      <c r="K83">
        <v>4665613.3470000001</v>
      </c>
      <c r="L83">
        <v>360171.30499999999</v>
      </c>
      <c r="M83">
        <v>1.2250000000000001</v>
      </c>
    </row>
    <row r="84" spans="1:14" x14ac:dyDescent="0.25">
      <c r="A84" t="s">
        <v>28</v>
      </c>
      <c r="B84">
        <v>23</v>
      </c>
      <c r="C84" t="s">
        <v>29</v>
      </c>
      <c r="D84">
        <v>2019</v>
      </c>
      <c r="E84">
        <f t="shared" si="7"/>
        <v>26</v>
      </c>
      <c r="F84">
        <f t="shared" si="8"/>
        <v>83</v>
      </c>
      <c r="G84" t="s">
        <v>12</v>
      </c>
      <c r="H84" t="str">
        <f t="shared" si="5"/>
        <v>13</v>
      </c>
      <c r="I84" t="str">
        <f t="shared" si="6"/>
        <v>a</v>
      </c>
      <c r="J84" t="s">
        <v>36</v>
      </c>
      <c r="K84">
        <v>4665613.3190000001</v>
      </c>
      <c r="L84">
        <v>360168.71899999998</v>
      </c>
      <c r="M84">
        <v>1.0169999999999999</v>
      </c>
    </row>
    <row r="85" spans="1:14" x14ac:dyDescent="0.25">
      <c r="A85" t="s">
        <v>28</v>
      </c>
      <c r="B85">
        <v>23</v>
      </c>
      <c r="C85" t="s">
        <v>29</v>
      </c>
      <c r="D85">
        <v>2019</v>
      </c>
      <c r="E85">
        <f t="shared" si="7"/>
        <v>27</v>
      </c>
      <c r="F85">
        <f t="shared" si="8"/>
        <v>84</v>
      </c>
      <c r="G85" t="s">
        <v>42</v>
      </c>
      <c r="H85" t="str">
        <f t="shared" si="5"/>
        <v>22</v>
      </c>
      <c r="I85" t="str">
        <f t="shared" si="6"/>
        <v>jg</v>
      </c>
      <c r="J85" t="str">
        <f t="shared" si="10"/>
        <v>Line</v>
      </c>
      <c r="K85">
        <v>4665613.2220000001</v>
      </c>
      <c r="L85">
        <v>360167.59499999997</v>
      </c>
      <c r="M85">
        <v>0.11</v>
      </c>
    </row>
    <row r="86" spans="1:14" x14ac:dyDescent="0.25">
      <c r="A86" t="s">
        <v>28</v>
      </c>
      <c r="B86">
        <v>23</v>
      </c>
      <c r="C86" t="s">
        <v>29</v>
      </c>
      <c r="D86">
        <v>2019</v>
      </c>
      <c r="E86">
        <f t="shared" si="7"/>
        <v>27</v>
      </c>
      <c r="F86">
        <f t="shared" si="8"/>
        <v>85</v>
      </c>
      <c r="G86" t="s">
        <v>42</v>
      </c>
      <c r="H86" t="str">
        <f t="shared" si="5"/>
        <v>22</v>
      </c>
      <c r="I86" t="str">
        <f t="shared" si="6"/>
        <v>jg</v>
      </c>
      <c r="J86" t="str">
        <f t="shared" si="10"/>
        <v>Line</v>
      </c>
      <c r="K86">
        <v>4665608.6550000003</v>
      </c>
      <c r="L86">
        <v>360166.19900000002</v>
      </c>
      <c r="M86">
        <v>0.216</v>
      </c>
    </row>
    <row r="87" spans="1:14" x14ac:dyDescent="0.25">
      <c r="A87" t="s">
        <v>28</v>
      </c>
      <c r="B87">
        <v>23</v>
      </c>
      <c r="C87" t="s">
        <v>29</v>
      </c>
      <c r="D87">
        <v>2019</v>
      </c>
      <c r="E87">
        <f t="shared" si="7"/>
        <v>27</v>
      </c>
      <c r="F87">
        <f t="shared" si="8"/>
        <v>86</v>
      </c>
      <c r="G87" t="s">
        <v>42</v>
      </c>
      <c r="H87" t="str">
        <f t="shared" si="5"/>
        <v>22</v>
      </c>
      <c r="I87" t="str">
        <f t="shared" si="6"/>
        <v>jg</v>
      </c>
      <c r="J87" t="str">
        <f t="shared" si="10"/>
        <v>Line</v>
      </c>
      <c r="K87">
        <v>4665601.9840000002</v>
      </c>
      <c r="L87">
        <v>360163.96899999998</v>
      </c>
      <c r="M87">
        <v>0.105</v>
      </c>
    </row>
    <row r="88" spans="1:14" x14ac:dyDescent="0.25">
      <c r="A88" t="s">
        <v>28</v>
      </c>
      <c r="B88">
        <v>23</v>
      </c>
      <c r="C88" t="s">
        <v>29</v>
      </c>
      <c r="D88">
        <v>2019</v>
      </c>
      <c r="E88">
        <f t="shared" si="7"/>
        <v>27</v>
      </c>
      <c r="F88">
        <f t="shared" si="8"/>
        <v>87</v>
      </c>
      <c r="G88" t="s">
        <v>42</v>
      </c>
      <c r="H88" t="str">
        <f t="shared" si="5"/>
        <v>22</v>
      </c>
      <c r="I88" t="str">
        <f t="shared" si="6"/>
        <v>jg</v>
      </c>
      <c r="J88" t="str">
        <f t="shared" si="10"/>
        <v>Line</v>
      </c>
      <c r="K88">
        <v>4665598.2790000001</v>
      </c>
      <c r="L88">
        <v>360163.07299999997</v>
      </c>
      <c r="M88">
        <v>6.0000000000000001E-3</v>
      </c>
    </row>
    <row r="89" spans="1:14" x14ac:dyDescent="0.25">
      <c r="A89" t="s">
        <v>28</v>
      </c>
      <c r="B89">
        <v>23</v>
      </c>
      <c r="C89" t="s">
        <v>29</v>
      </c>
      <c r="D89">
        <v>2019</v>
      </c>
      <c r="E89">
        <f t="shared" si="7"/>
        <v>28</v>
      </c>
      <c r="F89">
        <f t="shared" si="8"/>
        <v>88</v>
      </c>
      <c r="G89" t="s">
        <v>43</v>
      </c>
      <c r="H89" t="str">
        <f t="shared" si="5"/>
        <v>01</v>
      </c>
      <c r="I89" t="str">
        <f t="shared" si="6"/>
        <v>a</v>
      </c>
      <c r="J89" t="str">
        <f t="shared" si="10"/>
        <v>Line</v>
      </c>
      <c r="K89">
        <v>4665616.3219999997</v>
      </c>
      <c r="L89">
        <v>360168.54700000002</v>
      </c>
      <c r="M89">
        <v>0.14299999999999999</v>
      </c>
      <c r="N89" t="s">
        <v>44</v>
      </c>
    </row>
    <row r="90" spans="1:14" x14ac:dyDescent="0.25">
      <c r="A90" t="s">
        <v>28</v>
      </c>
      <c r="B90">
        <v>23</v>
      </c>
      <c r="C90" t="s">
        <v>29</v>
      </c>
      <c r="D90">
        <v>2019</v>
      </c>
      <c r="E90">
        <f t="shared" si="7"/>
        <v>28</v>
      </c>
      <c r="F90">
        <f t="shared" si="8"/>
        <v>89</v>
      </c>
      <c r="G90" t="s">
        <v>43</v>
      </c>
      <c r="H90" t="str">
        <f t="shared" si="5"/>
        <v>01</v>
      </c>
      <c r="I90" t="str">
        <f t="shared" si="6"/>
        <v>a</v>
      </c>
      <c r="J90" t="str">
        <f t="shared" si="10"/>
        <v>Line</v>
      </c>
      <c r="K90">
        <v>4665619.2060000002</v>
      </c>
      <c r="L90">
        <v>360169.28499999997</v>
      </c>
      <c r="M90">
        <v>0.22</v>
      </c>
      <c r="N90" t="s">
        <v>44</v>
      </c>
    </row>
    <row r="91" spans="1:14" x14ac:dyDescent="0.25">
      <c r="A91" t="s">
        <v>28</v>
      </c>
      <c r="B91">
        <v>23</v>
      </c>
      <c r="C91" t="s">
        <v>29</v>
      </c>
      <c r="D91">
        <v>2019</v>
      </c>
      <c r="E91">
        <f t="shared" si="7"/>
        <v>29</v>
      </c>
      <c r="F91">
        <f t="shared" si="8"/>
        <v>90</v>
      </c>
      <c r="G91" t="s">
        <v>7</v>
      </c>
      <c r="H91" t="str">
        <f t="shared" si="5"/>
        <v>09</v>
      </c>
      <c r="I91" t="str">
        <f t="shared" si="6"/>
        <v>a</v>
      </c>
      <c r="J91" t="str">
        <f t="shared" si="10"/>
        <v>Line</v>
      </c>
      <c r="K91">
        <v>4665612.9280000003</v>
      </c>
      <c r="L91">
        <v>360165.76799999998</v>
      </c>
      <c r="M91">
        <v>1.1930000000000001</v>
      </c>
    </row>
    <row r="92" spans="1:14" x14ac:dyDescent="0.25">
      <c r="A92" t="s">
        <v>28</v>
      </c>
      <c r="B92">
        <v>23</v>
      </c>
      <c r="C92" t="s">
        <v>29</v>
      </c>
      <c r="D92">
        <v>2019</v>
      </c>
      <c r="E92">
        <f t="shared" si="7"/>
        <v>29</v>
      </c>
      <c r="F92">
        <f t="shared" si="8"/>
        <v>91</v>
      </c>
      <c r="G92" t="s">
        <v>7</v>
      </c>
      <c r="H92" t="str">
        <f t="shared" si="5"/>
        <v>09</v>
      </c>
      <c r="I92" t="str">
        <f t="shared" si="6"/>
        <v>a</v>
      </c>
      <c r="J92" t="str">
        <f t="shared" si="10"/>
        <v>Line</v>
      </c>
      <c r="K92">
        <v>4665610.6370000001</v>
      </c>
      <c r="L92">
        <v>360165.05099999998</v>
      </c>
      <c r="M92">
        <v>1.2370000000000001</v>
      </c>
    </row>
    <row r="93" spans="1:14" x14ac:dyDescent="0.25">
      <c r="A93" t="s">
        <v>28</v>
      </c>
      <c r="B93">
        <v>23</v>
      </c>
      <c r="C93" t="s">
        <v>29</v>
      </c>
      <c r="D93">
        <v>2019</v>
      </c>
      <c r="E93">
        <f t="shared" si="7"/>
        <v>30</v>
      </c>
      <c r="F93">
        <f t="shared" si="8"/>
        <v>92</v>
      </c>
      <c r="G93" t="s">
        <v>11</v>
      </c>
      <c r="H93" t="str">
        <f t="shared" si="5"/>
        <v>06</v>
      </c>
      <c r="I93" t="str">
        <f t="shared" si="6"/>
        <v>a</v>
      </c>
      <c r="J93" t="str">
        <f t="shared" si="10"/>
        <v>MU</v>
      </c>
      <c r="K93">
        <v>4665609.5999999996</v>
      </c>
      <c r="L93">
        <v>360164.80599999998</v>
      </c>
      <c r="M93">
        <v>1.1759999999999999</v>
      </c>
    </row>
    <row r="94" spans="1:14" x14ac:dyDescent="0.25">
      <c r="A94" t="s">
        <v>28</v>
      </c>
      <c r="B94">
        <v>23</v>
      </c>
      <c r="C94" t="s">
        <v>29</v>
      </c>
      <c r="D94">
        <v>2019</v>
      </c>
      <c r="E94">
        <f t="shared" si="7"/>
        <v>31</v>
      </c>
      <c r="F94">
        <f t="shared" si="8"/>
        <v>93</v>
      </c>
      <c r="G94" t="s">
        <v>7</v>
      </c>
      <c r="H94" t="str">
        <f t="shared" si="5"/>
        <v>09</v>
      </c>
      <c r="I94" t="str">
        <f t="shared" si="6"/>
        <v>a</v>
      </c>
      <c r="J94" t="str">
        <f t="shared" si="10"/>
        <v>Line</v>
      </c>
      <c r="K94">
        <v>4665608.0159999998</v>
      </c>
      <c r="L94">
        <v>360164.18800000002</v>
      </c>
      <c r="M94">
        <v>1.208</v>
      </c>
    </row>
    <row r="95" spans="1:14" x14ac:dyDescent="0.25">
      <c r="A95" t="s">
        <v>28</v>
      </c>
      <c r="B95">
        <v>23</v>
      </c>
      <c r="C95" t="s">
        <v>29</v>
      </c>
      <c r="D95">
        <v>2019</v>
      </c>
      <c r="E95">
        <f t="shared" si="7"/>
        <v>31</v>
      </c>
      <c r="F95">
        <f t="shared" si="8"/>
        <v>94</v>
      </c>
      <c r="G95" t="s">
        <v>7</v>
      </c>
      <c r="H95" t="str">
        <f t="shared" si="5"/>
        <v>09</v>
      </c>
      <c r="I95" t="str">
        <f t="shared" si="6"/>
        <v>a</v>
      </c>
      <c r="J95" t="str">
        <f t="shared" si="10"/>
        <v>Line</v>
      </c>
      <c r="K95">
        <v>4665602.6229999997</v>
      </c>
      <c r="L95">
        <v>360162.299</v>
      </c>
      <c r="M95">
        <v>1.24</v>
      </c>
    </row>
    <row r="96" spans="1:14" x14ac:dyDescent="0.25">
      <c r="A96" t="s">
        <v>28</v>
      </c>
      <c r="B96">
        <v>23</v>
      </c>
      <c r="C96" t="s">
        <v>29</v>
      </c>
      <c r="D96">
        <v>2019</v>
      </c>
      <c r="E96">
        <f t="shared" si="7"/>
        <v>32</v>
      </c>
      <c r="F96">
        <f t="shared" si="8"/>
        <v>95</v>
      </c>
      <c r="G96" t="s">
        <v>11</v>
      </c>
      <c r="H96" t="str">
        <f t="shared" si="5"/>
        <v>06</v>
      </c>
      <c r="I96" t="str">
        <f t="shared" si="6"/>
        <v>a</v>
      </c>
      <c r="J96" t="str">
        <f t="shared" si="10"/>
        <v>MU</v>
      </c>
      <c r="K96">
        <v>4665635.9579999996</v>
      </c>
      <c r="L96">
        <v>360149.22</v>
      </c>
      <c r="M96">
        <v>1.1970000000000001</v>
      </c>
    </row>
    <row r="97" spans="1:13" x14ac:dyDescent="0.25">
      <c r="A97" t="s">
        <v>28</v>
      </c>
      <c r="B97">
        <v>23</v>
      </c>
      <c r="C97" t="s">
        <v>29</v>
      </c>
      <c r="D97">
        <v>2019</v>
      </c>
      <c r="E97">
        <f t="shared" si="7"/>
        <v>33</v>
      </c>
      <c r="F97">
        <f t="shared" si="8"/>
        <v>96</v>
      </c>
      <c r="G97" t="s">
        <v>16</v>
      </c>
      <c r="H97" t="str">
        <f t="shared" si="5"/>
        <v>04</v>
      </c>
      <c r="I97" t="str">
        <f t="shared" si="6"/>
        <v>a</v>
      </c>
      <c r="J97" t="str">
        <f t="shared" si="10"/>
        <v>Line</v>
      </c>
      <c r="K97">
        <v>4665636.0250000004</v>
      </c>
      <c r="L97">
        <v>360147.14299999998</v>
      </c>
      <c r="M97">
        <v>1.2030000000000001</v>
      </c>
    </row>
    <row r="98" spans="1:13" x14ac:dyDescent="0.25">
      <c r="A98" t="s">
        <v>28</v>
      </c>
      <c r="B98">
        <v>23</v>
      </c>
      <c r="C98" t="s">
        <v>29</v>
      </c>
      <c r="D98">
        <v>2019</v>
      </c>
      <c r="E98">
        <f t="shared" si="7"/>
        <v>33</v>
      </c>
      <c r="F98">
        <f t="shared" si="8"/>
        <v>97</v>
      </c>
      <c r="G98" t="s">
        <v>16</v>
      </c>
      <c r="H98" t="str">
        <f t="shared" si="5"/>
        <v>04</v>
      </c>
      <c r="I98" t="str">
        <f t="shared" si="6"/>
        <v>a</v>
      </c>
      <c r="J98" t="str">
        <f t="shared" si="10"/>
        <v>Line</v>
      </c>
      <c r="K98">
        <v>4665632.8329999996</v>
      </c>
      <c r="L98">
        <v>360136.03200000001</v>
      </c>
      <c r="M98">
        <v>1.208</v>
      </c>
    </row>
    <row r="99" spans="1:13" x14ac:dyDescent="0.25">
      <c r="A99" t="s">
        <v>28</v>
      </c>
      <c r="B99">
        <v>23</v>
      </c>
      <c r="C99" t="s">
        <v>29</v>
      </c>
      <c r="D99">
        <v>2019</v>
      </c>
      <c r="E99">
        <f t="shared" si="7"/>
        <v>34</v>
      </c>
      <c r="F99">
        <f t="shared" si="8"/>
        <v>98</v>
      </c>
      <c r="G99" t="s">
        <v>11</v>
      </c>
      <c r="H99" t="str">
        <f t="shared" si="5"/>
        <v>06</v>
      </c>
      <c r="I99" t="str">
        <f t="shared" si="6"/>
        <v>a</v>
      </c>
      <c r="J99" t="str">
        <f t="shared" si="10"/>
        <v>Line</v>
      </c>
      <c r="K99">
        <v>4665632.091</v>
      </c>
      <c r="L99">
        <v>360134.19799999997</v>
      </c>
      <c r="M99">
        <v>1.2150000000000001</v>
      </c>
    </row>
    <row r="100" spans="1:13" x14ac:dyDescent="0.25">
      <c r="A100" t="s">
        <v>28</v>
      </c>
      <c r="B100">
        <v>23</v>
      </c>
      <c r="C100" t="s">
        <v>29</v>
      </c>
      <c r="D100">
        <v>2019</v>
      </c>
      <c r="E100">
        <f t="shared" si="7"/>
        <v>34</v>
      </c>
      <c r="F100">
        <f t="shared" si="8"/>
        <v>99</v>
      </c>
      <c r="G100" t="s">
        <v>11</v>
      </c>
      <c r="H100" t="str">
        <f t="shared" si="5"/>
        <v>06</v>
      </c>
      <c r="I100" t="str">
        <f t="shared" si="6"/>
        <v>a</v>
      </c>
      <c r="J100" t="str">
        <f t="shared" si="10"/>
        <v>Line</v>
      </c>
      <c r="K100">
        <v>4665631.8130000001</v>
      </c>
      <c r="L100">
        <v>360133.03200000001</v>
      </c>
      <c r="M100">
        <v>1.198</v>
      </c>
    </row>
    <row r="101" spans="1:13" x14ac:dyDescent="0.25">
      <c r="A101" t="s">
        <v>28</v>
      </c>
      <c r="B101">
        <v>23</v>
      </c>
      <c r="C101" t="s">
        <v>29</v>
      </c>
      <c r="D101">
        <v>2019</v>
      </c>
      <c r="E101">
        <f t="shared" si="7"/>
        <v>35</v>
      </c>
      <c r="F101">
        <f t="shared" si="8"/>
        <v>100</v>
      </c>
      <c r="G101" t="s">
        <v>16</v>
      </c>
      <c r="H101" t="str">
        <f t="shared" si="5"/>
        <v>04</v>
      </c>
      <c r="I101" t="str">
        <f t="shared" si="6"/>
        <v>a</v>
      </c>
      <c r="J101" t="str">
        <f t="shared" si="10"/>
        <v>Line</v>
      </c>
      <c r="K101">
        <v>4665630.9380000001</v>
      </c>
      <c r="L101">
        <v>360131</v>
      </c>
      <c r="M101">
        <v>1.2050000000000001</v>
      </c>
    </row>
    <row r="102" spans="1:13" x14ac:dyDescent="0.25">
      <c r="A102" t="s">
        <v>28</v>
      </c>
      <c r="B102">
        <v>23</v>
      </c>
      <c r="C102" t="s">
        <v>29</v>
      </c>
      <c r="D102">
        <v>2019</v>
      </c>
      <c r="E102">
        <f t="shared" si="7"/>
        <v>35</v>
      </c>
      <c r="F102">
        <f t="shared" si="8"/>
        <v>101</v>
      </c>
      <c r="G102" t="s">
        <v>16</v>
      </c>
      <c r="H102" t="str">
        <f t="shared" si="5"/>
        <v>04</v>
      </c>
      <c r="I102" t="str">
        <f t="shared" si="6"/>
        <v>a</v>
      </c>
      <c r="J102" t="str">
        <f t="shared" si="10"/>
        <v>Line</v>
      </c>
      <c r="K102">
        <v>4665628.7620000001</v>
      </c>
      <c r="L102">
        <v>360124.66800000001</v>
      </c>
      <c r="M102">
        <v>1.2</v>
      </c>
    </row>
    <row r="103" spans="1:13" x14ac:dyDescent="0.25">
      <c r="A103" t="s">
        <v>28</v>
      </c>
      <c r="B103">
        <v>23</v>
      </c>
      <c r="C103" t="s">
        <v>29</v>
      </c>
      <c r="D103">
        <v>2019</v>
      </c>
      <c r="E103">
        <f t="shared" si="7"/>
        <v>36</v>
      </c>
      <c r="F103">
        <f t="shared" si="8"/>
        <v>102</v>
      </c>
      <c r="G103" t="s">
        <v>11</v>
      </c>
      <c r="H103" t="str">
        <f t="shared" si="5"/>
        <v>06</v>
      </c>
      <c r="I103" t="str">
        <f t="shared" si="6"/>
        <v>a</v>
      </c>
      <c r="J103" t="str">
        <f t="shared" si="10"/>
        <v>MU</v>
      </c>
      <c r="K103">
        <v>4665627.983</v>
      </c>
      <c r="L103">
        <v>360123.071</v>
      </c>
      <c r="M103">
        <v>1.1339999999999999</v>
      </c>
    </row>
    <row r="104" spans="1:13" x14ac:dyDescent="0.25">
      <c r="A104" t="s">
        <v>28</v>
      </c>
      <c r="B104">
        <v>23</v>
      </c>
      <c r="C104" t="s">
        <v>29</v>
      </c>
      <c r="D104">
        <v>2019</v>
      </c>
      <c r="E104">
        <f t="shared" si="7"/>
        <v>37</v>
      </c>
      <c r="F104">
        <f t="shared" si="8"/>
        <v>103</v>
      </c>
      <c r="G104" t="s">
        <v>16</v>
      </c>
      <c r="H104" t="str">
        <f t="shared" si="5"/>
        <v>04</v>
      </c>
      <c r="I104" t="str">
        <f t="shared" si="6"/>
        <v>a</v>
      </c>
      <c r="J104" t="str">
        <f t="shared" si="10"/>
        <v>Line</v>
      </c>
      <c r="K104">
        <v>4665628.8339999998</v>
      </c>
      <c r="L104">
        <v>360121.027</v>
      </c>
      <c r="M104">
        <v>1.2170000000000001</v>
      </c>
    </row>
    <row r="105" spans="1:13" x14ac:dyDescent="0.25">
      <c r="A105" t="s">
        <v>28</v>
      </c>
      <c r="B105">
        <v>23</v>
      </c>
      <c r="C105" t="s">
        <v>29</v>
      </c>
      <c r="D105">
        <v>2019</v>
      </c>
      <c r="E105">
        <f t="shared" si="7"/>
        <v>37</v>
      </c>
      <c r="F105">
        <f t="shared" si="8"/>
        <v>104</v>
      </c>
      <c r="G105" t="s">
        <v>16</v>
      </c>
      <c r="H105" t="str">
        <f t="shared" si="5"/>
        <v>04</v>
      </c>
      <c r="I105" t="str">
        <f t="shared" si="6"/>
        <v>a</v>
      </c>
      <c r="J105" t="str">
        <f t="shared" si="10"/>
        <v>Line</v>
      </c>
      <c r="K105">
        <v>4665630.375</v>
      </c>
      <c r="L105">
        <v>360114.49300000002</v>
      </c>
      <c r="M105">
        <v>1.304</v>
      </c>
    </row>
    <row r="106" spans="1:13" x14ac:dyDescent="0.25">
      <c r="A106" t="s">
        <v>28</v>
      </c>
      <c r="B106">
        <v>23</v>
      </c>
      <c r="C106" t="s">
        <v>29</v>
      </c>
      <c r="D106">
        <v>2019</v>
      </c>
      <c r="E106">
        <f t="shared" si="7"/>
        <v>38</v>
      </c>
      <c r="F106">
        <f t="shared" si="8"/>
        <v>105</v>
      </c>
      <c r="G106" t="s">
        <v>14</v>
      </c>
      <c r="H106" t="str">
        <f t="shared" si="5"/>
        <v>05</v>
      </c>
      <c r="I106" t="str">
        <f t="shared" si="6"/>
        <v>a</v>
      </c>
      <c r="J106" t="str">
        <f t="shared" si="10"/>
        <v>Line</v>
      </c>
      <c r="K106">
        <v>4665630.7039999999</v>
      </c>
      <c r="L106">
        <v>360112.59</v>
      </c>
      <c r="M106">
        <v>1.2729999999999999</v>
      </c>
    </row>
    <row r="107" spans="1:13" x14ac:dyDescent="0.25">
      <c r="A107" t="s">
        <v>28</v>
      </c>
      <c r="B107">
        <v>23</v>
      </c>
      <c r="C107" t="s">
        <v>29</v>
      </c>
      <c r="D107">
        <v>2019</v>
      </c>
      <c r="E107">
        <f t="shared" si="7"/>
        <v>38</v>
      </c>
      <c r="F107">
        <f t="shared" si="8"/>
        <v>106</v>
      </c>
      <c r="G107" t="s">
        <v>14</v>
      </c>
      <c r="H107" t="str">
        <f t="shared" si="5"/>
        <v>05</v>
      </c>
      <c r="I107" t="str">
        <f t="shared" si="6"/>
        <v>a</v>
      </c>
      <c r="J107" t="str">
        <f t="shared" si="10"/>
        <v>Line</v>
      </c>
      <c r="K107">
        <v>4665633.3569999998</v>
      </c>
      <c r="L107">
        <v>360104.15399999998</v>
      </c>
      <c r="M107">
        <v>1.2509999999999999</v>
      </c>
    </row>
    <row r="108" spans="1:13" x14ac:dyDescent="0.25">
      <c r="A108" t="s">
        <v>28</v>
      </c>
      <c r="B108">
        <v>23</v>
      </c>
      <c r="C108" t="s">
        <v>29</v>
      </c>
      <c r="D108">
        <v>2019</v>
      </c>
      <c r="E108">
        <f t="shared" si="7"/>
        <v>39</v>
      </c>
      <c r="F108">
        <f t="shared" si="8"/>
        <v>107</v>
      </c>
      <c r="G108" t="s">
        <v>17</v>
      </c>
      <c r="H108" t="str">
        <f t="shared" si="5"/>
        <v>03</v>
      </c>
      <c r="I108" t="str">
        <f t="shared" si="6"/>
        <v>a</v>
      </c>
      <c r="J108" t="str">
        <f t="shared" si="10"/>
        <v>Line</v>
      </c>
      <c r="K108">
        <v>4665634.0060000001</v>
      </c>
      <c r="L108">
        <v>360102.03399999999</v>
      </c>
      <c r="M108">
        <v>1.2969999999999999</v>
      </c>
    </row>
    <row r="109" spans="1:13" x14ac:dyDescent="0.25">
      <c r="A109" t="s">
        <v>28</v>
      </c>
      <c r="B109">
        <v>23</v>
      </c>
      <c r="C109" t="s">
        <v>29</v>
      </c>
      <c r="D109">
        <v>2019</v>
      </c>
      <c r="E109">
        <f t="shared" si="7"/>
        <v>39</v>
      </c>
      <c r="F109">
        <f t="shared" si="8"/>
        <v>108</v>
      </c>
      <c r="G109" t="s">
        <v>17</v>
      </c>
      <c r="H109" t="str">
        <f t="shared" si="5"/>
        <v>03</v>
      </c>
      <c r="I109" t="str">
        <f t="shared" si="6"/>
        <v>a</v>
      </c>
      <c r="J109" t="str">
        <f t="shared" si="10"/>
        <v>Line</v>
      </c>
      <c r="K109">
        <v>4665632.9589999998</v>
      </c>
      <c r="L109">
        <v>360096.88900000002</v>
      </c>
      <c r="M109">
        <v>1.292</v>
      </c>
    </row>
    <row r="110" spans="1:13" x14ac:dyDescent="0.25">
      <c r="A110" t="s">
        <v>28</v>
      </c>
      <c r="B110">
        <v>23</v>
      </c>
      <c r="C110" t="s">
        <v>29</v>
      </c>
      <c r="D110">
        <v>2019</v>
      </c>
      <c r="E110">
        <f t="shared" si="7"/>
        <v>40</v>
      </c>
      <c r="F110">
        <f t="shared" si="8"/>
        <v>109</v>
      </c>
      <c r="G110" t="s">
        <v>11</v>
      </c>
      <c r="H110" t="str">
        <f t="shared" si="5"/>
        <v>06</v>
      </c>
      <c r="I110" t="str">
        <f t="shared" si="6"/>
        <v>a</v>
      </c>
      <c r="J110" t="str">
        <f t="shared" si="10"/>
        <v>Line</v>
      </c>
      <c r="K110">
        <v>4665632.83</v>
      </c>
      <c r="L110">
        <v>360095.02299999999</v>
      </c>
      <c r="M110">
        <v>1.2889999999999999</v>
      </c>
    </row>
    <row r="111" spans="1:13" x14ac:dyDescent="0.25">
      <c r="A111" t="s">
        <v>28</v>
      </c>
      <c r="B111">
        <v>23</v>
      </c>
      <c r="C111" t="s">
        <v>29</v>
      </c>
      <c r="D111">
        <v>2019</v>
      </c>
      <c r="E111">
        <f t="shared" si="7"/>
        <v>40</v>
      </c>
      <c r="F111">
        <f t="shared" si="8"/>
        <v>110</v>
      </c>
      <c r="G111" t="s">
        <v>11</v>
      </c>
      <c r="H111" t="str">
        <f t="shared" si="5"/>
        <v>06</v>
      </c>
      <c r="I111" t="str">
        <f t="shared" si="6"/>
        <v>a</v>
      </c>
      <c r="J111" t="str">
        <f t="shared" si="10"/>
        <v>Line</v>
      </c>
      <c r="K111">
        <v>4665636.6679999996</v>
      </c>
      <c r="L111">
        <v>360095.94400000002</v>
      </c>
      <c r="M111">
        <v>1.3260000000000001</v>
      </c>
    </row>
    <row r="112" spans="1:13" x14ac:dyDescent="0.25">
      <c r="A112" t="s">
        <v>28</v>
      </c>
      <c r="B112">
        <v>23</v>
      </c>
      <c r="C112" t="s">
        <v>29</v>
      </c>
      <c r="D112">
        <v>2019</v>
      </c>
      <c r="E112">
        <f t="shared" si="7"/>
        <v>41</v>
      </c>
      <c r="F112">
        <f t="shared" si="8"/>
        <v>111</v>
      </c>
      <c r="G112" t="s">
        <v>17</v>
      </c>
      <c r="H112" t="str">
        <f t="shared" si="5"/>
        <v>03</v>
      </c>
      <c r="I112" t="str">
        <f t="shared" si="6"/>
        <v>a</v>
      </c>
      <c r="J112" t="str">
        <f t="shared" si="10"/>
        <v>Line</v>
      </c>
      <c r="K112">
        <v>4665636.84</v>
      </c>
      <c r="L112">
        <v>360097.848</v>
      </c>
      <c r="M112">
        <v>1.3140000000000001</v>
      </c>
    </row>
    <row r="113" spans="1:13" x14ac:dyDescent="0.25">
      <c r="A113" t="s">
        <v>28</v>
      </c>
      <c r="B113">
        <v>23</v>
      </c>
      <c r="C113" t="s">
        <v>29</v>
      </c>
      <c r="D113">
        <v>2019</v>
      </c>
      <c r="E113">
        <f t="shared" si="7"/>
        <v>41</v>
      </c>
      <c r="F113">
        <f t="shared" si="8"/>
        <v>112</v>
      </c>
      <c r="G113" t="s">
        <v>17</v>
      </c>
      <c r="H113" t="str">
        <f t="shared" si="5"/>
        <v>03</v>
      </c>
      <c r="I113" t="str">
        <f t="shared" si="6"/>
        <v>a</v>
      </c>
      <c r="J113" t="str">
        <f t="shared" si="10"/>
        <v>Line</v>
      </c>
      <c r="K113">
        <v>4665639.0530000003</v>
      </c>
      <c r="L113">
        <v>360109.49</v>
      </c>
      <c r="M113">
        <v>1.325</v>
      </c>
    </row>
    <row r="114" spans="1:13" x14ac:dyDescent="0.25">
      <c r="A114" t="s">
        <v>28</v>
      </c>
      <c r="B114">
        <v>23</v>
      </c>
      <c r="C114" t="s">
        <v>29</v>
      </c>
      <c r="D114">
        <v>2019</v>
      </c>
      <c r="E114">
        <f t="shared" si="7"/>
        <v>42</v>
      </c>
      <c r="F114">
        <f t="shared" si="8"/>
        <v>113</v>
      </c>
      <c r="G114" t="s">
        <v>16</v>
      </c>
      <c r="H114" t="str">
        <f t="shared" si="5"/>
        <v>04</v>
      </c>
      <c r="I114" t="str">
        <f t="shared" si="6"/>
        <v>a</v>
      </c>
      <c r="J114" t="str">
        <f t="shared" si="10"/>
        <v>Line</v>
      </c>
      <c r="K114">
        <v>4665639.2309999997</v>
      </c>
      <c r="L114">
        <v>360110.54599999997</v>
      </c>
      <c r="M114">
        <v>1.3049999999999999</v>
      </c>
    </row>
    <row r="115" spans="1:13" x14ac:dyDescent="0.25">
      <c r="A115" t="s">
        <v>28</v>
      </c>
      <c r="B115">
        <v>23</v>
      </c>
      <c r="C115" t="s">
        <v>29</v>
      </c>
      <c r="D115">
        <v>2019</v>
      </c>
      <c r="E115">
        <f t="shared" si="7"/>
        <v>42</v>
      </c>
      <c r="F115">
        <f t="shared" si="8"/>
        <v>114</v>
      </c>
      <c r="G115" t="s">
        <v>16</v>
      </c>
      <c r="H115" t="str">
        <f t="shared" si="5"/>
        <v>04</v>
      </c>
      <c r="I115" t="str">
        <f t="shared" si="6"/>
        <v>a</v>
      </c>
      <c r="J115" t="str">
        <f t="shared" si="10"/>
        <v>Line</v>
      </c>
      <c r="K115">
        <v>4665639.9819999998</v>
      </c>
      <c r="L115">
        <v>360112.83199999999</v>
      </c>
      <c r="M115">
        <v>1.2909999999999999</v>
      </c>
    </row>
  </sheetData>
  <autoFilter ref="A1:N115" xr:uid="{A6DAA7EA-F2DC-4F9D-A1E0-481FABA9D6C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34C0F-6C91-474C-8162-D7E30A54A1BD}">
  <dimension ref="A1:N66"/>
  <sheetViews>
    <sheetView workbookViewId="0">
      <selection activeCell="J61" sqref="J61"/>
    </sheetView>
  </sheetViews>
  <sheetFormatPr defaultRowHeight="15" x14ac:dyDescent="0.25"/>
  <sheetData>
    <row r="1" spans="1:14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0</v>
      </c>
      <c r="I1" t="s">
        <v>25</v>
      </c>
      <c r="J1" t="s">
        <v>26</v>
      </c>
      <c r="K1" t="s">
        <v>1</v>
      </c>
      <c r="L1" t="s">
        <v>2</v>
      </c>
      <c r="M1" t="s">
        <v>27</v>
      </c>
      <c r="N1" t="s">
        <v>3</v>
      </c>
    </row>
    <row r="2" spans="1:14" x14ac:dyDescent="0.25">
      <c r="A2" t="s">
        <v>28</v>
      </c>
      <c r="B2">
        <v>23</v>
      </c>
      <c r="C2" t="s">
        <v>29</v>
      </c>
      <c r="D2">
        <v>2019</v>
      </c>
      <c r="E2">
        <v>2</v>
      </c>
      <c r="F2">
        <v>2</v>
      </c>
      <c r="G2" t="s">
        <v>5</v>
      </c>
      <c r="H2" s="2">
        <v>8</v>
      </c>
      <c r="I2" t="s">
        <v>33</v>
      </c>
      <c r="J2" t="s">
        <v>39</v>
      </c>
      <c r="K2">
        <v>4665574.6150000002</v>
      </c>
      <c r="L2">
        <v>360019.77299999999</v>
      </c>
      <c r="M2">
        <v>1.397</v>
      </c>
    </row>
    <row r="3" spans="1:14" x14ac:dyDescent="0.25">
      <c r="A3" t="s">
        <v>28</v>
      </c>
      <c r="B3">
        <v>23</v>
      </c>
      <c r="C3" t="s">
        <v>29</v>
      </c>
      <c r="D3">
        <v>2019</v>
      </c>
      <c r="E3">
        <v>2</v>
      </c>
      <c r="F3">
        <v>3</v>
      </c>
      <c r="G3" t="s">
        <v>5</v>
      </c>
      <c r="H3" s="2">
        <v>8</v>
      </c>
      <c r="I3" t="s">
        <v>33</v>
      </c>
      <c r="J3" t="s">
        <v>39</v>
      </c>
      <c r="K3">
        <v>4665559.3320000004</v>
      </c>
      <c r="L3">
        <v>360015.11700000003</v>
      </c>
      <c r="M3">
        <v>1.4370000000000001</v>
      </c>
    </row>
    <row r="4" spans="1:14" x14ac:dyDescent="0.25">
      <c r="A4" t="s">
        <v>28</v>
      </c>
      <c r="B4">
        <v>23</v>
      </c>
      <c r="C4" t="s">
        <v>29</v>
      </c>
      <c r="D4">
        <v>2019</v>
      </c>
      <c r="E4">
        <v>3</v>
      </c>
      <c r="F4">
        <v>4</v>
      </c>
      <c r="G4" t="s">
        <v>4</v>
      </c>
      <c r="H4" s="2">
        <v>7</v>
      </c>
      <c r="I4" t="s">
        <v>33</v>
      </c>
      <c r="J4" t="s">
        <v>39</v>
      </c>
      <c r="K4">
        <v>4665557.53</v>
      </c>
      <c r="L4">
        <v>360014.35800000001</v>
      </c>
      <c r="M4">
        <v>1.423</v>
      </c>
    </row>
    <row r="5" spans="1:14" x14ac:dyDescent="0.25">
      <c r="A5" t="s">
        <v>28</v>
      </c>
      <c r="B5">
        <v>23</v>
      </c>
      <c r="C5" t="s">
        <v>29</v>
      </c>
      <c r="D5">
        <v>2019</v>
      </c>
      <c r="E5">
        <v>3</v>
      </c>
      <c r="F5">
        <v>5</v>
      </c>
      <c r="G5" t="s">
        <v>4</v>
      </c>
      <c r="H5" s="2">
        <v>7</v>
      </c>
      <c r="I5" t="s">
        <v>33</v>
      </c>
      <c r="J5" t="s">
        <v>39</v>
      </c>
      <c r="K5">
        <v>4665555.926</v>
      </c>
      <c r="L5">
        <v>360013.06300000002</v>
      </c>
      <c r="M5">
        <v>1.421</v>
      </c>
    </row>
    <row r="6" spans="1:14" x14ac:dyDescent="0.25">
      <c r="A6" t="s">
        <v>28</v>
      </c>
      <c r="B6">
        <v>23</v>
      </c>
      <c r="C6" t="s">
        <v>29</v>
      </c>
      <c r="D6">
        <v>2019</v>
      </c>
      <c r="E6">
        <v>5</v>
      </c>
      <c r="F6">
        <v>7</v>
      </c>
      <c r="G6" s="1" t="s">
        <v>5</v>
      </c>
      <c r="H6" s="2">
        <v>8</v>
      </c>
      <c r="I6" t="s">
        <v>33</v>
      </c>
      <c r="J6" t="s">
        <v>39</v>
      </c>
      <c r="K6">
        <v>4665556.3720000004</v>
      </c>
      <c r="L6">
        <v>360008.73300000001</v>
      </c>
      <c r="M6">
        <v>1.4610000000000001</v>
      </c>
      <c r="N6" t="s">
        <v>30</v>
      </c>
    </row>
    <row r="7" spans="1:14" x14ac:dyDescent="0.25">
      <c r="A7" t="s">
        <v>28</v>
      </c>
      <c r="B7">
        <v>23</v>
      </c>
      <c r="C7" t="s">
        <v>29</v>
      </c>
      <c r="D7">
        <v>2019</v>
      </c>
      <c r="E7">
        <v>5</v>
      </c>
      <c r="F7">
        <v>8</v>
      </c>
      <c r="G7" t="s">
        <v>5</v>
      </c>
      <c r="H7" s="2">
        <v>8</v>
      </c>
      <c r="I7" t="s">
        <v>33</v>
      </c>
      <c r="J7" t="s">
        <v>39</v>
      </c>
      <c r="K7">
        <v>4665556.5269999998</v>
      </c>
      <c r="L7">
        <v>360006.17599999998</v>
      </c>
      <c r="M7">
        <v>1.4610000000000001</v>
      </c>
    </row>
    <row r="8" spans="1:14" x14ac:dyDescent="0.25">
      <c r="A8" t="s">
        <v>28</v>
      </c>
      <c r="B8">
        <v>23</v>
      </c>
      <c r="C8" t="s">
        <v>29</v>
      </c>
      <c r="D8">
        <v>2019</v>
      </c>
      <c r="E8">
        <v>6</v>
      </c>
      <c r="F8">
        <v>9</v>
      </c>
      <c r="G8" t="s">
        <v>7</v>
      </c>
      <c r="H8" s="2">
        <v>9</v>
      </c>
      <c r="I8" t="s">
        <v>33</v>
      </c>
      <c r="J8" t="s">
        <v>39</v>
      </c>
      <c r="K8">
        <v>4665556.5769999996</v>
      </c>
      <c r="L8">
        <v>360004.03600000002</v>
      </c>
      <c r="M8">
        <v>1.4450000000000001</v>
      </c>
    </row>
    <row r="9" spans="1:14" x14ac:dyDescent="0.25">
      <c r="A9" t="s">
        <v>28</v>
      </c>
      <c r="B9">
        <v>23</v>
      </c>
      <c r="C9" t="s">
        <v>29</v>
      </c>
      <c r="D9">
        <v>2019</v>
      </c>
      <c r="E9">
        <v>6</v>
      </c>
      <c r="F9">
        <v>10</v>
      </c>
      <c r="G9" t="s">
        <v>7</v>
      </c>
      <c r="H9" s="2">
        <v>9</v>
      </c>
      <c r="I9" t="s">
        <v>33</v>
      </c>
      <c r="J9" t="s">
        <v>39</v>
      </c>
      <c r="K9">
        <v>4665560.6770000001</v>
      </c>
      <c r="L9">
        <v>359997.53100000002</v>
      </c>
      <c r="M9">
        <v>1.492</v>
      </c>
    </row>
    <row r="10" spans="1:14" x14ac:dyDescent="0.25">
      <c r="A10" t="s">
        <v>28</v>
      </c>
      <c r="B10">
        <v>23</v>
      </c>
      <c r="C10" t="s">
        <v>29</v>
      </c>
      <c r="D10">
        <v>2019</v>
      </c>
      <c r="E10">
        <v>7</v>
      </c>
      <c r="F10">
        <v>11</v>
      </c>
      <c r="G10" t="s">
        <v>8</v>
      </c>
      <c r="H10" s="2">
        <v>11</v>
      </c>
      <c r="I10" t="s">
        <v>33</v>
      </c>
      <c r="J10" t="s">
        <v>39</v>
      </c>
      <c r="K10">
        <v>4665562.8629999999</v>
      </c>
      <c r="L10">
        <v>359997.17099999997</v>
      </c>
      <c r="M10">
        <v>1.512</v>
      </c>
    </row>
    <row r="11" spans="1:14" x14ac:dyDescent="0.25">
      <c r="A11" t="s">
        <v>28</v>
      </c>
      <c r="B11">
        <v>23</v>
      </c>
      <c r="C11" t="s">
        <v>29</v>
      </c>
      <c r="D11">
        <v>2019</v>
      </c>
      <c r="E11">
        <v>7</v>
      </c>
      <c r="F11">
        <v>12</v>
      </c>
      <c r="G11" t="s">
        <v>8</v>
      </c>
      <c r="H11" s="2">
        <v>11</v>
      </c>
      <c r="I11" t="s">
        <v>33</v>
      </c>
      <c r="J11" t="s">
        <v>39</v>
      </c>
      <c r="K11">
        <v>4665566.7769999998</v>
      </c>
      <c r="L11">
        <v>359995.647</v>
      </c>
      <c r="M11">
        <v>1.6279999999999999</v>
      </c>
    </row>
    <row r="12" spans="1:14" x14ac:dyDescent="0.25">
      <c r="A12" t="s">
        <v>28</v>
      </c>
      <c r="B12">
        <v>23</v>
      </c>
      <c r="C12" t="s">
        <v>29</v>
      </c>
      <c r="D12">
        <v>2019</v>
      </c>
      <c r="E12">
        <v>7</v>
      </c>
      <c r="F12">
        <v>13</v>
      </c>
      <c r="G12" t="s">
        <v>8</v>
      </c>
      <c r="H12" s="2">
        <v>11</v>
      </c>
      <c r="I12" t="s">
        <v>33</v>
      </c>
      <c r="J12" t="s">
        <v>39</v>
      </c>
      <c r="K12">
        <v>4665569.3859999999</v>
      </c>
      <c r="L12">
        <v>359994.875</v>
      </c>
      <c r="M12">
        <v>1.5229999999999999</v>
      </c>
    </row>
    <row r="13" spans="1:14" x14ac:dyDescent="0.25">
      <c r="A13" t="s">
        <v>28</v>
      </c>
      <c r="B13">
        <v>23</v>
      </c>
      <c r="C13" t="s">
        <v>29</v>
      </c>
      <c r="D13">
        <v>2019</v>
      </c>
      <c r="E13">
        <v>8</v>
      </c>
      <c r="F13">
        <v>14</v>
      </c>
      <c r="G13" t="s">
        <v>9</v>
      </c>
      <c r="H13" s="2">
        <v>12</v>
      </c>
      <c r="I13" t="s">
        <v>33</v>
      </c>
      <c r="J13" t="s">
        <v>39</v>
      </c>
      <c r="K13">
        <v>4665572.1310000001</v>
      </c>
      <c r="L13">
        <v>359999.80699999997</v>
      </c>
      <c r="M13">
        <v>1.4650000000000001</v>
      </c>
    </row>
    <row r="14" spans="1:14" x14ac:dyDescent="0.25">
      <c r="A14" t="s">
        <v>28</v>
      </c>
      <c r="B14">
        <v>23</v>
      </c>
      <c r="C14" t="s">
        <v>29</v>
      </c>
      <c r="D14">
        <v>2019</v>
      </c>
      <c r="E14">
        <v>8</v>
      </c>
      <c r="F14">
        <v>15</v>
      </c>
      <c r="G14" t="s">
        <v>9</v>
      </c>
      <c r="H14" s="2">
        <v>12</v>
      </c>
      <c r="I14" t="s">
        <v>33</v>
      </c>
      <c r="J14" t="s">
        <v>39</v>
      </c>
      <c r="K14">
        <v>4665575.7010000004</v>
      </c>
      <c r="L14">
        <v>360007.49300000002</v>
      </c>
      <c r="M14">
        <v>1.534</v>
      </c>
    </row>
    <row r="15" spans="1:14" x14ac:dyDescent="0.25">
      <c r="A15" t="s">
        <v>28</v>
      </c>
      <c r="B15">
        <v>23</v>
      </c>
      <c r="C15" t="s">
        <v>29</v>
      </c>
      <c r="D15">
        <v>2019</v>
      </c>
      <c r="E15">
        <v>8</v>
      </c>
      <c r="F15">
        <v>16</v>
      </c>
      <c r="G15" t="s">
        <v>9</v>
      </c>
      <c r="H15" s="2">
        <v>12</v>
      </c>
      <c r="I15" t="s">
        <v>33</v>
      </c>
      <c r="J15" t="s">
        <v>39</v>
      </c>
      <c r="K15">
        <v>4665580.3820000002</v>
      </c>
      <c r="L15">
        <v>360019.598</v>
      </c>
      <c r="M15">
        <v>1.2370000000000001</v>
      </c>
    </row>
    <row r="16" spans="1:14" x14ac:dyDescent="0.25">
      <c r="A16" t="s">
        <v>28</v>
      </c>
      <c r="B16">
        <v>23</v>
      </c>
      <c r="C16" t="s">
        <v>29</v>
      </c>
      <c r="D16">
        <v>2019</v>
      </c>
      <c r="E16">
        <v>9</v>
      </c>
      <c r="F16">
        <v>17</v>
      </c>
      <c r="G16" t="s">
        <v>8</v>
      </c>
      <c r="H16" s="2">
        <v>11</v>
      </c>
      <c r="I16" t="s">
        <v>33</v>
      </c>
      <c r="J16" t="s">
        <v>39</v>
      </c>
      <c r="K16">
        <v>4665580.3880000003</v>
      </c>
      <c r="L16">
        <v>360021.03499999997</v>
      </c>
      <c r="M16">
        <v>1.232</v>
      </c>
    </row>
    <row r="17" spans="1:14" x14ac:dyDescent="0.25">
      <c r="A17" t="s">
        <v>28</v>
      </c>
      <c r="B17">
        <v>23</v>
      </c>
      <c r="C17" t="s">
        <v>29</v>
      </c>
      <c r="D17">
        <v>2019</v>
      </c>
      <c r="E17">
        <v>9</v>
      </c>
      <c r="F17">
        <v>18</v>
      </c>
      <c r="G17" t="s">
        <v>8</v>
      </c>
      <c r="H17" s="2">
        <v>11</v>
      </c>
      <c r="I17" t="s">
        <v>33</v>
      </c>
      <c r="J17" t="s">
        <v>39</v>
      </c>
      <c r="K17">
        <v>4665579.4139999999</v>
      </c>
      <c r="L17">
        <v>360023.30800000002</v>
      </c>
      <c r="M17">
        <v>1.278</v>
      </c>
    </row>
    <row r="18" spans="1:14" x14ac:dyDescent="0.25">
      <c r="A18" t="s">
        <v>28</v>
      </c>
      <c r="B18">
        <v>23</v>
      </c>
      <c r="C18" t="s">
        <v>29</v>
      </c>
      <c r="D18">
        <v>2019</v>
      </c>
      <c r="E18">
        <v>10</v>
      </c>
      <c r="F18">
        <v>19</v>
      </c>
      <c r="G18" t="s">
        <v>7</v>
      </c>
      <c r="H18" s="2">
        <v>9</v>
      </c>
      <c r="I18" t="s">
        <v>33</v>
      </c>
      <c r="J18" t="s">
        <v>39</v>
      </c>
      <c r="K18">
        <v>4665577.82</v>
      </c>
      <c r="L18">
        <v>360023.93</v>
      </c>
      <c r="M18">
        <v>1.421</v>
      </c>
    </row>
    <row r="19" spans="1:14" x14ac:dyDescent="0.25">
      <c r="A19" t="s">
        <v>28</v>
      </c>
      <c r="B19">
        <v>23</v>
      </c>
      <c r="C19" t="s">
        <v>29</v>
      </c>
      <c r="D19">
        <v>2019</v>
      </c>
      <c r="E19">
        <v>10</v>
      </c>
      <c r="F19">
        <v>20</v>
      </c>
      <c r="G19" t="s">
        <v>7</v>
      </c>
      <c r="H19" s="2">
        <v>9</v>
      </c>
      <c r="I19" t="s">
        <v>33</v>
      </c>
      <c r="J19" t="s">
        <v>39</v>
      </c>
      <c r="K19">
        <v>4665579.5319999997</v>
      </c>
      <c r="L19">
        <v>360039.86099999998</v>
      </c>
      <c r="M19">
        <v>1.431</v>
      </c>
    </row>
    <row r="20" spans="1:14" x14ac:dyDescent="0.25">
      <c r="A20" t="s">
        <v>28</v>
      </c>
      <c r="B20">
        <v>23</v>
      </c>
      <c r="C20" t="s">
        <v>29</v>
      </c>
      <c r="D20">
        <v>2019</v>
      </c>
      <c r="E20">
        <v>11</v>
      </c>
      <c r="F20">
        <v>21</v>
      </c>
      <c r="G20" t="s">
        <v>9</v>
      </c>
      <c r="H20" s="2">
        <v>12</v>
      </c>
      <c r="I20" t="s">
        <v>33</v>
      </c>
      <c r="J20" t="s">
        <v>39</v>
      </c>
      <c r="K20">
        <v>4665581.03</v>
      </c>
      <c r="L20">
        <v>360040.20199999999</v>
      </c>
      <c r="M20">
        <v>1.2829999999999999</v>
      </c>
    </row>
    <row r="21" spans="1:14" x14ac:dyDescent="0.25">
      <c r="A21" t="s">
        <v>28</v>
      </c>
      <c r="B21">
        <v>23</v>
      </c>
      <c r="C21" t="s">
        <v>29</v>
      </c>
      <c r="D21">
        <v>2019</v>
      </c>
      <c r="E21">
        <v>11</v>
      </c>
      <c r="F21">
        <v>22</v>
      </c>
      <c r="G21" t="s">
        <v>9</v>
      </c>
      <c r="H21" s="2">
        <v>12</v>
      </c>
      <c r="I21" t="s">
        <v>33</v>
      </c>
      <c r="J21" t="s">
        <v>39</v>
      </c>
      <c r="K21">
        <v>4665587.2719999999</v>
      </c>
      <c r="L21">
        <v>360058.103</v>
      </c>
      <c r="M21">
        <v>1.323</v>
      </c>
    </row>
    <row r="22" spans="1:14" x14ac:dyDescent="0.25">
      <c r="A22" t="s">
        <v>28</v>
      </c>
      <c r="B22">
        <v>23</v>
      </c>
      <c r="C22" t="s">
        <v>29</v>
      </c>
      <c r="D22">
        <v>2019</v>
      </c>
      <c r="E22">
        <v>12</v>
      </c>
      <c r="F22">
        <v>23</v>
      </c>
      <c r="G22" t="s">
        <v>7</v>
      </c>
      <c r="H22" s="2">
        <v>9</v>
      </c>
      <c r="I22" t="s">
        <v>33</v>
      </c>
      <c r="J22" t="s">
        <v>39</v>
      </c>
      <c r="K22">
        <v>4665588.0650000004</v>
      </c>
      <c r="L22">
        <v>360059.63699999999</v>
      </c>
      <c r="M22">
        <v>1.3260000000000001</v>
      </c>
    </row>
    <row r="23" spans="1:14" x14ac:dyDescent="0.25">
      <c r="A23" t="s">
        <v>28</v>
      </c>
      <c r="B23">
        <v>23</v>
      </c>
      <c r="C23" t="s">
        <v>29</v>
      </c>
      <c r="D23">
        <v>2019</v>
      </c>
      <c r="E23">
        <v>12</v>
      </c>
      <c r="F23">
        <v>24</v>
      </c>
      <c r="G23" t="s">
        <v>7</v>
      </c>
      <c r="H23" s="2">
        <v>9</v>
      </c>
      <c r="I23" t="s">
        <v>33</v>
      </c>
      <c r="J23" t="s">
        <v>39</v>
      </c>
      <c r="K23">
        <v>4665591.5810000002</v>
      </c>
      <c r="L23">
        <v>360063.25599999999</v>
      </c>
      <c r="M23">
        <v>1.498</v>
      </c>
    </row>
    <row r="24" spans="1:14" x14ac:dyDescent="0.25">
      <c r="A24" t="s">
        <v>28</v>
      </c>
      <c r="B24">
        <v>23</v>
      </c>
      <c r="C24" t="s">
        <v>29</v>
      </c>
      <c r="D24">
        <v>2019</v>
      </c>
      <c r="E24">
        <v>12</v>
      </c>
      <c r="F24">
        <v>25</v>
      </c>
      <c r="G24" t="s">
        <v>10</v>
      </c>
      <c r="H24" s="2">
        <v>9</v>
      </c>
      <c r="I24" t="s">
        <v>45</v>
      </c>
      <c r="J24" t="s">
        <v>39</v>
      </c>
      <c r="K24">
        <v>4665593.5410000002</v>
      </c>
      <c r="L24">
        <v>360067.68699999998</v>
      </c>
      <c r="M24">
        <v>1.5009999999999999</v>
      </c>
      <c r="N24" t="s">
        <v>31</v>
      </c>
    </row>
    <row r="25" spans="1:14" x14ac:dyDescent="0.25">
      <c r="A25" t="s">
        <v>28</v>
      </c>
      <c r="B25">
        <v>23</v>
      </c>
      <c r="C25" t="s">
        <v>29</v>
      </c>
      <c r="D25">
        <v>2019</v>
      </c>
      <c r="E25">
        <v>12</v>
      </c>
      <c r="F25">
        <v>26</v>
      </c>
      <c r="G25" t="s">
        <v>10</v>
      </c>
      <c r="H25" s="2">
        <v>9</v>
      </c>
      <c r="I25" t="s">
        <v>45</v>
      </c>
      <c r="J25" t="s">
        <v>39</v>
      </c>
      <c r="K25">
        <v>4665596.2699999996</v>
      </c>
      <c r="L25">
        <v>360098.65</v>
      </c>
      <c r="M25">
        <v>1.38</v>
      </c>
    </row>
    <row r="26" spans="1:14" x14ac:dyDescent="0.25">
      <c r="A26" t="s">
        <v>28</v>
      </c>
      <c r="B26">
        <v>23</v>
      </c>
      <c r="C26" t="s">
        <v>29</v>
      </c>
      <c r="D26">
        <v>2019</v>
      </c>
      <c r="E26">
        <v>15</v>
      </c>
      <c r="F26">
        <v>29</v>
      </c>
      <c r="G26" t="s">
        <v>7</v>
      </c>
      <c r="H26" s="2">
        <v>9</v>
      </c>
      <c r="I26" t="s">
        <v>33</v>
      </c>
      <c r="J26" t="s">
        <v>39</v>
      </c>
      <c r="K26">
        <v>4665593.2910000002</v>
      </c>
      <c r="L26">
        <v>360094.71100000001</v>
      </c>
      <c r="M26">
        <v>1.26</v>
      </c>
    </row>
    <row r="27" spans="1:14" x14ac:dyDescent="0.25">
      <c r="A27" t="s">
        <v>28</v>
      </c>
      <c r="B27">
        <v>23</v>
      </c>
      <c r="C27" t="s">
        <v>29</v>
      </c>
      <c r="D27">
        <v>2019</v>
      </c>
      <c r="E27">
        <v>15</v>
      </c>
      <c r="F27">
        <v>30</v>
      </c>
      <c r="G27" t="s">
        <v>7</v>
      </c>
      <c r="H27" s="2">
        <v>9</v>
      </c>
      <c r="I27" t="s">
        <v>33</v>
      </c>
      <c r="J27" t="s">
        <v>39</v>
      </c>
      <c r="K27">
        <v>4665593.0240000002</v>
      </c>
      <c r="L27">
        <v>360091.46</v>
      </c>
      <c r="M27">
        <v>1.2529999999999999</v>
      </c>
    </row>
    <row r="28" spans="1:14" x14ac:dyDescent="0.25">
      <c r="A28" t="s">
        <v>28</v>
      </c>
      <c r="B28">
        <v>23</v>
      </c>
      <c r="C28" t="s">
        <v>29</v>
      </c>
      <c r="D28">
        <v>2019</v>
      </c>
      <c r="E28">
        <v>16</v>
      </c>
      <c r="F28">
        <v>31</v>
      </c>
      <c r="G28" t="s">
        <v>4</v>
      </c>
      <c r="H28" s="2">
        <v>7</v>
      </c>
      <c r="I28" t="s">
        <v>33</v>
      </c>
      <c r="J28" t="s">
        <v>39</v>
      </c>
      <c r="K28">
        <v>4665592.6119999997</v>
      </c>
      <c r="L28">
        <v>360089.44500000001</v>
      </c>
      <c r="M28">
        <v>1.242</v>
      </c>
    </row>
    <row r="29" spans="1:14" x14ac:dyDescent="0.25">
      <c r="A29" t="s">
        <v>28</v>
      </c>
      <c r="B29">
        <v>23</v>
      </c>
      <c r="C29" t="s">
        <v>29</v>
      </c>
      <c r="D29">
        <v>2019</v>
      </c>
      <c r="E29">
        <v>16</v>
      </c>
      <c r="F29">
        <v>32</v>
      </c>
      <c r="G29" t="s">
        <v>4</v>
      </c>
      <c r="H29" s="2">
        <v>7</v>
      </c>
      <c r="I29" t="s">
        <v>33</v>
      </c>
      <c r="J29" t="s">
        <v>39</v>
      </c>
      <c r="K29">
        <v>4665590.9139999999</v>
      </c>
      <c r="L29">
        <v>360081.9</v>
      </c>
      <c r="M29">
        <v>1.2370000000000001</v>
      </c>
    </row>
    <row r="30" spans="1:14" x14ac:dyDescent="0.25">
      <c r="A30" t="s">
        <v>28</v>
      </c>
      <c r="B30">
        <v>23</v>
      </c>
      <c r="C30" t="s">
        <v>29</v>
      </c>
      <c r="D30">
        <v>2019</v>
      </c>
      <c r="E30">
        <v>18</v>
      </c>
      <c r="F30">
        <v>34</v>
      </c>
      <c r="G30" t="s">
        <v>35</v>
      </c>
      <c r="H30" s="2">
        <v>1</v>
      </c>
      <c r="I30" t="s">
        <v>46</v>
      </c>
      <c r="J30" t="s">
        <v>39</v>
      </c>
      <c r="K30">
        <v>4665587.7130000005</v>
      </c>
      <c r="L30">
        <v>360081.83399999997</v>
      </c>
      <c r="M30">
        <v>0.84199999999999997</v>
      </c>
      <c r="N30" t="s">
        <v>32</v>
      </c>
    </row>
    <row r="31" spans="1:14" x14ac:dyDescent="0.25">
      <c r="A31" t="s">
        <v>28</v>
      </c>
      <c r="B31">
        <v>23</v>
      </c>
      <c r="C31" t="s">
        <v>29</v>
      </c>
      <c r="D31">
        <v>2019</v>
      </c>
      <c r="E31">
        <v>18</v>
      </c>
      <c r="F31">
        <v>35</v>
      </c>
      <c r="G31" t="s">
        <v>35</v>
      </c>
      <c r="H31" s="2">
        <v>1</v>
      </c>
      <c r="I31" t="s">
        <v>46</v>
      </c>
      <c r="J31" t="s">
        <v>39</v>
      </c>
      <c r="K31">
        <v>4665590.0010000002</v>
      </c>
      <c r="L31">
        <v>360102.74599999998</v>
      </c>
      <c r="M31">
        <v>0.62</v>
      </c>
      <c r="N31" t="s">
        <v>32</v>
      </c>
    </row>
    <row r="32" spans="1:14" x14ac:dyDescent="0.25">
      <c r="A32" t="s">
        <v>28</v>
      </c>
      <c r="B32">
        <v>23</v>
      </c>
      <c r="C32" t="s">
        <v>29</v>
      </c>
      <c r="D32">
        <v>2019</v>
      </c>
      <c r="E32">
        <v>18</v>
      </c>
      <c r="F32">
        <v>36</v>
      </c>
      <c r="G32" t="s">
        <v>35</v>
      </c>
      <c r="H32" s="2">
        <v>1</v>
      </c>
      <c r="I32" t="s">
        <v>46</v>
      </c>
      <c r="J32" t="s">
        <v>39</v>
      </c>
      <c r="K32">
        <v>4665591.9840000002</v>
      </c>
      <c r="L32">
        <v>360117.78399999999</v>
      </c>
      <c r="M32">
        <v>0.73799999999999999</v>
      </c>
      <c r="N32" t="s">
        <v>32</v>
      </c>
    </row>
    <row r="33" spans="1:14" x14ac:dyDescent="0.25">
      <c r="A33" t="s">
        <v>28</v>
      </c>
      <c r="B33">
        <v>23</v>
      </c>
      <c r="C33" t="s">
        <v>29</v>
      </c>
      <c r="D33">
        <v>2019</v>
      </c>
      <c r="E33">
        <v>21</v>
      </c>
      <c r="F33">
        <v>51</v>
      </c>
      <c r="G33" t="s">
        <v>14</v>
      </c>
      <c r="H33" s="2">
        <v>5</v>
      </c>
      <c r="I33" t="s">
        <v>33</v>
      </c>
      <c r="J33" t="s">
        <v>39</v>
      </c>
      <c r="K33">
        <v>4665582.5769999996</v>
      </c>
      <c r="L33">
        <v>360152.85800000001</v>
      </c>
      <c r="M33">
        <v>1.1539999999999999</v>
      </c>
    </row>
    <row r="34" spans="1:14" x14ac:dyDescent="0.25">
      <c r="A34" t="s">
        <v>28</v>
      </c>
      <c r="B34">
        <v>23</v>
      </c>
      <c r="C34" t="s">
        <v>29</v>
      </c>
      <c r="D34">
        <v>2019</v>
      </c>
      <c r="E34">
        <v>21</v>
      </c>
      <c r="F34">
        <v>52</v>
      </c>
      <c r="G34" t="s">
        <v>14</v>
      </c>
      <c r="H34" s="2">
        <v>5</v>
      </c>
      <c r="I34" t="s">
        <v>33</v>
      </c>
      <c r="J34" t="s">
        <v>39</v>
      </c>
      <c r="K34">
        <v>4665576.1239999998</v>
      </c>
      <c r="L34">
        <v>360150.44500000001</v>
      </c>
      <c r="M34">
        <v>1.28</v>
      </c>
    </row>
    <row r="35" spans="1:14" x14ac:dyDescent="0.25">
      <c r="A35" t="s">
        <v>28</v>
      </c>
      <c r="B35">
        <v>23</v>
      </c>
      <c r="C35" t="s">
        <v>29</v>
      </c>
      <c r="D35">
        <v>2019</v>
      </c>
      <c r="E35">
        <v>22</v>
      </c>
      <c r="F35">
        <v>53</v>
      </c>
      <c r="G35" t="s">
        <v>11</v>
      </c>
      <c r="H35" s="2">
        <v>6</v>
      </c>
      <c r="I35" t="s">
        <v>33</v>
      </c>
      <c r="J35" t="s">
        <v>39</v>
      </c>
      <c r="K35">
        <v>4665574.0420000004</v>
      </c>
      <c r="L35">
        <v>360150.217</v>
      </c>
      <c r="M35">
        <v>1.1970000000000001</v>
      </c>
    </row>
    <row r="36" spans="1:14" x14ac:dyDescent="0.25">
      <c r="A36" t="s">
        <v>28</v>
      </c>
      <c r="B36">
        <v>23</v>
      </c>
      <c r="C36" t="s">
        <v>29</v>
      </c>
      <c r="D36">
        <v>2019</v>
      </c>
      <c r="E36">
        <v>22</v>
      </c>
      <c r="F36">
        <v>54</v>
      </c>
      <c r="G36" t="s">
        <v>11</v>
      </c>
      <c r="H36" s="2">
        <v>6</v>
      </c>
      <c r="I36" t="s">
        <v>33</v>
      </c>
      <c r="J36" t="s">
        <v>39</v>
      </c>
      <c r="K36">
        <v>4665563.2769999998</v>
      </c>
      <c r="L36">
        <v>360150.196</v>
      </c>
      <c r="M36">
        <v>1.2010000000000001</v>
      </c>
    </row>
    <row r="37" spans="1:14" x14ac:dyDescent="0.25">
      <c r="A37" t="s">
        <v>28</v>
      </c>
      <c r="B37">
        <v>23</v>
      </c>
      <c r="C37" t="s">
        <v>29</v>
      </c>
      <c r="D37">
        <v>2019</v>
      </c>
      <c r="E37">
        <v>25</v>
      </c>
      <c r="F37">
        <v>78</v>
      </c>
      <c r="G37" t="s">
        <v>7</v>
      </c>
      <c r="H37" s="2">
        <v>9</v>
      </c>
      <c r="I37" t="s">
        <v>33</v>
      </c>
      <c r="J37" t="s">
        <v>39</v>
      </c>
      <c r="K37">
        <v>4665600.2929999996</v>
      </c>
      <c r="L37">
        <v>360165.071</v>
      </c>
      <c r="M37">
        <v>1.244</v>
      </c>
    </row>
    <row r="38" spans="1:14" x14ac:dyDescent="0.25">
      <c r="A38" t="s">
        <v>28</v>
      </c>
      <c r="B38">
        <v>23</v>
      </c>
      <c r="C38" t="s">
        <v>29</v>
      </c>
      <c r="D38">
        <v>2019</v>
      </c>
      <c r="E38">
        <v>25</v>
      </c>
      <c r="F38">
        <v>79</v>
      </c>
      <c r="G38" t="s">
        <v>7</v>
      </c>
      <c r="H38" s="2">
        <v>9</v>
      </c>
      <c r="I38" t="s">
        <v>33</v>
      </c>
      <c r="J38" t="s">
        <v>39</v>
      </c>
      <c r="K38">
        <v>4665603.7359999996</v>
      </c>
      <c r="L38">
        <v>360165.83899999998</v>
      </c>
      <c r="M38">
        <v>1.145</v>
      </c>
    </row>
    <row r="39" spans="1:14" x14ac:dyDescent="0.25">
      <c r="A39" t="s">
        <v>28</v>
      </c>
      <c r="B39">
        <v>23</v>
      </c>
      <c r="C39" t="s">
        <v>29</v>
      </c>
      <c r="D39">
        <v>2019</v>
      </c>
      <c r="E39">
        <v>27</v>
      </c>
      <c r="F39">
        <v>84</v>
      </c>
      <c r="G39" t="s">
        <v>42</v>
      </c>
      <c r="H39" s="2">
        <v>22</v>
      </c>
      <c r="I39" t="s">
        <v>47</v>
      </c>
      <c r="J39" t="s">
        <v>39</v>
      </c>
      <c r="K39">
        <v>4665613.2220000001</v>
      </c>
      <c r="L39">
        <v>360167.59499999997</v>
      </c>
      <c r="M39">
        <v>0.11</v>
      </c>
    </row>
    <row r="40" spans="1:14" x14ac:dyDescent="0.25">
      <c r="A40" t="s">
        <v>28</v>
      </c>
      <c r="B40">
        <v>23</v>
      </c>
      <c r="C40" t="s">
        <v>29</v>
      </c>
      <c r="D40">
        <v>2019</v>
      </c>
      <c r="E40">
        <v>27</v>
      </c>
      <c r="F40">
        <v>85</v>
      </c>
      <c r="G40" t="s">
        <v>42</v>
      </c>
      <c r="H40" s="2">
        <v>22</v>
      </c>
      <c r="I40" t="s">
        <v>47</v>
      </c>
      <c r="J40" t="s">
        <v>39</v>
      </c>
      <c r="K40">
        <v>4665608.6550000003</v>
      </c>
      <c r="L40">
        <v>360166.19900000002</v>
      </c>
      <c r="M40">
        <v>0.216</v>
      </c>
    </row>
    <row r="41" spans="1:14" x14ac:dyDescent="0.25">
      <c r="A41" t="s">
        <v>28</v>
      </c>
      <c r="B41">
        <v>23</v>
      </c>
      <c r="C41" t="s">
        <v>29</v>
      </c>
      <c r="D41">
        <v>2019</v>
      </c>
      <c r="E41">
        <v>27</v>
      </c>
      <c r="F41">
        <v>86</v>
      </c>
      <c r="G41" t="s">
        <v>42</v>
      </c>
      <c r="H41" s="2">
        <v>22</v>
      </c>
      <c r="I41" t="s">
        <v>47</v>
      </c>
      <c r="J41" t="s">
        <v>39</v>
      </c>
      <c r="K41">
        <v>4665601.9840000002</v>
      </c>
      <c r="L41">
        <v>360163.96899999998</v>
      </c>
      <c r="M41">
        <v>0.105</v>
      </c>
    </row>
    <row r="42" spans="1:14" x14ac:dyDescent="0.25">
      <c r="A42" t="s">
        <v>28</v>
      </c>
      <c r="B42">
        <v>23</v>
      </c>
      <c r="C42" t="s">
        <v>29</v>
      </c>
      <c r="D42">
        <v>2019</v>
      </c>
      <c r="E42">
        <v>27</v>
      </c>
      <c r="F42">
        <v>87</v>
      </c>
      <c r="G42" t="s">
        <v>42</v>
      </c>
      <c r="H42" s="2">
        <v>22</v>
      </c>
      <c r="I42" t="s">
        <v>47</v>
      </c>
      <c r="J42" t="s">
        <v>39</v>
      </c>
      <c r="K42">
        <v>4665598.2790000001</v>
      </c>
      <c r="L42">
        <v>360163.07299999997</v>
      </c>
      <c r="M42">
        <v>6.0000000000000001E-3</v>
      </c>
    </row>
    <row r="43" spans="1:14" x14ac:dyDescent="0.25">
      <c r="A43" t="s">
        <v>28</v>
      </c>
      <c r="B43">
        <v>23</v>
      </c>
      <c r="C43" t="s">
        <v>29</v>
      </c>
      <c r="D43">
        <v>2019</v>
      </c>
      <c r="E43">
        <v>28</v>
      </c>
      <c r="F43">
        <v>88</v>
      </c>
      <c r="G43" t="s">
        <v>43</v>
      </c>
      <c r="H43" s="2">
        <v>1</v>
      </c>
      <c r="I43" t="s">
        <v>33</v>
      </c>
      <c r="J43" t="s">
        <v>39</v>
      </c>
      <c r="K43">
        <v>4665616.3219999997</v>
      </c>
      <c r="L43">
        <v>360168.54700000002</v>
      </c>
      <c r="M43">
        <v>0.14299999999999999</v>
      </c>
      <c r="N43" t="s">
        <v>44</v>
      </c>
    </row>
    <row r="44" spans="1:14" x14ac:dyDescent="0.25">
      <c r="A44" t="s">
        <v>28</v>
      </c>
      <c r="B44">
        <v>23</v>
      </c>
      <c r="C44" t="s">
        <v>29</v>
      </c>
      <c r="D44">
        <v>2019</v>
      </c>
      <c r="E44">
        <v>28</v>
      </c>
      <c r="F44">
        <v>89</v>
      </c>
      <c r="G44" t="s">
        <v>43</v>
      </c>
      <c r="H44" s="2">
        <v>1</v>
      </c>
      <c r="I44" t="s">
        <v>33</v>
      </c>
      <c r="J44" t="s">
        <v>39</v>
      </c>
      <c r="K44">
        <v>4665619.2060000002</v>
      </c>
      <c r="L44">
        <v>360169.28499999997</v>
      </c>
      <c r="M44">
        <v>0.22</v>
      </c>
      <c r="N44" t="s">
        <v>44</v>
      </c>
    </row>
    <row r="45" spans="1:14" x14ac:dyDescent="0.25">
      <c r="A45" t="s">
        <v>28</v>
      </c>
      <c r="B45">
        <v>23</v>
      </c>
      <c r="C45" t="s">
        <v>29</v>
      </c>
      <c r="D45">
        <v>2019</v>
      </c>
      <c r="E45">
        <v>29</v>
      </c>
      <c r="F45">
        <v>90</v>
      </c>
      <c r="G45" t="s">
        <v>7</v>
      </c>
      <c r="H45" s="2">
        <v>9</v>
      </c>
      <c r="I45" t="s">
        <v>33</v>
      </c>
      <c r="J45" t="s">
        <v>39</v>
      </c>
      <c r="K45">
        <v>4665612.9280000003</v>
      </c>
      <c r="L45">
        <v>360165.76799999998</v>
      </c>
      <c r="M45">
        <v>1.1930000000000001</v>
      </c>
    </row>
    <row r="46" spans="1:14" x14ac:dyDescent="0.25">
      <c r="A46" t="s">
        <v>28</v>
      </c>
      <c r="B46">
        <v>23</v>
      </c>
      <c r="C46" t="s">
        <v>29</v>
      </c>
      <c r="D46">
        <v>2019</v>
      </c>
      <c r="E46">
        <v>29</v>
      </c>
      <c r="F46">
        <v>91</v>
      </c>
      <c r="G46" t="s">
        <v>7</v>
      </c>
      <c r="H46" s="2">
        <v>9</v>
      </c>
      <c r="I46" t="s">
        <v>33</v>
      </c>
      <c r="J46" t="s">
        <v>39</v>
      </c>
      <c r="K46">
        <v>4665610.6370000001</v>
      </c>
      <c r="L46">
        <v>360165.05099999998</v>
      </c>
      <c r="M46">
        <v>1.2370000000000001</v>
      </c>
    </row>
    <row r="47" spans="1:14" x14ac:dyDescent="0.25">
      <c r="A47" t="s">
        <v>28</v>
      </c>
      <c r="B47">
        <v>23</v>
      </c>
      <c r="C47" t="s">
        <v>29</v>
      </c>
      <c r="D47">
        <v>2019</v>
      </c>
      <c r="E47">
        <v>31</v>
      </c>
      <c r="F47">
        <v>93</v>
      </c>
      <c r="G47" t="s">
        <v>7</v>
      </c>
      <c r="H47" s="2">
        <v>9</v>
      </c>
      <c r="I47" t="s">
        <v>33</v>
      </c>
      <c r="J47" t="s">
        <v>39</v>
      </c>
      <c r="K47">
        <v>4665608.0159999998</v>
      </c>
      <c r="L47">
        <v>360164.18800000002</v>
      </c>
      <c r="M47">
        <v>1.208</v>
      </c>
    </row>
    <row r="48" spans="1:14" x14ac:dyDescent="0.25">
      <c r="A48" t="s">
        <v>28</v>
      </c>
      <c r="B48">
        <v>23</v>
      </c>
      <c r="C48" t="s">
        <v>29</v>
      </c>
      <c r="D48">
        <v>2019</v>
      </c>
      <c r="E48">
        <v>31</v>
      </c>
      <c r="F48">
        <v>94</v>
      </c>
      <c r="G48" t="s">
        <v>7</v>
      </c>
      <c r="H48" s="2">
        <v>9</v>
      </c>
      <c r="I48" t="s">
        <v>33</v>
      </c>
      <c r="J48" t="s">
        <v>39</v>
      </c>
      <c r="K48">
        <v>4665602.6229999997</v>
      </c>
      <c r="L48">
        <v>360162.299</v>
      </c>
      <c r="M48">
        <v>1.24</v>
      </c>
    </row>
    <row r="49" spans="1:13" x14ac:dyDescent="0.25">
      <c r="A49" t="s">
        <v>28</v>
      </c>
      <c r="B49">
        <v>23</v>
      </c>
      <c r="C49" t="s">
        <v>29</v>
      </c>
      <c r="D49">
        <v>2019</v>
      </c>
      <c r="E49">
        <v>33</v>
      </c>
      <c r="F49">
        <v>96</v>
      </c>
      <c r="G49" t="s">
        <v>16</v>
      </c>
      <c r="H49" s="2">
        <v>4</v>
      </c>
      <c r="I49" t="s">
        <v>33</v>
      </c>
      <c r="J49" t="s">
        <v>39</v>
      </c>
      <c r="K49">
        <v>4665636.0250000004</v>
      </c>
      <c r="L49">
        <v>360147.14299999998</v>
      </c>
      <c r="M49">
        <v>1.2030000000000001</v>
      </c>
    </row>
    <row r="50" spans="1:13" x14ac:dyDescent="0.25">
      <c r="A50" t="s">
        <v>28</v>
      </c>
      <c r="B50">
        <v>23</v>
      </c>
      <c r="C50" t="s">
        <v>29</v>
      </c>
      <c r="D50">
        <v>2019</v>
      </c>
      <c r="E50">
        <v>33</v>
      </c>
      <c r="F50">
        <v>97</v>
      </c>
      <c r="G50" t="s">
        <v>16</v>
      </c>
      <c r="H50" s="2">
        <v>4</v>
      </c>
      <c r="I50" t="s">
        <v>33</v>
      </c>
      <c r="J50" t="s">
        <v>39</v>
      </c>
      <c r="K50">
        <v>4665632.8329999996</v>
      </c>
      <c r="L50">
        <v>360136.03200000001</v>
      </c>
      <c r="M50">
        <v>1.208</v>
      </c>
    </row>
    <row r="51" spans="1:13" x14ac:dyDescent="0.25">
      <c r="A51" t="s">
        <v>28</v>
      </c>
      <c r="B51">
        <v>23</v>
      </c>
      <c r="C51" t="s">
        <v>29</v>
      </c>
      <c r="D51">
        <v>2019</v>
      </c>
      <c r="E51">
        <v>34</v>
      </c>
      <c r="F51">
        <v>98</v>
      </c>
      <c r="G51" t="s">
        <v>11</v>
      </c>
      <c r="H51" s="2">
        <v>6</v>
      </c>
      <c r="I51" t="s">
        <v>33</v>
      </c>
      <c r="J51" t="s">
        <v>39</v>
      </c>
      <c r="K51">
        <v>4665632.091</v>
      </c>
      <c r="L51">
        <v>360134.19799999997</v>
      </c>
      <c r="M51">
        <v>1.2150000000000001</v>
      </c>
    </row>
    <row r="52" spans="1:13" x14ac:dyDescent="0.25">
      <c r="A52" t="s">
        <v>28</v>
      </c>
      <c r="B52">
        <v>23</v>
      </c>
      <c r="C52" t="s">
        <v>29</v>
      </c>
      <c r="D52">
        <v>2019</v>
      </c>
      <c r="E52">
        <v>34</v>
      </c>
      <c r="F52">
        <v>99</v>
      </c>
      <c r="G52" t="s">
        <v>11</v>
      </c>
      <c r="H52" s="2">
        <v>6</v>
      </c>
      <c r="I52" t="s">
        <v>33</v>
      </c>
      <c r="J52" t="s">
        <v>39</v>
      </c>
      <c r="K52">
        <v>4665631.8130000001</v>
      </c>
      <c r="L52">
        <v>360133.03200000001</v>
      </c>
      <c r="M52">
        <v>1.198</v>
      </c>
    </row>
    <row r="53" spans="1:13" x14ac:dyDescent="0.25">
      <c r="A53" t="s">
        <v>28</v>
      </c>
      <c r="B53">
        <v>23</v>
      </c>
      <c r="C53" t="s">
        <v>29</v>
      </c>
      <c r="D53">
        <v>2019</v>
      </c>
      <c r="E53">
        <v>35</v>
      </c>
      <c r="F53">
        <v>100</v>
      </c>
      <c r="G53" t="s">
        <v>16</v>
      </c>
      <c r="H53" s="2">
        <v>4</v>
      </c>
      <c r="I53" t="s">
        <v>33</v>
      </c>
      <c r="J53" t="s">
        <v>39</v>
      </c>
      <c r="K53">
        <v>4665630.9380000001</v>
      </c>
      <c r="L53">
        <v>360131</v>
      </c>
      <c r="M53">
        <v>1.2050000000000001</v>
      </c>
    </row>
    <row r="54" spans="1:13" x14ac:dyDescent="0.25">
      <c r="A54" t="s">
        <v>28</v>
      </c>
      <c r="B54">
        <v>23</v>
      </c>
      <c r="C54" t="s">
        <v>29</v>
      </c>
      <c r="D54">
        <v>2019</v>
      </c>
      <c r="E54">
        <v>35</v>
      </c>
      <c r="F54">
        <v>101</v>
      </c>
      <c r="G54" t="s">
        <v>16</v>
      </c>
      <c r="H54" s="2">
        <v>4</v>
      </c>
      <c r="I54" t="s">
        <v>33</v>
      </c>
      <c r="J54" t="s">
        <v>39</v>
      </c>
      <c r="K54">
        <v>4665628.7620000001</v>
      </c>
      <c r="L54">
        <v>360124.66800000001</v>
      </c>
      <c r="M54">
        <v>1.2</v>
      </c>
    </row>
    <row r="55" spans="1:13" x14ac:dyDescent="0.25">
      <c r="A55" t="s">
        <v>28</v>
      </c>
      <c r="B55">
        <v>23</v>
      </c>
      <c r="C55" t="s">
        <v>29</v>
      </c>
      <c r="D55">
        <v>2019</v>
      </c>
      <c r="E55">
        <v>37</v>
      </c>
      <c r="F55">
        <v>103</v>
      </c>
      <c r="G55" t="s">
        <v>16</v>
      </c>
      <c r="H55" s="2">
        <v>4</v>
      </c>
      <c r="I55" t="s">
        <v>33</v>
      </c>
      <c r="J55" t="s">
        <v>39</v>
      </c>
      <c r="K55">
        <v>4665628.8339999998</v>
      </c>
      <c r="L55">
        <v>360121.027</v>
      </c>
      <c r="M55">
        <v>1.2170000000000001</v>
      </c>
    </row>
    <row r="56" spans="1:13" x14ac:dyDescent="0.25">
      <c r="A56" t="s">
        <v>28</v>
      </c>
      <c r="B56">
        <v>23</v>
      </c>
      <c r="C56" t="s">
        <v>29</v>
      </c>
      <c r="D56">
        <v>2019</v>
      </c>
      <c r="E56">
        <v>37</v>
      </c>
      <c r="F56">
        <v>104</v>
      </c>
      <c r="G56" t="s">
        <v>16</v>
      </c>
      <c r="H56" s="2">
        <v>4</v>
      </c>
      <c r="I56" t="s">
        <v>33</v>
      </c>
      <c r="J56" t="s">
        <v>39</v>
      </c>
      <c r="K56">
        <v>4665630.375</v>
      </c>
      <c r="L56">
        <v>360114.49300000002</v>
      </c>
      <c r="M56">
        <v>1.304</v>
      </c>
    </row>
    <row r="57" spans="1:13" x14ac:dyDescent="0.25">
      <c r="A57" t="s">
        <v>28</v>
      </c>
      <c r="B57">
        <v>23</v>
      </c>
      <c r="C57" t="s">
        <v>29</v>
      </c>
      <c r="D57">
        <v>2019</v>
      </c>
      <c r="E57">
        <v>38</v>
      </c>
      <c r="F57">
        <v>105</v>
      </c>
      <c r="G57" t="s">
        <v>14</v>
      </c>
      <c r="H57" s="2">
        <v>5</v>
      </c>
      <c r="I57" t="s">
        <v>33</v>
      </c>
      <c r="J57" t="s">
        <v>39</v>
      </c>
      <c r="K57">
        <v>4665630.7039999999</v>
      </c>
      <c r="L57">
        <v>360112.59</v>
      </c>
      <c r="M57">
        <v>1.2729999999999999</v>
      </c>
    </row>
    <row r="58" spans="1:13" x14ac:dyDescent="0.25">
      <c r="A58" t="s">
        <v>28</v>
      </c>
      <c r="B58">
        <v>23</v>
      </c>
      <c r="C58" t="s">
        <v>29</v>
      </c>
      <c r="D58">
        <v>2019</v>
      </c>
      <c r="E58">
        <v>38</v>
      </c>
      <c r="F58">
        <v>106</v>
      </c>
      <c r="G58" t="s">
        <v>14</v>
      </c>
      <c r="H58" s="2">
        <v>5</v>
      </c>
      <c r="I58" t="s">
        <v>33</v>
      </c>
      <c r="J58" t="s">
        <v>39</v>
      </c>
      <c r="K58">
        <v>4665633.3569999998</v>
      </c>
      <c r="L58">
        <v>360104.15399999998</v>
      </c>
      <c r="M58">
        <v>1.2509999999999999</v>
      </c>
    </row>
    <row r="59" spans="1:13" x14ac:dyDescent="0.25">
      <c r="A59" t="s">
        <v>28</v>
      </c>
      <c r="B59">
        <v>23</v>
      </c>
      <c r="C59" t="s">
        <v>29</v>
      </c>
      <c r="D59">
        <v>2019</v>
      </c>
      <c r="E59">
        <v>39</v>
      </c>
      <c r="F59">
        <v>107</v>
      </c>
      <c r="G59" t="s">
        <v>17</v>
      </c>
      <c r="H59" s="2">
        <v>3</v>
      </c>
      <c r="I59" t="s">
        <v>33</v>
      </c>
      <c r="J59" t="s">
        <v>39</v>
      </c>
      <c r="K59">
        <v>4665634.0060000001</v>
      </c>
      <c r="L59">
        <v>360102.03399999999</v>
      </c>
      <c r="M59">
        <v>1.2969999999999999</v>
      </c>
    </row>
    <row r="60" spans="1:13" x14ac:dyDescent="0.25">
      <c r="A60" t="s">
        <v>28</v>
      </c>
      <c r="B60">
        <v>23</v>
      </c>
      <c r="C60" t="s">
        <v>29</v>
      </c>
      <c r="D60">
        <v>2019</v>
      </c>
      <c r="E60">
        <v>39</v>
      </c>
      <c r="F60">
        <v>108</v>
      </c>
      <c r="G60" t="s">
        <v>17</v>
      </c>
      <c r="H60" s="2">
        <v>3</v>
      </c>
      <c r="I60" t="s">
        <v>33</v>
      </c>
      <c r="J60" t="s">
        <v>39</v>
      </c>
      <c r="K60">
        <v>4665632.9589999998</v>
      </c>
      <c r="L60">
        <v>360096.88900000002</v>
      </c>
      <c r="M60">
        <v>1.292</v>
      </c>
    </row>
    <row r="61" spans="1:13" x14ac:dyDescent="0.25">
      <c r="A61" t="s">
        <v>28</v>
      </c>
      <c r="B61">
        <v>23</v>
      </c>
      <c r="C61" t="s">
        <v>29</v>
      </c>
      <c r="D61">
        <v>2019</v>
      </c>
      <c r="E61">
        <v>40</v>
      </c>
      <c r="F61">
        <v>109</v>
      </c>
      <c r="G61" t="s">
        <v>11</v>
      </c>
      <c r="H61" s="2">
        <v>6</v>
      </c>
      <c r="I61" t="s">
        <v>33</v>
      </c>
      <c r="J61" t="s">
        <v>39</v>
      </c>
      <c r="K61">
        <v>4665632.83</v>
      </c>
      <c r="L61">
        <v>360095.02299999999</v>
      </c>
      <c r="M61">
        <v>1.2889999999999999</v>
      </c>
    </row>
    <row r="62" spans="1:13" x14ac:dyDescent="0.25">
      <c r="A62" t="s">
        <v>28</v>
      </c>
      <c r="B62">
        <v>23</v>
      </c>
      <c r="C62" t="s">
        <v>29</v>
      </c>
      <c r="D62">
        <v>2019</v>
      </c>
      <c r="E62">
        <v>40</v>
      </c>
      <c r="F62">
        <v>110</v>
      </c>
      <c r="G62" t="s">
        <v>11</v>
      </c>
      <c r="H62" s="2">
        <v>6</v>
      </c>
      <c r="I62" t="s">
        <v>33</v>
      </c>
      <c r="J62" t="s">
        <v>39</v>
      </c>
      <c r="K62">
        <v>4665636.6679999996</v>
      </c>
      <c r="L62">
        <v>360095.94400000002</v>
      </c>
      <c r="M62">
        <v>1.3260000000000001</v>
      </c>
    </row>
    <row r="63" spans="1:13" x14ac:dyDescent="0.25">
      <c r="A63" t="s">
        <v>28</v>
      </c>
      <c r="B63">
        <v>23</v>
      </c>
      <c r="C63" t="s">
        <v>29</v>
      </c>
      <c r="D63">
        <v>2019</v>
      </c>
      <c r="E63">
        <v>41</v>
      </c>
      <c r="F63">
        <v>111</v>
      </c>
      <c r="G63" t="s">
        <v>17</v>
      </c>
      <c r="H63" s="2">
        <v>3</v>
      </c>
      <c r="I63" t="s">
        <v>33</v>
      </c>
      <c r="J63" t="s">
        <v>39</v>
      </c>
      <c r="K63">
        <v>4665636.84</v>
      </c>
      <c r="L63">
        <v>360097.848</v>
      </c>
      <c r="M63">
        <v>1.3140000000000001</v>
      </c>
    </row>
    <row r="64" spans="1:13" x14ac:dyDescent="0.25">
      <c r="A64" t="s">
        <v>28</v>
      </c>
      <c r="B64">
        <v>23</v>
      </c>
      <c r="C64" t="s">
        <v>29</v>
      </c>
      <c r="D64">
        <v>2019</v>
      </c>
      <c r="E64">
        <v>41</v>
      </c>
      <c r="F64">
        <v>112</v>
      </c>
      <c r="G64" t="s">
        <v>17</v>
      </c>
      <c r="H64" s="2">
        <v>3</v>
      </c>
      <c r="I64" t="s">
        <v>33</v>
      </c>
      <c r="J64" t="s">
        <v>39</v>
      </c>
      <c r="K64">
        <v>4665639.0530000003</v>
      </c>
      <c r="L64">
        <v>360109.49</v>
      </c>
      <c r="M64">
        <v>1.325</v>
      </c>
    </row>
    <row r="65" spans="1:13" x14ac:dyDescent="0.25">
      <c r="A65" t="s">
        <v>28</v>
      </c>
      <c r="B65">
        <v>23</v>
      </c>
      <c r="C65" t="s">
        <v>29</v>
      </c>
      <c r="D65">
        <v>2019</v>
      </c>
      <c r="E65">
        <v>42</v>
      </c>
      <c r="F65">
        <v>113</v>
      </c>
      <c r="G65" t="s">
        <v>16</v>
      </c>
      <c r="H65" s="2">
        <v>4</v>
      </c>
      <c r="I65" t="s">
        <v>33</v>
      </c>
      <c r="J65" t="s">
        <v>39</v>
      </c>
      <c r="K65">
        <v>4665639.2309999997</v>
      </c>
      <c r="L65">
        <v>360110.54599999997</v>
      </c>
      <c r="M65">
        <v>1.3049999999999999</v>
      </c>
    </row>
    <row r="66" spans="1:13" x14ac:dyDescent="0.25">
      <c r="A66" t="s">
        <v>28</v>
      </c>
      <c r="B66">
        <v>23</v>
      </c>
      <c r="C66" t="s">
        <v>29</v>
      </c>
      <c r="D66">
        <v>2019</v>
      </c>
      <c r="E66">
        <v>42</v>
      </c>
      <c r="F66">
        <v>114</v>
      </c>
      <c r="G66" t="s">
        <v>16</v>
      </c>
      <c r="H66" s="2">
        <v>4</v>
      </c>
      <c r="I66" t="s">
        <v>33</v>
      </c>
      <c r="J66" t="s">
        <v>39</v>
      </c>
      <c r="K66">
        <v>4665639.9819999998</v>
      </c>
      <c r="L66">
        <v>360112.83199999999</v>
      </c>
      <c r="M66">
        <v>1.2909999999999999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D1A31-D2E5-4323-A0FA-116A794BBD15}">
  <dimension ref="A1:N9"/>
  <sheetViews>
    <sheetView workbookViewId="0">
      <selection activeCell="H13" sqref="H13"/>
    </sheetView>
  </sheetViews>
  <sheetFormatPr defaultRowHeight="15" x14ac:dyDescent="0.25"/>
  <sheetData>
    <row r="1" spans="1:14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0</v>
      </c>
      <c r="I1" t="s">
        <v>25</v>
      </c>
      <c r="J1" t="s">
        <v>26</v>
      </c>
      <c r="K1" t="s">
        <v>1</v>
      </c>
      <c r="L1" t="s">
        <v>2</v>
      </c>
      <c r="M1" t="s">
        <v>27</v>
      </c>
      <c r="N1" t="s">
        <v>3</v>
      </c>
    </row>
    <row r="2" spans="1:14" x14ac:dyDescent="0.25">
      <c r="A2" t="s">
        <v>28</v>
      </c>
      <c r="B2">
        <v>23</v>
      </c>
      <c r="C2" t="s">
        <v>29</v>
      </c>
      <c r="D2">
        <v>2019</v>
      </c>
      <c r="E2">
        <v>1</v>
      </c>
      <c r="F2">
        <v>1</v>
      </c>
      <c r="G2" t="s">
        <v>4</v>
      </c>
      <c r="H2" s="2">
        <v>7</v>
      </c>
      <c r="I2" t="s">
        <v>33</v>
      </c>
      <c r="J2" t="s">
        <v>48</v>
      </c>
      <c r="K2">
        <v>4665576.6919999998</v>
      </c>
      <c r="L2">
        <v>360019.66200000001</v>
      </c>
      <c r="M2">
        <v>1.3959999999999999</v>
      </c>
    </row>
    <row r="3" spans="1:14" x14ac:dyDescent="0.25">
      <c r="A3" t="s">
        <v>28</v>
      </c>
      <c r="B3">
        <v>23</v>
      </c>
      <c r="C3" t="s">
        <v>29</v>
      </c>
      <c r="D3">
        <v>2019</v>
      </c>
      <c r="E3">
        <v>4</v>
      </c>
      <c r="F3">
        <v>6</v>
      </c>
      <c r="G3" t="s">
        <v>6</v>
      </c>
      <c r="H3" s="2">
        <v>14</v>
      </c>
      <c r="I3" t="s">
        <v>33</v>
      </c>
      <c r="J3" t="s">
        <v>48</v>
      </c>
      <c r="K3">
        <v>4665556.1440000003</v>
      </c>
      <c r="L3">
        <v>360010.897</v>
      </c>
      <c r="M3">
        <v>1.421</v>
      </c>
    </row>
    <row r="4" spans="1:14" x14ac:dyDescent="0.25">
      <c r="A4" t="s">
        <v>28</v>
      </c>
      <c r="B4">
        <v>23</v>
      </c>
      <c r="C4" t="s">
        <v>29</v>
      </c>
      <c r="D4">
        <v>2019</v>
      </c>
      <c r="E4">
        <v>13</v>
      </c>
      <c r="F4">
        <v>27</v>
      </c>
      <c r="G4" t="s">
        <v>4</v>
      </c>
      <c r="H4" s="2">
        <v>7</v>
      </c>
      <c r="I4" t="s">
        <v>33</v>
      </c>
      <c r="J4" t="s">
        <v>48</v>
      </c>
      <c r="K4">
        <v>4665594.1100000003</v>
      </c>
      <c r="L4">
        <v>360098.90600000002</v>
      </c>
      <c r="M4">
        <v>1.3180000000000001</v>
      </c>
    </row>
    <row r="5" spans="1:14" x14ac:dyDescent="0.25">
      <c r="A5" t="s">
        <v>28</v>
      </c>
      <c r="B5">
        <v>23</v>
      </c>
      <c r="C5" t="s">
        <v>29</v>
      </c>
      <c r="D5">
        <v>2019</v>
      </c>
      <c r="E5">
        <v>14</v>
      </c>
      <c r="F5">
        <v>28</v>
      </c>
      <c r="G5" t="s">
        <v>11</v>
      </c>
      <c r="H5" s="2">
        <v>6</v>
      </c>
      <c r="I5" t="s">
        <v>33</v>
      </c>
      <c r="J5" t="s">
        <v>48</v>
      </c>
      <c r="K5">
        <v>4665593.6469999999</v>
      </c>
      <c r="L5">
        <v>360096.78200000001</v>
      </c>
      <c r="M5">
        <v>1.2749999999999999</v>
      </c>
    </row>
    <row r="6" spans="1:14" x14ac:dyDescent="0.25">
      <c r="A6" t="s">
        <v>28</v>
      </c>
      <c r="B6">
        <v>23</v>
      </c>
      <c r="C6" t="s">
        <v>29</v>
      </c>
      <c r="D6">
        <v>2019</v>
      </c>
      <c r="E6">
        <v>17</v>
      </c>
      <c r="F6">
        <v>33</v>
      </c>
      <c r="G6" t="s">
        <v>7</v>
      </c>
      <c r="H6" s="2">
        <v>9</v>
      </c>
      <c r="I6" t="s">
        <v>33</v>
      </c>
      <c r="J6" t="s">
        <v>48</v>
      </c>
      <c r="K6">
        <v>4665588.9550000001</v>
      </c>
      <c r="L6">
        <v>360082.2</v>
      </c>
      <c r="M6">
        <v>1.1519999999999999</v>
      </c>
    </row>
    <row r="7" spans="1:14" x14ac:dyDescent="0.25">
      <c r="A7" t="s">
        <v>28</v>
      </c>
      <c r="B7">
        <v>23</v>
      </c>
      <c r="C7" t="s">
        <v>29</v>
      </c>
      <c r="D7">
        <v>2019</v>
      </c>
      <c r="E7">
        <v>30</v>
      </c>
      <c r="F7">
        <v>92</v>
      </c>
      <c r="G7" t="s">
        <v>11</v>
      </c>
      <c r="H7" s="2">
        <v>6</v>
      </c>
      <c r="I7" t="s">
        <v>33</v>
      </c>
      <c r="J7" t="s">
        <v>48</v>
      </c>
      <c r="K7">
        <v>4665609.5999999996</v>
      </c>
      <c r="L7">
        <v>360164.80599999998</v>
      </c>
      <c r="M7">
        <v>1.1759999999999999</v>
      </c>
    </row>
    <row r="8" spans="1:14" x14ac:dyDescent="0.25">
      <c r="A8" t="s">
        <v>28</v>
      </c>
      <c r="B8">
        <v>23</v>
      </c>
      <c r="C8" t="s">
        <v>29</v>
      </c>
      <c r="D8">
        <v>2019</v>
      </c>
      <c r="E8">
        <v>32</v>
      </c>
      <c r="F8">
        <v>95</v>
      </c>
      <c r="G8" t="s">
        <v>11</v>
      </c>
      <c r="H8" s="2">
        <v>6</v>
      </c>
      <c r="I8" t="s">
        <v>33</v>
      </c>
      <c r="J8" t="s">
        <v>48</v>
      </c>
      <c r="K8">
        <v>4665635.9579999996</v>
      </c>
      <c r="L8">
        <v>360149.22</v>
      </c>
      <c r="M8">
        <v>1.1970000000000001</v>
      </c>
    </row>
    <row r="9" spans="1:14" x14ac:dyDescent="0.25">
      <c r="A9" t="s">
        <v>28</v>
      </c>
      <c r="B9">
        <v>23</v>
      </c>
      <c r="C9" t="s">
        <v>29</v>
      </c>
      <c r="D9">
        <v>2019</v>
      </c>
      <c r="E9">
        <v>36</v>
      </c>
      <c r="F9">
        <v>102</v>
      </c>
      <c r="G9" t="s">
        <v>11</v>
      </c>
      <c r="H9" s="2">
        <v>6</v>
      </c>
      <c r="I9" t="s">
        <v>33</v>
      </c>
      <c r="J9" t="s">
        <v>48</v>
      </c>
      <c r="K9">
        <v>4665627.983</v>
      </c>
      <c r="L9">
        <v>360123.071</v>
      </c>
      <c r="M9">
        <v>1.1339999999999999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DF281-EC7C-4916-8035-93D07D5CF0BA}">
  <dimension ref="A1:N42"/>
  <sheetViews>
    <sheetView topLeftCell="A34" workbookViewId="0">
      <selection activeCell="N42" sqref="N42"/>
    </sheetView>
  </sheetViews>
  <sheetFormatPr defaultRowHeight="15" x14ac:dyDescent="0.25"/>
  <cols>
    <col min="11" max="11" width="14.5703125" customWidth="1"/>
    <col min="12" max="12" width="13.140625" customWidth="1"/>
  </cols>
  <sheetData>
    <row r="1" spans="1:14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0</v>
      </c>
      <c r="I1" t="s">
        <v>25</v>
      </c>
      <c r="J1" t="s">
        <v>26</v>
      </c>
      <c r="K1" t="s">
        <v>1</v>
      </c>
      <c r="L1" t="s">
        <v>2</v>
      </c>
      <c r="M1" t="s">
        <v>27</v>
      </c>
      <c r="N1" t="s">
        <v>3</v>
      </c>
    </row>
    <row r="2" spans="1:14" x14ac:dyDescent="0.25">
      <c r="A2" t="s">
        <v>28</v>
      </c>
      <c r="B2">
        <v>23</v>
      </c>
      <c r="C2" t="s">
        <v>29</v>
      </c>
      <c r="D2">
        <v>2019</v>
      </c>
      <c r="E2">
        <v>19</v>
      </c>
      <c r="F2">
        <v>37</v>
      </c>
      <c r="G2" t="s">
        <v>12</v>
      </c>
      <c r="H2" s="2">
        <v>13</v>
      </c>
      <c r="I2" t="s">
        <v>33</v>
      </c>
      <c r="J2" t="s">
        <v>36</v>
      </c>
      <c r="K2">
        <v>4665593.28</v>
      </c>
      <c r="L2">
        <v>360118.55</v>
      </c>
      <c r="M2">
        <v>1.079</v>
      </c>
    </row>
    <row r="3" spans="1:14" x14ac:dyDescent="0.25">
      <c r="A3" t="s">
        <v>28</v>
      </c>
      <c r="B3">
        <v>23</v>
      </c>
      <c r="C3" t="s">
        <v>29</v>
      </c>
      <c r="D3">
        <v>2019</v>
      </c>
      <c r="E3">
        <v>19</v>
      </c>
      <c r="F3">
        <v>38</v>
      </c>
      <c r="G3" t="s">
        <v>12</v>
      </c>
      <c r="H3" s="2">
        <v>13</v>
      </c>
      <c r="I3" t="s">
        <v>33</v>
      </c>
      <c r="J3" t="s">
        <v>36</v>
      </c>
      <c r="K3">
        <v>4665592.3969999999</v>
      </c>
      <c r="L3">
        <v>360122.14500000002</v>
      </c>
      <c r="M3">
        <v>0.63600000000000001</v>
      </c>
    </row>
    <row r="4" spans="1:14" x14ac:dyDescent="0.25">
      <c r="A4" t="s">
        <v>28</v>
      </c>
      <c r="B4">
        <v>23</v>
      </c>
      <c r="C4" t="s">
        <v>29</v>
      </c>
      <c r="D4">
        <v>2019</v>
      </c>
      <c r="E4">
        <v>19</v>
      </c>
      <c r="F4">
        <v>39</v>
      </c>
      <c r="G4" t="s">
        <v>12</v>
      </c>
      <c r="H4" s="2">
        <v>13</v>
      </c>
      <c r="I4" t="s">
        <v>33</v>
      </c>
      <c r="J4" t="s">
        <v>36</v>
      </c>
      <c r="K4">
        <v>4665596.443</v>
      </c>
      <c r="L4">
        <v>360147.73599999998</v>
      </c>
      <c r="M4">
        <v>0.79200000000000004</v>
      </c>
    </row>
    <row r="5" spans="1:14" x14ac:dyDescent="0.25">
      <c r="A5" t="s">
        <v>28</v>
      </c>
      <c r="B5">
        <v>23</v>
      </c>
      <c r="C5" t="s">
        <v>29</v>
      </c>
      <c r="D5">
        <v>2019</v>
      </c>
      <c r="E5">
        <v>19</v>
      </c>
      <c r="F5">
        <v>40</v>
      </c>
      <c r="G5" t="s">
        <v>12</v>
      </c>
      <c r="H5" s="2">
        <v>13</v>
      </c>
      <c r="I5" t="s">
        <v>33</v>
      </c>
      <c r="J5" t="s">
        <v>36</v>
      </c>
      <c r="K5">
        <v>4665598.1040000003</v>
      </c>
      <c r="L5">
        <v>360147.26299999998</v>
      </c>
      <c r="M5">
        <v>1.1719999999999999</v>
      </c>
    </row>
    <row r="6" spans="1:14" x14ac:dyDescent="0.25">
      <c r="A6" t="s">
        <v>28</v>
      </c>
      <c r="B6">
        <v>23</v>
      </c>
      <c r="C6" t="s">
        <v>29</v>
      </c>
      <c r="D6">
        <v>2019</v>
      </c>
      <c r="E6">
        <v>19</v>
      </c>
      <c r="F6">
        <v>41</v>
      </c>
      <c r="G6" t="s">
        <v>12</v>
      </c>
      <c r="H6" s="2">
        <v>13</v>
      </c>
      <c r="I6" t="s">
        <v>33</v>
      </c>
      <c r="J6" t="s">
        <v>36</v>
      </c>
      <c r="K6">
        <v>4665594.5880000005</v>
      </c>
      <c r="L6">
        <v>360118.52</v>
      </c>
      <c r="M6">
        <v>1.19</v>
      </c>
    </row>
    <row r="7" spans="1:14" x14ac:dyDescent="0.25">
      <c r="A7" t="s">
        <v>28</v>
      </c>
      <c r="B7">
        <v>23</v>
      </c>
      <c r="C7" t="s">
        <v>29</v>
      </c>
      <c r="D7">
        <v>2019</v>
      </c>
      <c r="E7">
        <v>20</v>
      </c>
      <c r="F7">
        <v>42</v>
      </c>
      <c r="G7" t="s">
        <v>13</v>
      </c>
      <c r="H7">
        <v>21</v>
      </c>
      <c r="I7" t="s">
        <v>34</v>
      </c>
      <c r="J7" t="s">
        <v>36</v>
      </c>
      <c r="K7">
        <v>4665592.8109999998</v>
      </c>
      <c r="L7">
        <v>360119.88299999997</v>
      </c>
      <c r="M7">
        <v>0.60899999999999999</v>
      </c>
    </row>
    <row r="8" spans="1:14" x14ac:dyDescent="0.25">
      <c r="A8" t="s">
        <v>28</v>
      </c>
      <c r="B8">
        <v>23</v>
      </c>
      <c r="C8" t="s">
        <v>29</v>
      </c>
      <c r="D8">
        <v>2019</v>
      </c>
      <c r="E8">
        <v>20</v>
      </c>
      <c r="F8">
        <v>43</v>
      </c>
      <c r="G8" t="s">
        <v>13</v>
      </c>
      <c r="H8">
        <v>21</v>
      </c>
      <c r="I8" t="s">
        <v>34</v>
      </c>
      <c r="J8" t="s">
        <v>36</v>
      </c>
      <c r="K8">
        <v>4665592.5999999996</v>
      </c>
      <c r="L8">
        <v>360124.484</v>
      </c>
      <c r="M8">
        <v>0.56799999999999995</v>
      </c>
    </row>
    <row r="9" spans="1:14" x14ac:dyDescent="0.25">
      <c r="A9" t="s">
        <v>28</v>
      </c>
      <c r="B9">
        <v>23</v>
      </c>
      <c r="C9" t="s">
        <v>29</v>
      </c>
      <c r="D9">
        <v>2019</v>
      </c>
      <c r="E9">
        <v>20</v>
      </c>
      <c r="F9">
        <v>44</v>
      </c>
      <c r="G9" t="s">
        <v>13</v>
      </c>
      <c r="H9">
        <v>21</v>
      </c>
      <c r="I9" t="s">
        <v>34</v>
      </c>
      <c r="J9" t="s">
        <v>36</v>
      </c>
      <c r="K9">
        <v>4665595.318</v>
      </c>
      <c r="L9">
        <v>360142.8</v>
      </c>
      <c r="M9">
        <v>0.64900000000000002</v>
      </c>
    </row>
    <row r="10" spans="1:14" x14ac:dyDescent="0.25">
      <c r="A10" t="s">
        <v>28</v>
      </c>
      <c r="B10">
        <v>23</v>
      </c>
      <c r="C10" t="s">
        <v>29</v>
      </c>
      <c r="D10">
        <v>2019</v>
      </c>
      <c r="E10">
        <v>20</v>
      </c>
      <c r="F10">
        <v>45</v>
      </c>
      <c r="G10" t="s">
        <v>13</v>
      </c>
      <c r="H10">
        <v>21</v>
      </c>
      <c r="I10" t="s">
        <v>34</v>
      </c>
      <c r="J10" t="s">
        <v>36</v>
      </c>
      <c r="K10">
        <v>4665596.21</v>
      </c>
      <c r="L10">
        <v>360147.07299999997</v>
      </c>
      <c r="M10">
        <v>0.755</v>
      </c>
    </row>
    <row r="11" spans="1:14" x14ac:dyDescent="0.25">
      <c r="A11" t="s">
        <v>28</v>
      </c>
      <c r="B11">
        <v>23</v>
      </c>
      <c r="C11" t="s">
        <v>29</v>
      </c>
      <c r="D11">
        <v>2019</v>
      </c>
      <c r="E11">
        <v>20</v>
      </c>
      <c r="F11">
        <v>48</v>
      </c>
      <c r="G11" t="s">
        <v>13</v>
      </c>
      <c r="H11">
        <v>21</v>
      </c>
      <c r="I11" t="s">
        <v>34</v>
      </c>
      <c r="J11" t="s">
        <v>36</v>
      </c>
      <c r="K11">
        <v>4665595.0120000001</v>
      </c>
      <c r="L11">
        <v>360147.41899999999</v>
      </c>
      <c r="M11">
        <v>0.78700000000000003</v>
      </c>
    </row>
    <row r="12" spans="1:14" x14ac:dyDescent="0.25">
      <c r="A12" t="s">
        <v>28</v>
      </c>
      <c r="B12">
        <v>23</v>
      </c>
      <c r="C12" t="s">
        <v>29</v>
      </c>
      <c r="D12">
        <v>2019</v>
      </c>
      <c r="E12">
        <v>20</v>
      </c>
      <c r="F12">
        <v>49</v>
      </c>
      <c r="G12" t="s">
        <v>13</v>
      </c>
      <c r="H12">
        <v>21</v>
      </c>
      <c r="I12" t="s">
        <v>34</v>
      </c>
      <c r="J12" t="s">
        <v>36</v>
      </c>
      <c r="K12">
        <v>4665595.4720000001</v>
      </c>
      <c r="L12">
        <v>360146.53100000002</v>
      </c>
      <c r="M12">
        <v>0.161</v>
      </c>
    </row>
    <row r="13" spans="1:14" x14ac:dyDescent="0.25">
      <c r="A13" t="s">
        <v>28</v>
      </c>
      <c r="B13">
        <v>23</v>
      </c>
      <c r="C13" t="s">
        <v>29</v>
      </c>
      <c r="D13">
        <v>2019</v>
      </c>
      <c r="E13">
        <v>20</v>
      </c>
      <c r="F13">
        <v>50</v>
      </c>
      <c r="G13" t="s">
        <v>13</v>
      </c>
      <c r="H13">
        <v>21</v>
      </c>
      <c r="I13" t="s">
        <v>34</v>
      </c>
      <c r="J13" t="s">
        <v>36</v>
      </c>
      <c r="K13">
        <v>4665593.7709999997</v>
      </c>
      <c r="L13">
        <v>360136.05099999998</v>
      </c>
      <c r="M13">
        <v>5.0000000000000001E-3</v>
      </c>
    </row>
    <row r="14" spans="1:14" x14ac:dyDescent="0.25">
      <c r="A14" t="s">
        <v>28</v>
      </c>
      <c r="B14">
        <v>23</v>
      </c>
      <c r="C14" t="s">
        <v>29</v>
      </c>
      <c r="D14">
        <v>2019</v>
      </c>
      <c r="E14">
        <v>20</v>
      </c>
      <c r="F14">
        <v>47</v>
      </c>
      <c r="G14" t="s">
        <v>13</v>
      </c>
      <c r="H14">
        <v>21</v>
      </c>
      <c r="I14" t="s">
        <v>34</v>
      </c>
      <c r="J14" t="s">
        <v>36</v>
      </c>
      <c r="K14">
        <v>4665592.9369999999</v>
      </c>
      <c r="L14">
        <v>360132.49</v>
      </c>
      <c r="M14">
        <v>0.82599999999999996</v>
      </c>
    </row>
    <row r="15" spans="1:14" x14ac:dyDescent="0.25">
      <c r="A15" t="s">
        <v>28</v>
      </c>
      <c r="B15">
        <v>23</v>
      </c>
      <c r="C15" t="s">
        <v>29</v>
      </c>
      <c r="D15">
        <v>2019</v>
      </c>
      <c r="E15">
        <v>20</v>
      </c>
      <c r="F15">
        <v>46</v>
      </c>
      <c r="G15" t="s">
        <v>13</v>
      </c>
      <c r="H15">
        <v>21</v>
      </c>
      <c r="I15" t="s">
        <v>34</v>
      </c>
      <c r="J15" t="s">
        <v>36</v>
      </c>
      <c r="K15">
        <v>4665591.6689999998</v>
      </c>
      <c r="L15">
        <v>360121.08100000001</v>
      </c>
      <c r="M15">
        <v>0.92100000000000004</v>
      </c>
    </row>
    <row r="16" spans="1:14" x14ac:dyDescent="0.25">
      <c r="A16" t="s">
        <v>28</v>
      </c>
      <c r="B16">
        <v>23</v>
      </c>
      <c r="C16" t="s">
        <v>29</v>
      </c>
      <c r="D16">
        <v>2019</v>
      </c>
      <c r="E16">
        <v>23</v>
      </c>
      <c r="F16">
        <v>55</v>
      </c>
      <c r="G16" t="s">
        <v>12</v>
      </c>
      <c r="H16" s="2">
        <v>13</v>
      </c>
      <c r="I16" t="s">
        <v>33</v>
      </c>
      <c r="J16" t="s">
        <v>36</v>
      </c>
      <c r="K16">
        <v>4665563.4680000003</v>
      </c>
      <c r="L16">
        <v>360152.22600000002</v>
      </c>
      <c r="M16">
        <v>1.048</v>
      </c>
    </row>
    <row r="17" spans="1:13" x14ac:dyDescent="0.25">
      <c r="A17" t="s">
        <v>28</v>
      </c>
      <c r="B17">
        <v>23</v>
      </c>
      <c r="C17" t="s">
        <v>29</v>
      </c>
      <c r="D17">
        <v>2019</v>
      </c>
      <c r="E17">
        <v>23</v>
      </c>
      <c r="F17">
        <v>56</v>
      </c>
      <c r="G17" t="s">
        <v>12</v>
      </c>
      <c r="H17" s="2">
        <v>13</v>
      </c>
      <c r="I17" t="s">
        <v>33</v>
      </c>
      <c r="J17" t="s">
        <v>36</v>
      </c>
      <c r="K17">
        <v>4665560.6189999999</v>
      </c>
      <c r="L17">
        <v>360152.19199999998</v>
      </c>
      <c r="M17">
        <v>1.133</v>
      </c>
    </row>
    <row r="18" spans="1:13" x14ac:dyDescent="0.25">
      <c r="A18" t="s">
        <v>28</v>
      </c>
      <c r="B18">
        <v>23</v>
      </c>
      <c r="C18" t="s">
        <v>29</v>
      </c>
      <c r="D18">
        <v>2019</v>
      </c>
      <c r="E18">
        <v>23</v>
      </c>
      <c r="F18">
        <v>57</v>
      </c>
      <c r="G18" t="s">
        <v>12</v>
      </c>
      <c r="H18" s="2">
        <v>13</v>
      </c>
      <c r="I18" t="s">
        <v>33</v>
      </c>
      <c r="J18" t="s">
        <v>36</v>
      </c>
      <c r="K18">
        <v>4665560.9079999998</v>
      </c>
      <c r="L18">
        <v>360155.64399999997</v>
      </c>
      <c r="M18">
        <v>1.194</v>
      </c>
    </row>
    <row r="19" spans="1:13" x14ac:dyDescent="0.25">
      <c r="A19" t="s">
        <v>28</v>
      </c>
      <c r="B19">
        <v>23</v>
      </c>
      <c r="C19" t="s">
        <v>29</v>
      </c>
      <c r="D19">
        <v>2019</v>
      </c>
      <c r="E19">
        <v>23</v>
      </c>
      <c r="F19">
        <v>58</v>
      </c>
      <c r="G19" t="s">
        <v>12</v>
      </c>
      <c r="H19" s="2">
        <v>13</v>
      </c>
      <c r="I19" t="s">
        <v>33</v>
      </c>
      <c r="J19" t="s">
        <v>36</v>
      </c>
      <c r="K19">
        <v>4665569.6430000002</v>
      </c>
      <c r="L19">
        <v>360154.93599999999</v>
      </c>
      <c r="M19">
        <v>0.83199999999999996</v>
      </c>
    </row>
    <row r="20" spans="1:13" x14ac:dyDescent="0.25">
      <c r="A20" t="s">
        <v>28</v>
      </c>
      <c r="B20">
        <v>23</v>
      </c>
      <c r="C20" t="s">
        <v>29</v>
      </c>
      <c r="D20">
        <v>2019</v>
      </c>
      <c r="E20">
        <v>23</v>
      </c>
      <c r="F20">
        <v>59</v>
      </c>
      <c r="G20" t="s">
        <v>12</v>
      </c>
      <c r="H20" s="2">
        <v>13</v>
      </c>
      <c r="I20" t="s">
        <v>33</v>
      </c>
      <c r="J20" t="s">
        <v>36</v>
      </c>
      <c r="K20">
        <v>4665570.07</v>
      </c>
      <c r="L20">
        <v>360153</v>
      </c>
      <c r="M20">
        <v>1.113</v>
      </c>
    </row>
    <row r="21" spans="1:13" x14ac:dyDescent="0.25">
      <c r="A21" t="s">
        <v>28</v>
      </c>
      <c r="B21">
        <v>23</v>
      </c>
      <c r="C21" t="s">
        <v>29</v>
      </c>
      <c r="D21">
        <v>2019</v>
      </c>
      <c r="E21">
        <v>24</v>
      </c>
      <c r="F21">
        <v>60</v>
      </c>
      <c r="G21" t="s">
        <v>15</v>
      </c>
      <c r="H21" s="2">
        <v>22</v>
      </c>
      <c r="I21" t="s">
        <v>49</v>
      </c>
      <c r="J21" t="s">
        <v>36</v>
      </c>
      <c r="K21">
        <v>4665561.3039999995</v>
      </c>
      <c r="L21">
        <v>360155.75</v>
      </c>
      <c r="M21">
        <v>1.07</v>
      </c>
    </row>
    <row r="22" spans="1:13" x14ac:dyDescent="0.25">
      <c r="A22" t="s">
        <v>28</v>
      </c>
      <c r="B22">
        <v>23</v>
      </c>
      <c r="C22" t="s">
        <v>29</v>
      </c>
      <c r="D22">
        <v>2019</v>
      </c>
      <c r="E22">
        <v>24</v>
      </c>
      <c r="F22">
        <v>61</v>
      </c>
      <c r="G22" t="s">
        <v>15</v>
      </c>
      <c r="H22" s="2">
        <v>22</v>
      </c>
      <c r="I22" t="s">
        <v>49</v>
      </c>
      <c r="J22" t="s">
        <v>36</v>
      </c>
      <c r="K22">
        <v>4665567.5789999999</v>
      </c>
      <c r="L22">
        <v>360155.14899999998</v>
      </c>
      <c r="M22">
        <v>0.90500000000000003</v>
      </c>
    </row>
    <row r="23" spans="1:13" x14ac:dyDescent="0.25">
      <c r="A23" t="s">
        <v>28</v>
      </c>
      <c r="B23">
        <v>23</v>
      </c>
      <c r="C23" t="s">
        <v>29</v>
      </c>
      <c r="D23">
        <v>2019</v>
      </c>
      <c r="E23">
        <v>24</v>
      </c>
      <c r="F23">
        <v>62</v>
      </c>
      <c r="G23" t="s">
        <v>15</v>
      </c>
      <c r="H23" s="2">
        <v>22</v>
      </c>
      <c r="I23" t="s">
        <v>49</v>
      </c>
      <c r="J23" t="s">
        <v>36</v>
      </c>
      <c r="K23">
        <v>4665573.01</v>
      </c>
      <c r="L23">
        <v>360154.16200000001</v>
      </c>
      <c r="M23">
        <v>1.0129999999999999</v>
      </c>
    </row>
    <row r="24" spans="1:13" x14ac:dyDescent="0.25">
      <c r="A24" t="s">
        <v>28</v>
      </c>
      <c r="B24">
        <v>23</v>
      </c>
      <c r="C24" t="s">
        <v>29</v>
      </c>
      <c r="D24">
        <v>2019</v>
      </c>
      <c r="E24">
        <v>24</v>
      </c>
      <c r="F24">
        <v>63</v>
      </c>
      <c r="G24" t="s">
        <v>15</v>
      </c>
      <c r="H24" s="2">
        <v>22</v>
      </c>
      <c r="I24" t="s">
        <v>49</v>
      </c>
      <c r="J24" t="s">
        <v>36</v>
      </c>
      <c r="K24">
        <v>4665579.07</v>
      </c>
      <c r="L24">
        <v>360155.53499999997</v>
      </c>
      <c r="M24">
        <v>1.0049999999999999</v>
      </c>
    </row>
    <row r="25" spans="1:13" x14ac:dyDescent="0.25">
      <c r="A25" t="s">
        <v>28</v>
      </c>
      <c r="B25">
        <v>23</v>
      </c>
      <c r="C25" t="s">
        <v>29</v>
      </c>
      <c r="D25">
        <v>2019</v>
      </c>
      <c r="E25">
        <v>24</v>
      </c>
      <c r="F25">
        <v>64</v>
      </c>
      <c r="G25" t="s">
        <v>15</v>
      </c>
      <c r="H25" s="2">
        <v>22</v>
      </c>
      <c r="I25" t="s">
        <v>49</v>
      </c>
      <c r="J25" t="s">
        <v>36</v>
      </c>
      <c r="K25">
        <v>4665588.551</v>
      </c>
      <c r="L25">
        <v>360158.72100000002</v>
      </c>
      <c r="M25">
        <v>0.93600000000000005</v>
      </c>
    </row>
    <row r="26" spans="1:13" x14ac:dyDescent="0.25">
      <c r="A26" t="s">
        <v>28</v>
      </c>
      <c r="B26">
        <v>23</v>
      </c>
      <c r="C26" t="s">
        <v>29</v>
      </c>
      <c r="D26">
        <v>2019</v>
      </c>
      <c r="E26">
        <v>24</v>
      </c>
      <c r="F26">
        <v>65</v>
      </c>
      <c r="G26" t="s">
        <v>15</v>
      </c>
      <c r="H26" s="2">
        <v>22</v>
      </c>
      <c r="I26" t="s">
        <v>49</v>
      </c>
      <c r="J26" t="s">
        <v>36</v>
      </c>
      <c r="K26">
        <v>4665594.66</v>
      </c>
      <c r="L26">
        <v>360160.54100000003</v>
      </c>
      <c r="M26">
        <v>0.89700000000000002</v>
      </c>
    </row>
    <row r="27" spans="1:13" x14ac:dyDescent="0.25">
      <c r="A27" t="s">
        <v>28</v>
      </c>
      <c r="B27">
        <v>23</v>
      </c>
      <c r="C27" t="s">
        <v>29</v>
      </c>
      <c r="D27">
        <v>2019</v>
      </c>
      <c r="E27">
        <v>24</v>
      </c>
      <c r="F27">
        <v>66</v>
      </c>
      <c r="G27" t="s">
        <v>15</v>
      </c>
      <c r="H27" s="2">
        <v>22</v>
      </c>
      <c r="I27" t="s">
        <v>49</v>
      </c>
      <c r="J27" t="s">
        <v>36</v>
      </c>
      <c r="K27">
        <v>4665594.7470000004</v>
      </c>
      <c r="L27">
        <v>360160.96500000003</v>
      </c>
      <c r="M27">
        <v>0.02</v>
      </c>
    </row>
    <row r="28" spans="1:13" x14ac:dyDescent="0.25">
      <c r="A28" t="s">
        <v>28</v>
      </c>
      <c r="B28">
        <v>23</v>
      </c>
      <c r="C28" t="s">
        <v>29</v>
      </c>
      <c r="D28">
        <v>2019</v>
      </c>
      <c r="E28">
        <v>24</v>
      </c>
      <c r="F28">
        <v>67</v>
      </c>
      <c r="G28" t="s">
        <v>15</v>
      </c>
      <c r="H28" s="2">
        <v>22</v>
      </c>
      <c r="I28" t="s">
        <v>49</v>
      </c>
      <c r="J28" t="s">
        <v>36</v>
      </c>
      <c r="K28">
        <v>4665599.4239999996</v>
      </c>
      <c r="L28">
        <v>360162.92200000002</v>
      </c>
      <c r="M28">
        <v>-5.6000000000000001E-2</v>
      </c>
    </row>
    <row r="29" spans="1:13" x14ac:dyDescent="0.25">
      <c r="A29" t="s">
        <v>28</v>
      </c>
      <c r="B29">
        <v>23</v>
      </c>
      <c r="C29" t="s">
        <v>29</v>
      </c>
      <c r="D29">
        <v>2019</v>
      </c>
      <c r="E29">
        <v>24</v>
      </c>
      <c r="F29">
        <v>68</v>
      </c>
      <c r="G29" t="s">
        <v>15</v>
      </c>
      <c r="H29" s="2">
        <v>22</v>
      </c>
      <c r="I29" t="s">
        <v>49</v>
      </c>
      <c r="J29" t="s">
        <v>36</v>
      </c>
      <c r="K29">
        <v>4665599.8250000002</v>
      </c>
      <c r="L29">
        <v>360162.43199999997</v>
      </c>
      <c r="M29">
        <v>0.93799999999999994</v>
      </c>
    </row>
    <row r="30" spans="1:13" x14ac:dyDescent="0.25">
      <c r="A30" t="s">
        <v>28</v>
      </c>
      <c r="B30">
        <v>23</v>
      </c>
      <c r="C30" t="s">
        <v>29</v>
      </c>
      <c r="D30">
        <v>2019</v>
      </c>
      <c r="E30">
        <v>24</v>
      </c>
      <c r="F30">
        <v>69</v>
      </c>
      <c r="G30" t="s">
        <v>15</v>
      </c>
      <c r="H30" s="2">
        <v>22</v>
      </c>
      <c r="I30" t="s">
        <v>49</v>
      </c>
      <c r="J30" t="s">
        <v>36</v>
      </c>
      <c r="K30">
        <v>4665604.25</v>
      </c>
      <c r="L30">
        <v>360163.71</v>
      </c>
      <c r="M30">
        <v>1.0009999999999999</v>
      </c>
    </row>
    <row r="31" spans="1:13" x14ac:dyDescent="0.25">
      <c r="A31" t="s">
        <v>28</v>
      </c>
      <c r="B31">
        <v>23</v>
      </c>
      <c r="C31" t="s">
        <v>29</v>
      </c>
      <c r="D31">
        <v>2019</v>
      </c>
      <c r="E31">
        <v>24</v>
      </c>
      <c r="F31">
        <v>70</v>
      </c>
      <c r="G31" t="s">
        <v>15</v>
      </c>
      <c r="H31" s="2">
        <v>22</v>
      </c>
      <c r="I31" t="s">
        <v>49</v>
      </c>
      <c r="J31" t="s">
        <v>36</v>
      </c>
      <c r="K31">
        <v>4665611.2019999996</v>
      </c>
      <c r="L31">
        <v>360165.81699999998</v>
      </c>
      <c r="M31">
        <v>1.127</v>
      </c>
    </row>
    <row r="32" spans="1:13" x14ac:dyDescent="0.25">
      <c r="A32" t="s">
        <v>28</v>
      </c>
      <c r="B32">
        <v>23</v>
      </c>
      <c r="C32" t="s">
        <v>29</v>
      </c>
      <c r="D32">
        <v>2019</v>
      </c>
      <c r="E32">
        <v>24</v>
      </c>
      <c r="F32">
        <v>71</v>
      </c>
      <c r="G32" t="s">
        <v>15</v>
      </c>
      <c r="H32" s="2">
        <v>22</v>
      </c>
      <c r="I32" t="s">
        <v>49</v>
      </c>
      <c r="J32" t="s">
        <v>36</v>
      </c>
      <c r="K32">
        <v>4665615.7609999999</v>
      </c>
      <c r="L32">
        <v>360167.30800000002</v>
      </c>
      <c r="M32">
        <v>1.135</v>
      </c>
    </row>
    <row r="33" spans="1:14" x14ac:dyDescent="0.25">
      <c r="A33" t="s">
        <v>28</v>
      </c>
      <c r="B33">
        <v>23</v>
      </c>
      <c r="C33" t="s">
        <v>29</v>
      </c>
      <c r="D33">
        <v>2019</v>
      </c>
      <c r="E33">
        <v>24</v>
      </c>
      <c r="F33">
        <v>72</v>
      </c>
      <c r="G33" t="s">
        <v>15</v>
      </c>
      <c r="H33" s="2">
        <v>22</v>
      </c>
      <c r="I33" t="s">
        <v>49</v>
      </c>
      <c r="J33" t="s">
        <v>36</v>
      </c>
      <c r="K33">
        <v>4665613.2039999999</v>
      </c>
      <c r="L33">
        <v>360168.68599999999</v>
      </c>
      <c r="M33">
        <v>1.0680000000000001</v>
      </c>
    </row>
    <row r="34" spans="1:14" x14ac:dyDescent="0.25">
      <c r="A34" t="s">
        <v>28</v>
      </c>
      <c r="B34">
        <v>23</v>
      </c>
      <c r="C34" t="s">
        <v>29</v>
      </c>
      <c r="D34">
        <v>2019</v>
      </c>
      <c r="E34">
        <v>24</v>
      </c>
      <c r="F34">
        <v>73</v>
      </c>
      <c r="G34" t="s">
        <v>15</v>
      </c>
      <c r="H34" s="2">
        <v>22</v>
      </c>
      <c r="I34" t="s">
        <v>49</v>
      </c>
      <c r="J34" t="s">
        <v>36</v>
      </c>
      <c r="K34">
        <v>4665610.1349999998</v>
      </c>
      <c r="L34">
        <v>360167.41899999999</v>
      </c>
      <c r="M34">
        <v>0.67500000000000004</v>
      </c>
    </row>
    <row r="35" spans="1:14" x14ac:dyDescent="0.25">
      <c r="A35" t="s">
        <v>28</v>
      </c>
      <c r="B35">
        <v>23</v>
      </c>
      <c r="C35" t="s">
        <v>29</v>
      </c>
      <c r="D35">
        <v>2019</v>
      </c>
      <c r="E35">
        <v>24</v>
      </c>
      <c r="F35">
        <v>74</v>
      </c>
      <c r="G35" t="s">
        <v>15</v>
      </c>
      <c r="H35" s="2">
        <v>22</v>
      </c>
      <c r="I35" t="s">
        <v>49</v>
      </c>
      <c r="J35" t="s">
        <v>36</v>
      </c>
      <c r="K35">
        <v>4665603.3890000004</v>
      </c>
      <c r="L35">
        <v>360165.33500000002</v>
      </c>
      <c r="M35">
        <v>1.1000000000000001</v>
      </c>
    </row>
    <row r="36" spans="1:14" x14ac:dyDescent="0.25">
      <c r="A36" t="s">
        <v>28</v>
      </c>
      <c r="B36">
        <v>23</v>
      </c>
      <c r="C36" t="s">
        <v>29</v>
      </c>
      <c r="D36">
        <v>2019</v>
      </c>
      <c r="E36">
        <v>24</v>
      </c>
      <c r="F36">
        <v>75</v>
      </c>
      <c r="G36" t="s">
        <v>15</v>
      </c>
      <c r="H36" s="2">
        <v>22</v>
      </c>
      <c r="I36" t="s">
        <v>49</v>
      </c>
      <c r="J36" t="s">
        <v>36</v>
      </c>
      <c r="K36">
        <v>4665598.8099999996</v>
      </c>
      <c r="L36">
        <v>360164.32400000002</v>
      </c>
      <c r="M36">
        <v>1.0069999999999999</v>
      </c>
    </row>
    <row r="37" spans="1:14" x14ac:dyDescent="0.25">
      <c r="A37" t="s">
        <v>28</v>
      </c>
      <c r="B37">
        <v>23</v>
      </c>
      <c r="C37" t="s">
        <v>29</v>
      </c>
      <c r="D37">
        <v>2019</v>
      </c>
      <c r="E37">
        <v>24</v>
      </c>
      <c r="F37">
        <v>76</v>
      </c>
      <c r="G37" t="s">
        <v>15</v>
      </c>
      <c r="H37" s="2">
        <v>22</v>
      </c>
      <c r="I37" t="s">
        <v>49</v>
      </c>
      <c r="J37" t="s">
        <v>36</v>
      </c>
      <c r="K37">
        <v>4665578.6900000004</v>
      </c>
      <c r="L37">
        <v>360157.9</v>
      </c>
      <c r="N37" t="s">
        <v>41</v>
      </c>
    </row>
    <row r="38" spans="1:14" x14ac:dyDescent="0.25">
      <c r="A38" t="s">
        <v>28</v>
      </c>
      <c r="B38">
        <v>23</v>
      </c>
      <c r="C38" t="s">
        <v>29</v>
      </c>
      <c r="D38">
        <v>2019</v>
      </c>
      <c r="E38">
        <v>24</v>
      </c>
      <c r="F38">
        <v>77</v>
      </c>
      <c r="G38" t="s">
        <v>15</v>
      </c>
      <c r="H38" s="2">
        <v>22</v>
      </c>
      <c r="I38" t="s">
        <v>49</v>
      </c>
      <c r="J38" t="s">
        <v>36</v>
      </c>
      <c r="K38">
        <v>4665574.0599999996</v>
      </c>
      <c r="L38">
        <v>360156.65</v>
      </c>
      <c r="N38" t="s">
        <v>41</v>
      </c>
    </row>
    <row r="39" spans="1:14" x14ac:dyDescent="0.25">
      <c r="A39" t="s">
        <v>28</v>
      </c>
      <c r="B39">
        <v>23</v>
      </c>
      <c r="C39" t="s">
        <v>29</v>
      </c>
      <c r="D39">
        <v>2019</v>
      </c>
      <c r="E39">
        <v>26</v>
      </c>
      <c r="F39">
        <v>80</v>
      </c>
      <c r="G39" t="s">
        <v>12</v>
      </c>
      <c r="H39" s="2">
        <v>13</v>
      </c>
      <c r="I39" t="s">
        <v>33</v>
      </c>
      <c r="J39" t="s">
        <v>36</v>
      </c>
      <c r="K39">
        <v>4665604.6960000005</v>
      </c>
      <c r="L39">
        <v>360165.98599999998</v>
      </c>
      <c r="M39">
        <v>1.1080000000000001</v>
      </c>
    </row>
    <row r="40" spans="1:14" x14ac:dyDescent="0.25">
      <c r="A40" t="s">
        <v>28</v>
      </c>
      <c r="B40">
        <v>23</v>
      </c>
      <c r="C40" t="s">
        <v>29</v>
      </c>
      <c r="D40">
        <v>2019</v>
      </c>
      <c r="E40">
        <v>26</v>
      </c>
      <c r="F40">
        <v>81</v>
      </c>
      <c r="G40" t="s">
        <v>12</v>
      </c>
      <c r="H40" s="2">
        <v>13</v>
      </c>
      <c r="I40" t="s">
        <v>33</v>
      </c>
      <c r="J40" t="s">
        <v>36</v>
      </c>
      <c r="K40">
        <v>4665604.18</v>
      </c>
      <c r="L40">
        <v>360167.34399999998</v>
      </c>
      <c r="M40">
        <v>1.194</v>
      </c>
    </row>
    <row r="41" spans="1:14" x14ac:dyDescent="0.25">
      <c r="A41" t="s">
        <v>28</v>
      </c>
      <c r="B41">
        <v>23</v>
      </c>
      <c r="C41" t="s">
        <v>29</v>
      </c>
      <c r="D41">
        <v>2019</v>
      </c>
      <c r="E41">
        <v>26</v>
      </c>
      <c r="F41">
        <v>82</v>
      </c>
      <c r="G41" t="s">
        <v>12</v>
      </c>
      <c r="H41" s="2">
        <v>13</v>
      </c>
      <c r="I41" t="s">
        <v>33</v>
      </c>
      <c r="J41" t="s">
        <v>36</v>
      </c>
      <c r="K41">
        <v>4665613.3470000001</v>
      </c>
      <c r="L41">
        <v>360171.30499999999</v>
      </c>
      <c r="M41">
        <v>1.2250000000000001</v>
      </c>
    </row>
    <row r="42" spans="1:14" x14ac:dyDescent="0.25">
      <c r="A42" t="s">
        <v>28</v>
      </c>
      <c r="B42">
        <v>23</v>
      </c>
      <c r="C42" t="s">
        <v>29</v>
      </c>
      <c r="D42">
        <v>2019</v>
      </c>
      <c r="E42">
        <v>26</v>
      </c>
      <c r="F42">
        <v>83</v>
      </c>
      <c r="G42" t="s">
        <v>12</v>
      </c>
      <c r="H42" s="2">
        <v>13</v>
      </c>
      <c r="I42" t="s">
        <v>33</v>
      </c>
      <c r="J42" t="s">
        <v>36</v>
      </c>
      <c r="K42">
        <v>4665613.3190000001</v>
      </c>
      <c r="L42">
        <v>360168.71899999998</v>
      </c>
      <c r="M42">
        <v>1.0169999999999999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southriver23oct2019</vt:lpstr>
      <vt:lpstr>Line</vt:lpstr>
      <vt:lpstr>MU</vt:lpstr>
      <vt:lpstr>Poly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Wicks</dc:creator>
  <cp:lastModifiedBy>Ryan Wicks</cp:lastModifiedBy>
  <dcterms:created xsi:type="dcterms:W3CDTF">2025-03-20T16:50:32Z</dcterms:created>
  <dcterms:modified xsi:type="dcterms:W3CDTF">2025-05-12T12:37:38Z</dcterms:modified>
</cp:coreProperties>
</file>