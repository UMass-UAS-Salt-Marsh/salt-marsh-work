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 Wicks\OneDrive\Desktop\Temp2\TempEPASalthmarsh\"/>
    </mc:Choice>
  </mc:AlternateContent>
  <xr:revisionPtr revIDLastSave="0" documentId="13_ncr:1_{59CBF69E-269F-4D01-8C8E-0D3D7C9C878B}" xr6:coauthVersionLast="47" xr6:coauthVersionMax="47" xr10:uidLastSave="{00000000-0000-0000-0000-000000000000}"/>
  <bookViews>
    <workbookView xWindow="-120" yWindow="-120" windowWidth="19440" windowHeight="10440" activeTab="3" xr2:uid="{89833708-A193-49C1-B226-2973B20A5534}"/>
  </bookViews>
  <sheets>
    <sheet name="southriver20aug2019" sheetId="1" r:id="rId1"/>
    <sheet name="Line" sheetId="2" r:id="rId2"/>
    <sheet name="MU" sheetId="3" r:id="rId3"/>
    <sheet name="Poly" sheetId="4" r:id="rId4"/>
  </sheets>
  <definedNames>
    <definedName name="_xlnm._FilterDatabase" localSheetId="0" hidden="1">southriver20aug2019!$A$1:$N$237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R2" i="1" s="1"/>
  <c r="S2" i="1" s="1"/>
  <c r="P3" i="1"/>
  <c r="R3" i="1" s="1"/>
  <c r="S3" i="1" s="1"/>
  <c r="P264" i="1"/>
  <c r="R264" i="1" s="1"/>
  <c r="S264" i="1" s="1"/>
  <c r="P263" i="1"/>
  <c r="P262" i="1"/>
  <c r="P261" i="1"/>
  <c r="R261" i="1" s="1"/>
  <c r="S261" i="1" s="1"/>
  <c r="P260" i="1"/>
  <c r="P259" i="1"/>
  <c r="R259" i="1" s="1"/>
  <c r="S259" i="1" s="1"/>
  <c r="P258" i="1"/>
  <c r="P257" i="1"/>
  <c r="R257" i="1" s="1"/>
  <c r="S257" i="1" s="1"/>
  <c r="P256" i="1"/>
  <c r="P255" i="1"/>
  <c r="P254" i="1"/>
  <c r="P253" i="1"/>
  <c r="R253" i="1" s="1"/>
  <c r="S253" i="1" s="1"/>
  <c r="P252" i="1"/>
  <c r="P251" i="1"/>
  <c r="P250" i="1"/>
  <c r="P249" i="1"/>
  <c r="R249" i="1" s="1"/>
  <c r="S249" i="1" s="1"/>
  <c r="P248" i="1"/>
  <c r="P247" i="1"/>
  <c r="P246" i="1"/>
  <c r="P245" i="1"/>
  <c r="R245" i="1" s="1"/>
  <c r="S245" i="1" s="1"/>
  <c r="P244" i="1"/>
  <c r="P243" i="1"/>
  <c r="R243" i="1" s="1"/>
  <c r="S243" i="1" s="1"/>
  <c r="P242" i="1"/>
  <c r="P241" i="1"/>
  <c r="R241" i="1" s="1"/>
  <c r="S241" i="1" s="1"/>
  <c r="P240" i="1"/>
  <c r="P239" i="1"/>
  <c r="P238" i="1"/>
  <c r="P237" i="1"/>
  <c r="R237" i="1" s="1"/>
  <c r="S237" i="1" s="1"/>
  <c r="P236" i="1"/>
  <c r="P235" i="1"/>
  <c r="P234" i="1"/>
  <c r="P233" i="1"/>
  <c r="R233" i="1" s="1"/>
  <c r="S233" i="1" s="1"/>
  <c r="P232" i="1"/>
  <c r="P231" i="1"/>
  <c r="P230" i="1"/>
  <c r="P229" i="1"/>
  <c r="R229" i="1" s="1"/>
  <c r="S229" i="1" s="1"/>
  <c r="P228" i="1"/>
  <c r="P227" i="1"/>
  <c r="R227" i="1" s="1"/>
  <c r="S227" i="1" s="1"/>
  <c r="P226" i="1"/>
  <c r="P225" i="1"/>
  <c r="R225" i="1" s="1"/>
  <c r="S225" i="1" s="1"/>
  <c r="P224" i="1"/>
  <c r="P223" i="1"/>
  <c r="P222" i="1"/>
  <c r="P221" i="1"/>
  <c r="R221" i="1" s="1"/>
  <c r="S221" i="1" s="1"/>
  <c r="P220" i="1"/>
  <c r="P219" i="1"/>
  <c r="P218" i="1"/>
  <c r="R218" i="1" s="1"/>
  <c r="S218" i="1" s="1"/>
  <c r="P217" i="1"/>
  <c r="R217" i="1" s="1"/>
  <c r="S217" i="1" s="1"/>
  <c r="P216" i="1"/>
  <c r="P215" i="1"/>
  <c r="P214" i="1"/>
  <c r="R214" i="1" s="1"/>
  <c r="S214" i="1" s="1"/>
  <c r="P213" i="1"/>
  <c r="R213" i="1" s="1"/>
  <c r="S213" i="1" s="1"/>
  <c r="P212" i="1"/>
  <c r="P211" i="1"/>
  <c r="P210" i="1"/>
  <c r="R210" i="1" s="1"/>
  <c r="S210" i="1" s="1"/>
  <c r="P209" i="1"/>
  <c r="R209" i="1" s="1"/>
  <c r="S209" i="1" s="1"/>
  <c r="P208" i="1"/>
  <c r="P207" i="1"/>
  <c r="P206" i="1"/>
  <c r="R206" i="1" s="1"/>
  <c r="S206" i="1" s="1"/>
  <c r="P205" i="1"/>
  <c r="R205" i="1" s="1"/>
  <c r="S205" i="1" s="1"/>
  <c r="P204" i="1"/>
  <c r="P203" i="1"/>
  <c r="P202" i="1"/>
  <c r="R202" i="1" s="1"/>
  <c r="S202" i="1" s="1"/>
  <c r="P201" i="1"/>
  <c r="R201" i="1" s="1"/>
  <c r="S201" i="1" s="1"/>
  <c r="P200" i="1"/>
  <c r="P199" i="1"/>
  <c r="P198" i="1"/>
  <c r="P197" i="1"/>
  <c r="R197" i="1" s="1"/>
  <c r="S197" i="1" s="1"/>
  <c r="P196" i="1"/>
  <c r="P195" i="1"/>
  <c r="P194" i="1"/>
  <c r="P193" i="1"/>
  <c r="R193" i="1" s="1"/>
  <c r="S193" i="1" s="1"/>
  <c r="P192" i="1"/>
  <c r="P191" i="1"/>
  <c r="P190" i="1"/>
  <c r="P189" i="1"/>
  <c r="R189" i="1" s="1"/>
  <c r="S189" i="1" s="1"/>
  <c r="P188" i="1"/>
  <c r="P187" i="1"/>
  <c r="P186" i="1"/>
  <c r="P185" i="1"/>
  <c r="R185" i="1" s="1"/>
  <c r="S185" i="1" s="1"/>
  <c r="P184" i="1"/>
  <c r="P183" i="1"/>
  <c r="P182" i="1"/>
  <c r="P181" i="1"/>
  <c r="R181" i="1" s="1"/>
  <c r="S181" i="1" s="1"/>
  <c r="P180" i="1"/>
  <c r="P179" i="1"/>
  <c r="P178" i="1"/>
  <c r="P177" i="1"/>
  <c r="R177" i="1" s="1"/>
  <c r="S177" i="1" s="1"/>
  <c r="P176" i="1"/>
  <c r="P175" i="1"/>
  <c r="P174" i="1"/>
  <c r="P173" i="1"/>
  <c r="R173" i="1" s="1"/>
  <c r="S173" i="1" s="1"/>
  <c r="P172" i="1"/>
  <c r="P171" i="1"/>
  <c r="P170" i="1"/>
  <c r="P169" i="1"/>
  <c r="P168" i="1"/>
  <c r="P167" i="1"/>
  <c r="P166" i="1"/>
  <c r="P165" i="1"/>
  <c r="R165" i="1" s="1"/>
  <c r="S165" i="1" s="1"/>
  <c r="P164" i="1"/>
  <c r="P163" i="1"/>
  <c r="P162" i="1"/>
  <c r="P161" i="1"/>
  <c r="R161" i="1" s="1"/>
  <c r="S161" i="1" s="1"/>
  <c r="P160" i="1"/>
  <c r="P159" i="1"/>
  <c r="P158" i="1"/>
  <c r="P157" i="1"/>
  <c r="R157" i="1" s="1"/>
  <c r="S157" i="1" s="1"/>
  <c r="P156" i="1"/>
  <c r="P155" i="1"/>
  <c r="P154" i="1"/>
  <c r="P153" i="1"/>
  <c r="R153" i="1" s="1"/>
  <c r="S153" i="1" s="1"/>
  <c r="P152" i="1"/>
  <c r="P151" i="1"/>
  <c r="P150" i="1"/>
  <c r="P149" i="1"/>
  <c r="R149" i="1" s="1"/>
  <c r="S149" i="1" s="1"/>
  <c r="P148" i="1"/>
  <c r="P147" i="1"/>
  <c r="P146" i="1"/>
  <c r="P145" i="1"/>
  <c r="R145" i="1" s="1"/>
  <c r="S145" i="1" s="1"/>
  <c r="P144" i="1"/>
  <c r="P143" i="1"/>
  <c r="P142" i="1"/>
  <c r="P141" i="1"/>
  <c r="R141" i="1" s="1"/>
  <c r="S141" i="1" s="1"/>
  <c r="P140" i="1"/>
  <c r="P139" i="1"/>
  <c r="P138" i="1"/>
  <c r="P137" i="1"/>
  <c r="R137" i="1" s="1"/>
  <c r="S137" i="1" s="1"/>
  <c r="P136" i="1"/>
  <c r="P135" i="1"/>
  <c r="P134" i="1"/>
  <c r="P133" i="1"/>
  <c r="R133" i="1" s="1"/>
  <c r="S133" i="1" s="1"/>
  <c r="P132" i="1"/>
  <c r="P131" i="1"/>
  <c r="P130" i="1"/>
  <c r="P129" i="1"/>
  <c r="R129" i="1" s="1"/>
  <c r="S129" i="1" s="1"/>
  <c r="P128" i="1"/>
  <c r="P127" i="1"/>
  <c r="P126" i="1"/>
  <c r="P125" i="1"/>
  <c r="R125" i="1" s="1"/>
  <c r="S125" i="1" s="1"/>
  <c r="P124" i="1"/>
  <c r="P123" i="1"/>
  <c r="P122" i="1"/>
  <c r="P121" i="1"/>
  <c r="R121" i="1" s="1"/>
  <c r="S121" i="1" s="1"/>
  <c r="P120" i="1"/>
  <c r="P119" i="1"/>
  <c r="P118" i="1"/>
  <c r="P117" i="1"/>
  <c r="R117" i="1" s="1"/>
  <c r="S117" i="1" s="1"/>
  <c r="P116" i="1"/>
  <c r="P115" i="1"/>
  <c r="P114" i="1"/>
  <c r="P113" i="1"/>
  <c r="R113" i="1" s="1"/>
  <c r="S113" i="1" s="1"/>
  <c r="P112" i="1"/>
  <c r="P111" i="1"/>
  <c r="P110" i="1"/>
  <c r="P109" i="1"/>
  <c r="R109" i="1" s="1"/>
  <c r="S109" i="1" s="1"/>
  <c r="P108" i="1"/>
  <c r="P107" i="1"/>
  <c r="P106" i="1"/>
  <c r="P105" i="1"/>
  <c r="P104" i="1"/>
  <c r="P103" i="1"/>
  <c r="P102" i="1"/>
  <c r="P101" i="1"/>
  <c r="R101" i="1" s="1"/>
  <c r="S101" i="1" s="1"/>
  <c r="P100" i="1"/>
  <c r="P99" i="1"/>
  <c r="P98" i="1"/>
  <c r="P97" i="1"/>
  <c r="R97" i="1" s="1"/>
  <c r="S97" i="1" s="1"/>
  <c r="P96" i="1"/>
  <c r="P95" i="1"/>
  <c r="P94" i="1"/>
  <c r="P93" i="1"/>
  <c r="R93" i="1" s="1"/>
  <c r="S93" i="1" s="1"/>
  <c r="P92" i="1"/>
  <c r="P91" i="1"/>
  <c r="P90" i="1"/>
  <c r="P89" i="1"/>
  <c r="R89" i="1" s="1"/>
  <c r="S89" i="1" s="1"/>
  <c r="P88" i="1"/>
  <c r="P87" i="1"/>
  <c r="P86" i="1"/>
  <c r="P85" i="1"/>
  <c r="R85" i="1" s="1"/>
  <c r="S85" i="1" s="1"/>
  <c r="P84" i="1"/>
  <c r="P83" i="1"/>
  <c r="P82" i="1"/>
  <c r="P81" i="1"/>
  <c r="R81" i="1" s="1"/>
  <c r="S81" i="1" s="1"/>
  <c r="P80" i="1"/>
  <c r="P79" i="1"/>
  <c r="P78" i="1"/>
  <c r="P77" i="1"/>
  <c r="R77" i="1" s="1"/>
  <c r="S77" i="1" s="1"/>
  <c r="P76" i="1"/>
  <c r="P75" i="1"/>
  <c r="P74" i="1"/>
  <c r="P73" i="1"/>
  <c r="P72" i="1"/>
  <c r="P71" i="1"/>
  <c r="P70" i="1"/>
  <c r="P69" i="1"/>
  <c r="R69" i="1" s="1"/>
  <c r="S69" i="1" s="1"/>
  <c r="P68" i="1"/>
  <c r="P67" i="1"/>
  <c r="P66" i="1"/>
  <c r="P65" i="1"/>
  <c r="R65" i="1" s="1"/>
  <c r="S65" i="1" s="1"/>
  <c r="P64" i="1"/>
  <c r="P63" i="1"/>
  <c r="P62" i="1"/>
  <c r="P61" i="1"/>
  <c r="R61" i="1" s="1"/>
  <c r="S61" i="1" s="1"/>
  <c r="P60" i="1"/>
  <c r="P59" i="1"/>
  <c r="P58" i="1"/>
  <c r="P57" i="1"/>
  <c r="R57" i="1" s="1"/>
  <c r="S57" i="1" s="1"/>
  <c r="P56" i="1"/>
  <c r="P55" i="1"/>
  <c r="P54" i="1"/>
  <c r="P53" i="1"/>
  <c r="R53" i="1" s="1"/>
  <c r="S53" i="1" s="1"/>
  <c r="P52" i="1"/>
  <c r="P51" i="1"/>
  <c r="P50" i="1"/>
  <c r="P49" i="1"/>
  <c r="R49" i="1" s="1"/>
  <c r="S49" i="1" s="1"/>
  <c r="P48" i="1"/>
  <c r="P47" i="1"/>
  <c r="P46" i="1"/>
  <c r="P45" i="1"/>
  <c r="R45" i="1" s="1"/>
  <c r="S45" i="1" s="1"/>
  <c r="P44" i="1"/>
  <c r="P43" i="1"/>
  <c r="P42" i="1"/>
  <c r="P41" i="1"/>
  <c r="P40" i="1"/>
  <c r="P39" i="1"/>
  <c r="P38" i="1"/>
  <c r="P37" i="1"/>
  <c r="R37" i="1" s="1"/>
  <c r="S37" i="1" s="1"/>
  <c r="P36" i="1"/>
  <c r="P35" i="1"/>
  <c r="P34" i="1"/>
  <c r="P33" i="1"/>
  <c r="R33" i="1" s="1"/>
  <c r="S33" i="1" s="1"/>
  <c r="P32" i="1"/>
  <c r="P31" i="1"/>
  <c r="P30" i="1"/>
  <c r="R30" i="1" s="1"/>
  <c r="S30" i="1" s="1"/>
  <c r="P29" i="1"/>
  <c r="R29" i="1" s="1"/>
  <c r="S29" i="1" s="1"/>
  <c r="P28" i="1"/>
  <c r="P27" i="1"/>
  <c r="P26" i="1"/>
  <c r="R26" i="1" s="1"/>
  <c r="S26" i="1" s="1"/>
  <c r="P25" i="1"/>
  <c r="R25" i="1" s="1"/>
  <c r="S25" i="1" s="1"/>
  <c r="P24" i="1"/>
  <c r="P23" i="1"/>
  <c r="P22" i="1"/>
  <c r="R22" i="1" s="1"/>
  <c r="S22" i="1" s="1"/>
  <c r="P21" i="1"/>
  <c r="R21" i="1" s="1"/>
  <c r="S21" i="1" s="1"/>
  <c r="P20" i="1"/>
  <c r="P19" i="1"/>
  <c r="P18" i="1"/>
  <c r="R18" i="1" s="1"/>
  <c r="S18" i="1" s="1"/>
  <c r="P17" i="1"/>
  <c r="R17" i="1" s="1"/>
  <c r="S17" i="1" s="1"/>
  <c r="P16" i="1"/>
  <c r="P15" i="1"/>
  <c r="P14" i="1"/>
  <c r="R14" i="1" s="1"/>
  <c r="S14" i="1" s="1"/>
  <c r="P13" i="1"/>
  <c r="R13" i="1" s="1"/>
  <c r="S13" i="1" s="1"/>
  <c r="P12" i="1"/>
  <c r="P11" i="1"/>
  <c r="P10" i="1"/>
  <c r="R10" i="1" s="1"/>
  <c r="S10" i="1" s="1"/>
  <c r="P9" i="1"/>
  <c r="R9" i="1" s="1"/>
  <c r="S9" i="1" s="1"/>
  <c r="P8" i="1"/>
  <c r="P7" i="1"/>
  <c r="P6" i="1"/>
  <c r="R6" i="1" s="1"/>
  <c r="S6" i="1" s="1"/>
  <c r="P5" i="1"/>
  <c r="R5" i="1" s="1"/>
  <c r="S5" i="1" s="1"/>
  <c r="P4" i="1"/>
  <c r="H94" i="1"/>
  <c r="I94" i="1" s="1"/>
  <c r="H31" i="1"/>
  <c r="I31" i="1" s="1"/>
  <c r="H30" i="1"/>
  <c r="I30" i="1" s="1"/>
  <c r="H29" i="1"/>
  <c r="I29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H22" i="1"/>
  <c r="I22" i="1" s="1"/>
  <c r="H21" i="1"/>
  <c r="I21" i="1" s="1"/>
  <c r="H20" i="1"/>
  <c r="I20" i="1" s="1"/>
  <c r="H237" i="1"/>
  <c r="I237" i="1" s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I219" i="1" s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E3" i="1"/>
  <c r="J2" i="1" s="1"/>
  <c r="H2" i="1"/>
  <c r="I2" i="1" s="1"/>
  <c r="Q41" i="1" l="1"/>
  <c r="Q73" i="1"/>
  <c r="Q105" i="1"/>
  <c r="Q169" i="1"/>
  <c r="Q248" i="1"/>
  <c r="R41" i="1"/>
  <c r="S41" i="1" s="1"/>
  <c r="Q14" i="1"/>
  <c r="Q61" i="1"/>
  <c r="Q125" i="1"/>
  <c r="Q189" i="1"/>
  <c r="Q218" i="1"/>
  <c r="R169" i="1"/>
  <c r="S169" i="1" s="1"/>
  <c r="Q30" i="1"/>
  <c r="Q93" i="1"/>
  <c r="Q157" i="1"/>
  <c r="Q210" i="1"/>
  <c r="Q6" i="1"/>
  <c r="Q45" i="1"/>
  <c r="Q109" i="1"/>
  <c r="Q173" i="1"/>
  <c r="Q214" i="1"/>
  <c r="Q22" i="1"/>
  <c r="Q77" i="1"/>
  <c r="Q141" i="1"/>
  <c r="Q205" i="1"/>
  <c r="Q3" i="1"/>
  <c r="R4" i="1"/>
  <c r="S4" i="1" s="1"/>
  <c r="Q4" i="1"/>
  <c r="R8" i="1"/>
  <c r="S8" i="1" s="1"/>
  <c r="Q8" i="1"/>
  <c r="R12" i="1"/>
  <c r="S12" i="1" s="1"/>
  <c r="Q12" i="1"/>
  <c r="R16" i="1"/>
  <c r="S16" i="1" s="1"/>
  <c r="Q16" i="1"/>
  <c r="R20" i="1"/>
  <c r="S20" i="1" s="1"/>
  <c r="Q20" i="1"/>
  <c r="R24" i="1"/>
  <c r="S24" i="1" s="1"/>
  <c r="Q24" i="1"/>
  <c r="R28" i="1"/>
  <c r="S28" i="1" s="1"/>
  <c r="Q28" i="1"/>
  <c r="R32" i="1"/>
  <c r="S32" i="1" s="1"/>
  <c r="Q32" i="1"/>
  <c r="R36" i="1"/>
  <c r="S36" i="1" s="1"/>
  <c r="Q36" i="1"/>
  <c r="R40" i="1"/>
  <c r="S40" i="1" s="1"/>
  <c r="Q40" i="1"/>
  <c r="R44" i="1"/>
  <c r="S44" i="1" s="1"/>
  <c r="Q44" i="1"/>
  <c r="R48" i="1"/>
  <c r="S48" i="1" s="1"/>
  <c r="Q48" i="1"/>
  <c r="R52" i="1"/>
  <c r="S52" i="1" s="1"/>
  <c r="Q52" i="1"/>
  <c r="R56" i="1"/>
  <c r="S56" i="1" s="1"/>
  <c r="Q56" i="1"/>
  <c r="R60" i="1"/>
  <c r="S60" i="1" s="1"/>
  <c r="Q60" i="1"/>
  <c r="R64" i="1"/>
  <c r="S64" i="1" s="1"/>
  <c r="Q64" i="1"/>
  <c r="R68" i="1"/>
  <c r="S68" i="1" s="1"/>
  <c r="Q68" i="1"/>
  <c r="R72" i="1"/>
  <c r="S72" i="1" s="1"/>
  <c r="Q72" i="1"/>
  <c r="R76" i="1"/>
  <c r="S76" i="1" s="1"/>
  <c r="Q76" i="1"/>
  <c r="R80" i="1"/>
  <c r="S80" i="1" s="1"/>
  <c r="Q80" i="1"/>
  <c r="R84" i="1"/>
  <c r="S84" i="1" s="1"/>
  <c r="Q84" i="1"/>
  <c r="R88" i="1"/>
  <c r="S88" i="1" s="1"/>
  <c r="Q88" i="1"/>
  <c r="R92" i="1"/>
  <c r="S92" i="1" s="1"/>
  <c r="Q92" i="1"/>
  <c r="R96" i="1"/>
  <c r="S96" i="1" s="1"/>
  <c r="Q96" i="1"/>
  <c r="R100" i="1"/>
  <c r="S100" i="1" s="1"/>
  <c r="Q100" i="1"/>
  <c r="R104" i="1"/>
  <c r="S104" i="1" s="1"/>
  <c r="Q104" i="1"/>
  <c r="R108" i="1"/>
  <c r="S108" i="1" s="1"/>
  <c r="Q108" i="1"/>
  <c r="R112" i="1"/>
  <c r="S112" i="1" s="1"/>
  <c r="Q112" i="1"/>
  <c r="R116" i="1"/>
  <c r="S116" i="1" s="1"/>
  <c r="Q116" i="1"/>
  <c r="R120" i="1"/>
  <c r="S120" i="1" s="1"/>
  <c r="Q120" i="1"/>
  <c r="R124" i="1"/>
  <c r="S124" i="1" s="1"/>
  <c r="Q124" i="1"/>
  <c r="R128" i="1"/>
  <c r="S128" i="1" s="1"/>
  <c r="Q128" i="1"/>
  <c r="R132" i="1"/>
  <c r="S132" i="1" s="1"/>
  <c r="Q132" i="1"/>
  <c r="R136" i="1"/>
  <c r="S136" i="1" s="1"/>
  <c r="Q136" i="1"/>
  <c r="R140" i="1"/>
  <c r="S140" i="1" s="1"/>
  <c r="Q140" i="1"/>
  <c r="R144" i="1"/>
  <c r="S144" i="1" s="1"/>
  <c r="Q144" i="1"/>
  <c r="R148" i="1"/>
  <c r="S148" i="1" s="1"/>
  <c r="Q148" i="1"/>
  <c r="R152" i="1"/>
  <c r="S152" i="1" s="1"/>
  <c r="Q152" i="1"/>
  <c r="R156" i="1"/>
  <c r="S156" i="1" s="1"/>
  <c r="Q156" i="1"/>
  <c r="R160" i="1"/>
  <c r="S160" i="1" s="1"/>
  <c r="Q160" i="1"/>
  <c r="R164" i="1"/>
  <c r="S164" i="1" s="1"/>
  <c r="Q164" i="1"/>
  <c r="R168" i="1"/>
  <c r="S168" i="1" s="1"/>
  <c r="Q168" i="1"/>
  <c r="R172" i="1"/>
  <c r="S172" i="1" s="1"/>
  <c r="Q172" i="1"/>
  <c r="R176" i="1"/>
  <c r="S176" i="1" s="1"/>
  <c r="Q176" i="1"/>
  <c r="R180" i="1"/>
  <c r="S180" i="1" s="1"/>
  <c r="Q180" i="1"/>
  <c r="R184" i="1"/>
  <c r="S184" i="1" s="1"/>
  <c r="Q184" i="1"/>
  <c r="R188" i="1"/>
  <c r="S188" i="1" s="1"/>
  <c r="Q188" i="1"/>
  <c r="R192" i="1"/>
  <c r="S192" i="1" s="1"/>
  <c r="Q192" i="1"/>
  <c r="R196" i="1"/>
  <c r="S196" i="1" s="1"/>
  <c r="Q196" i="1"/>
  <c r="R200" i="1"/>
  <c r="S200" i="1" s="1"/>
  <c r="Q200" i="1"/>
  <c r="R204" i="1"/>
  <c r="S204" i="1" s="1"/>
  <c r="Q204" i="1"/>
  <c r="R208" i="1"/>
  <c r="S208" i="1" s="1"/>
  <c r="Q208" i="1"/>
  <c r="R212" i="1"/>
  <c r="S212" i="1" s="1"/>
  <c r="Q212" i="1"/>
  <c r="R216" i="1"/>
  <c r="S216" i="1" s="1"/>
  <c r="Q216" i="1"/>
  <c r="R220" i="1"/>
  <c r="S220" i="1" s="1"/>
  <c r="Q220" i="1"/>
  <c r="R224" i="1"/>
  <c r="S224" i="1" s="1"/>
  <c r="Q224" i="1"/>
  <c r="R228" i="1"/>
  <c r="S228" i="1" s="1"/>
  <c r="Q228" i="1"/>
  <c r="R232" i="1"/>
  <c r="S232" i="1" s="1"/>
  <c r="Q233" i="1"/>
  <c r="R236" i="1"/>
  <c r="S236" i="1" s="1"/>
  <c r="Q236" i="1"/>
  <c r="R240" i="1"/>
  <c r="S240" i="1" s="1"/>
  <c r="Q240" i="1"/>
  <c r="R244" i="1"/>
  <c r="S244" i="1" s="1"/>
  <c r="Q244" i="1"/>
  <c r="R248" i="1"/>
  <c r="S248" i="1" s="1"/>
  <c r="Q249" i="1"/>
  <c r="R252" i="1"/>
  <c r="S252" i="1" s="1"/>
  <c r="Q252" i="1"/>
  <c r="R256" i="1"/>
  <c r="S256" i="1" s="1"/>
  <c r="Q256" i="1"/>
  <c r="R260" i="1"/>
  <c r="S260" i="1" s="1"/>
  <c r="Q260" i="1"/>
  <c r="Q9" i="1"/>
  <c r="Q17" i="1"/>
  <c r="Q25" i="1"/>
  <c r="Q33" i="1"/>
  <c r="Q49" i="1"/>
  <c r="Q65" i="1"/>
  <c r="Q81" i="1"/>
  <c r="Q97" i="1"/>
  <c r="Q113" i="1"/>
  <c r="Q129" i="1"/>
  <c r="Q145" i="1"/>
  <c r="Q161" i="1"/>
  <c r="Q177" i="1"/>
  <c r="Q193" i="1"/>
  <c r="Q209" i="1"/>
  <c r="Q217" i="1"/>
  <c r="Q232" i="1"/>
  <c r="Q253" i="1"/>
  <c r="R73" i="1"/>
  <c r="S73" i="1" s="1"/>
  <c r="R11" i="1"/>
  <c r="S11" i="1" s="1"/>
  <c r="Q11" i="1"/>
  <c r="R15" i="1"/>
  <c r="S15" i="1" s="1"/>
  <c r="Q15" i="1"/>
  <c r="R19" i="1"/>
  <c r="S19" i="1" s="1"/>
  <c r="Q19" i="1"/>
  <c r="R23" i="1"/>
  <c r="S23" i="1" s="1"/>
  <c r="Q23" i="1"/>
  <c r="R27" i="1"/>
  <c r="S27" i="1" s="1"/>
  <c r="Q27" i="1"/>
  <c r="R31" i="1"/>
  <c r="S31" i="1" s="1"/>
  <c r="Q31" i="1"/>
  <c r="R35" i="1"/>
  <c r="S35" i="1" s="1"/>
  <c r="Q35" i="1"/>
  <c r="R39" i="1"/>
  <c r="S39" i="1" s="1"/>
  <c r="Q39" i="1"/>
  <c r="R43" i="1"/>
  <c r="S43" i="1" s="1"/>
  <c r="Q43" i="1"/>
  <c r="R47" i="1"/>
  <c r="S47" i="1" s="1"/>
  <c r="Q47" i="1"/>
  <c r="R51" i="1"/>
  <c r="S51" i="1" s="1"/>
  <c r="Q51" i="1"/>
  <c r="R55" i="1"/>
  <c r="S55" i="1" s="1"/>
  <c r="Q55" i="1"/>
  <c r="R63" i="1"/>
  <c r="S63" i="1" s="1"/>
  <c r="Q63" i="1"/>
  <c r="R71" i="1"/>
  <c r="S71" i="1" s="1"/>
  <c r="Q71" i="1"/>
  <c r="R83" i="1"/>
  <c r="S83" i="1" s="1"/>
  <c r="Q83" i="1"/>
  <c r="R91" i="1"/>
  <c r="S91" i="1" s="1"/>
  <c r="Q91" i="1"/>
  <c r="R99" i="1"/>
  <c r="S99" i="1" s="1"/>
  <c r="Q99" i="1"/>
  <c r="R107" i="1"/>
  <c r="S107" i="1" s="1"/>
  <c r="Q107" i="1"/>
  <c r="R111" i="1"/>
  <c r="S111" i="1" s="1"/>
  <c r="Q111" i="1"/>
  <c r="R119" i="1"/>
  <c r="S119" i="1" s="1"/>
  <c r="Q119" i="1"/>
  <c r="R127" i="1"/>
  <c r="S127" i="1" s="1"/>
  <c r="Q127" i="1"/>
  <c r="R135" i="1"/>
  <c r="S135" i="1" s="1"/>
  <c r="Q135" i="1"/>
  <c r="R143" i="1"/>
  <c r="S143" i="1" s="1"/>
  <c r="Q143" i="1"/>
  <c r="R151" i="1"/>
  <c r="S151" i="1" s="1"/>
  <c r="Q151" i="1"/>
  <c r="R159" i="1"/>
  <c r="S159" i="1" s="1"/>
  <c r="Q159" i="1"/>
  <c r="R167" i="1"/>
  <c r="S167" i="1" s="1"/>
  <c r="Q167" i="1"/>
  <c r="R175" i="1"/>
  <c r="S175" i="1" s="1"/>
  <c r="Q175" i="1"/>
  <c r="R183" i="1"/>
  <c r="S183" i="1" s="1"/>
  <c r="Q183" i="1"/>
  <c r="R191" i="1"/>
  <c r="S191" i="1" s="1"/>
  <c r="Q191" i="1"/>
  <c r="R199" i="1"/>
  <c r="S199" i="1" s="1"/>
  <c r="Q199" i="1"/>
  <c r="R207" i="1"/>
  <c r="S207" i="1" s="1"/>
  <c r="Q207" i="1"/>
  <c r="R215" i="1"/>
  <c r="S215" i="1" s="1"/>
  <c r="Q215" i="1"/>
  <c r="R223" i="1"/>
  <c r="S223" i="1" s="1"/>
  <c r="Q223" i="1"/>
  <c r="R231" i="1"/>
  <c r="S231" i="1" s="1"/>
  <c r="Q231" i="1"/>
  <c r="R235" i="1"/>
  <c r="S235" i="1" s="1"/>
  <c r="Q235" i="1"/>
  <c r="R251" i="1"/>
  <c r="S251" i="1" s="1"/>
  <c r="Q251" i="1"/>
  <c r="Q10" i="1"/>
  <c r="Q18" i="1"/>
  <c r="Q26" i="1"/>
  <c r="Q37" i="1"/>
  <c r="Q53" i="1"/>
  <c r="Q69" i="1"/>
  <c r="Q85" i="1"/>
  <c r="Q101" i="1"/>
  <c r="Q117" i="1"/>
  <c r="Q133" i="1"/>
  <c r="Q149" i="1"/>
  <c r="Q165" i="1"/>
  <c r="Q181" i="1"/>
  <c r="Q197" i="1"/>
  <c r="Q237" i="1"/>
  <c r="Q259" i="1"/>
  <c r="R105" i="1"/>
  <c r="S105" i="1" s="1"/>
  <c r="R7" i="1"/>
  <c r="S7" i="1" s="1"/>
  <c r="Q7" i="1"/>
  <c r="R59" i="1"/>
  <c r="S59" i="1" s="1"/>
  <c r="Q59" i="1"/>
  <c r="R67" i="1"/>
  <c r="S67" i="1" s="1"/>
  <c r="Q67" i="1"/>
  <c r="R75" i="1"/>
  <c r="S75" i="1" s="1"/>
  <c r="Q75" i="1"/>
  <c r="R79" i="1"/>
  <c r="S79" i="1" s="1"/>
  <c r="Q79" i="1"/>
  <c r="R87" i="1"/>
  <c r="S87" i="1" s="1"/>
  <c r="Q87" i="1"/>
  <c r="R95" i="1"/>
  <c r="S95" i="1" s="1"/>
  <c r="Q95" i="1"/>
  <c r="R103" i="1"/>
  <c r="S103" i="1" s="1"/>
  <c r="Q103" i="1"/>
  <c r="R115" i="1"/>
  <c r="S115" i="1" s="1"/>
  <c r="Q115" i="1"/>
  <c r="R123" i="1"/>
  <c r="S123" i="1" s="1"/>
  <c r="Q123" i="1"/>
  <c r="R131" i="1"/>
  <c r="S131" i="1" s="1"/>
  <c r="Q131" i="1"/>
  <c r="R139" i="1"/>
  <c r="S139" i="1" s="1"/>
  <c r="Q139" i="1"/>
  <c r="R147" i="1"/>
  <c r="S147" i="1" s="1"/>
  <c r="Q147" i="1"/>
  <c r="R155" i="1"/>
  <c r="S155" i="1" s="1"/>
  <c r="Q155" i="1"/>
  <c r="R163" i="1"/>
  <c r="S163" i="1" s="1"/>
  <c r="Q163" i="1"/>
  <c r="R171" i="1"/>
  <c r="S171" i="1" s="1"/>
  <c r="Q171" i="1"/>
  <c r="R179" i="1"/>
  <c r="S179" i="1" s="1"/>
  <c r="Q179" i="1"/>
  <c r="R187" i="1"/>
  <c r="S187" i="1" s="1"/>
  <c r="Q187" i="1"/>
  <c r="R195" i="1"/>
  <c r="S195" i="1" s="1"/>
  <c r="Q195" i="1"/>
  <c r="R203" i="1"/>
  <c r="S203" i="1" s="1"/>
  <c r="Q203" i="1"/>
  <c r="R211" i="1"/>
  <c r="S211" i="1" s="1"/>
  <c r="Q211" i="1"/>
  <c r="R219" i="1"/>
  <c r="S219" i="1" s="1"/>
  <c r="Q219" i="1"/>
  <c r="R239" i="1"/>
  <c r="S239" i="1" s="1"/>
  <c r="Q239" i="1"/>
  <c r="R247" i="1"/>
  <c r="S247" i="1" s="1"/>
  <c r="Q247" i="1"/>
  <c r="R255" i="1"/>
  <c r="S255" i="1" s="1"/>
  <c r="Q255" i="1"/>
  <c r="R263" i="1"/>
  <c r="S263" i="1" s="1"/>
  <c r="Q263" i="1"/>
  <c r="Q227" i="1"/>
  <c r="R34" i="1"/>
  <c r="S34" i="1" s="1"/>
  <c r="Q34" i="1"/>
  <c r="R38" i="1"/>
  <c r="S38" i="1" s="1"/>
  <c r="Q38" i="1"/>
  <c r="R42" i="1"/>
  <c r="S42" i="1" s="1"/>
  <c r="Q42" i="1"/>
  <c r="R46" i="1"/>
  <c r="S46" i="1" s="1"/>
  <c r="Q46" i="1"/>
  <c r="R50" i="1"/>
  <c r="S50" i="1" s="1"/>
  <c r="Q50" i="1"/>
  <c r="R54" i="1"/>
  <c r="S54" i="1" s="1"/>
  <c r="Q54" i="1"/>
  <c r="R58" i="1"/>
  <c r="S58" i="1" s="1"/>
  <c r="Q58" i="1"/>
  <c r="R62" i="1"/>
  <c r="S62" i="1" s="1"/>
  <c r="Q62" i="1"/>
  <c r="R66" i="1"/>
  <c r="S66" i="1" s="1"/>
  <c r="Q66" i="1"/>
  <c r="R70" i="1"/>
  <c r="S70" i="1" s="1"/>
  <c r="Q70" i="1"/>
  <c r="R74" i="1"/>
  <c r="S74" i="1" s="1"/>
  <c r="Q74" i="1"/>
  <c r="R78" i="1"/>
  <c r="S78" i="1" s="1"/>
  <c r="Q78" i="1"/>
  <c r="R82" i="1"/>
  <c r="S82" i="1" s="1"/>
  <c r="Q82" i="1"/>
  <c r="R86" i="1"/>
  <c r="S86" i="1" s="1"/>
  <c r="Q86" i="1"/>
  <c r="R90" i="1"/>
  <c r="S90" i="1" s="1"/>
  <c r="Q90" i="1"/>
  <c r="R94" i="1"/>
  <c r="S94" i="1" s="1"/>
  <c r="Q94" i="1"/>
  <c r="R98" i="1"/>
  <c r="S98" i="1" s="1"/>
  <c r="Q98" i="1"/>
  <c r="R102" i="1"/>
  <c r="S102" i="1" s="1"/>
  <c r="Q102" i="1"/>
  <c r="R106" i="1"/>
  <c r="S106" i="1" s="1"/>
  <c r="Q106" i="1"/>
  <c r="R110" i="1"/>
  <c r="S110" i="1" s="1"/>
  <c r="Q110" i="1"/>
  <c r="R114" i="1"/>
  <c r="S114" i="1" s="1"/>
  <c r="Q114" i="1"/>
  <c r="R118" i="1"/>
  <c r="S118" i="1" s="1"/>
  <c r="Q118" i="1"/>
  <c r="R122" i="1"/>
  <c r="S122" i="1" s="1"/>
  <c r="Q122" i="1"/>
  <c r="R126" i="1"/>
  <c r="S126" i="1" s="1"/>
  <c r="Q126" i="1"/>
  <c r="R130" i="1"/>
  <c r="S130" i="1" s="1"/>
  <c r="Q130" i="1"/>
  <c r="R134" i="1"/>
  <c r="S134" i="1" s="1"/>
  <c r="Q134" i="1"/>
  <c r="R138" i="1"/>
  <c r="S138" i="1" s="1"/>
  <c r="Q138" i="1"/>
  <c r="R142" i="1"/>
  <c r="S142" i="1" s="1"/>
  <c r="Q142" i="1"/>
  <c r="R146" i="1"/>
  <c r="S146" i="1" s="1"/>
  <c r="Q146" i="1"/>
  <c r="R150" i="1"/>
  <c r="S150" i="1" s="1"/>
  <c r="Q150" i="1"/>
  <c r="R154" i="1"/>
  <c r="S154" i="1" s="1"/>
  <c r="Q154" i="1"/>
  <c r="R158" i="1"/>
  <c r="S158" i="1" s="1"/>
  <c r="Q158" i="1"/>
  <c r="R162" i="1"/>
  <c r="S162" i="1" s="1"/>
  <c r="Q162" i="1"/>
  <c r="R166" i="1"/>
  <c r="S166" i="1" s="1"/>
  <c r="Q166" i="1"/>
  <c r="R170" i="1"/>
  <c r="S170" i="1" s="1"/>
  <c r="Q170" i="1"/>
  <c r="R174" i="1"/>
  <c r="S174" i="1" s="1"/>
  <c r="Q174" i="1"/>
  <c r="R178" i="1"/>
  <c r="S178" i="1" s="1"/>
  <c r="Q178" i="1"/>
  <c r="R182" i="1"/>
  <c r="S182" i="1" s="1"/>
  <c r="Q182" i="1"/>
  <c r="R186" i="1"/>
  <c r="S186" i="1" s="1"/>
  <c r="Q186" i="1"/>
  <c r="R190" i="1"/>
  <c r="S190" i="1" s="1"/>
  <c r="Q190" i="1"/>
  <c r="R194" i="1"/>
  <c r="S194" i="1" s="1"/>
  <c r="Q194" i="1"/>
  <c r="R198" i="1"/>
  <c r="S198" i="1" s="1"/>
  <c r="Q198" i="1"/>
  <c r="Q5" i="1"/>
  <c r="Q13" i="1"/>
  <c r="Q21" i="1"/>
  <c r="Q29" i="1"/>
  <c r="Q57" i="1"/>
  <c r="Q89" i="1"/>
  <c r="Q121" i="1"/>
  <c r="Q137" i="1"/>
  <c r="Q153" i="1"/>
  <c r="Q185" i="1"/>
  <c r="Q201" i="1"/>
  <c r="Q213" i="1"/>
  <c r="Q221" i="1"/>
  <c r="Q243" i="1"/>
  <c r="Q264" i="1"/>
  <c r="Q202" i="1"/>
  <c r="Q206" i="1"/>
  <c r="Q229" i="1"/>
  <c r="Q245" i="1"/>
  <c r="Q261" i="1"/>
  <c r="R222" i="1"/>
  <c r="S222" i="1" s="1"/>
  <c r="Q222" i="1"/>
  <c r="R226" i="1"/>
  <c r="S226" i="1" s="1"/>
  <c r="Q226" i="1"/>
  <c r="R230" i="1"/>
  <c r="S230" i="1" s="1"/>
  <c r="Q230" i="1"/>
  <c r="R234" i="1"/>
  <c r="S234" i="1" s="1"/>
  <c r="Q234" i="1"/>
  <c r="R238" i="1"/>
  <c r="S238" i="1" s="1"/>
  <c r="Q238" i="1"/>
  <c r="R242" i="1"/>
  <c r="S242" i="1" s="1"/>
  <c r="Q242" i="1"/>
  <c r="R246" i="1"/>
  <c r="S246" i="1" s="1"/>
  <c r="Q246" i="1"/>
  <c r="R250" i="1"/>
  <c r="S250" i="1" s="1"/>
  <c r="Q250" i="1"/>
  <c r="R254" i="1"/>
  <c r="S254" i="1" s="1"/>
  <c r="Q254" i="1"/>
  <c r="R258" i="1"/>
  <c r="S258" i="1" s="1"/>
  <c r="Q258" i="1"/>
  <c r="R262" i="1"/>
  <c r="S262" i="1" s="1"/>
  <c r="Q262" i="1"/>
  <c r="Q225" i="1"/>
  <c r="Q241" i="1"/>
  <c r="Q257" i="1"/>
  <c r="F38" i="1"/>
  <c r="E4" i="1"/>
  <c r="J3" i="1" s="1"/>
  <c r="F39" i="1" l="1"/>
  <c r="F40" i="1" s="1"/>
  <c r="F41" i="1" s="1"/>
  <c r="F42" i="1" s="1"/>
  <c r="F43" i="1" s="1"/>
  <c r="E5" i="1"/>
  <c r="J4" i="1" s="1"/>
  <c r="F44" i="1" l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E6" i="1"/>
  <c r="J5" i="1" s="1"/>
  <c r="E7" i="1" l="1"/>
  <c r="E8" i="1" s="1"/>
  <c r="E9" i="1" s="1"/>
  <c r="E10" i="1" s="1"/>
  <c r="E11" i="1" s="1"/>
  <c r="E12" i="1" s="1"/>
  <c r="E13" i="1" s="1"/>
  <c r="J6" i="1" l="1"/>
  <c r="E14" i="1"/>
  <c r="J13" i="1" s="1"/>
  <c r="E15" i="1" l="1"/>
  <c r="J14" i="1" s="1"/>
  <c r="E16" i="1" l="1"/>
  <c r="J15" i="1" s="1"/>
  <c r="E17" i="1" l="1"/>
  <c r="J16" i="1" s="1"/>
  <c r="E18" i="1" l="1"/>
  <c r="E19" i="1" l="1"/>
  <c r="E23" i="1" l="1"/>
  <c r="E24" i="1" l="1"/>
  <c r="E25" i="1" l="1"/>
  <c r="E26" i="1" l="1"/>
  <c r="E27" i="1" l="1"/>
  <c r="E28" i="1" l="1"/>
  <c r="E32" i="1" l="1"/>
  <c r="E33" i="1" l="1"/>
  <c r="E34" i="1" l="1"/>
  <c r="E35" i="1" l="1"/>
  <c r="E36" i="1" l="1"/>
  <c r="J35" i="1" s="1"/>
  <c r="E37" i="1" l="1"/>
  <c r="J36" i="1" s="1"/>
  <c r="E38" i="1" l="1"/>
  <c r="J37" i="1" s="1"/>
  <c r="E39" i="1" l="1"/>
  <c r="J38" i="1" s="1"/>
  <c r="E40" i="1" l="1"/>
  <c r="J39" i="1" s="1"/>
  <c r="E41" i="1" l="1"/>
  <c r="J40" i="1" s="1"/>
  <c r="E42" i="1" l="1"/>
  <c r="J41" i="1" s="1"/>
  <c r="E43" i="1" l="1"/>
  <c r="J42" i="1" l="1"/>
  <c r="E44" i="1"/>
  <c r="J43" i="1" s="1"/>
  <c r="E45" i="1"/>
  <c r="J44" i="1" l="1"/>
  <c r="E46" i="1"/>
  <c r="J45" i="1" s="1"/>
  <c r="E47" i="1" l="1"/>
  <c r="J46" i="1" s="1"/>
  <c r="E48" i="1" l="1"/>
  <c r="J47" i="1" s="1"/>
  <c r="E49" i="1" l="1"/>
  <c r="J48" i="1" s="1"/>
  <c r="E50" i="1" l="1"/>
  <c r="J49" i="1" s="1"/>
  <c r="E51" i="1" l="1"/>
  <c r="J50" i="1" s="1"/>
  <c r="E52" i="1" l="1"/>
  <c r="J51" i="1" s="1"/>
  <c r="E53" i="1" l="1"/>
  <c r="J52" i="1" s="1"/>
  <c r="E54" i="1" l="1"/>
  <c r="J53" i="1" s="1"/>
  <c r="E55" i="1" l="1"/>
  <c r="J54" i="1" s="1"/>
  <c r="E56" i="1" l="1"/>
  <c r="J55" i="1" s="1"/>
  <c r="E57" i="1" l="1"/>
  <c r="J56" i="1" s="1"/>
  <c r="E58" i="1" l="1"/>
  <c r="J57" i="1" s="1"/>
  <c r="E59" i="1" l="1"/>
  <c r="J58" i="1" s="1"/>
  <c r="E60" i="1" l="1"/>
  <c r="J59" i="1" s="1"/>
  <c r="E61" i="1" l="1"/>
  <c r="J60" i="1" s="1"/>
  <c r="E62" i="1" l="1"/>
  <c r="J61" i="1" s="1"/>
  <c r="E63" i="1" l="1"/>
  <c r="J62" i="1" s="1"/>
  <c r="E64" i="1" l="1"/>
  <c r="J63" i="1" s="1"/>
  <c r="E65" i="1" l="1"/>
  <c r="J64" i="1" s="1"/>
  <c r="E66" i="1" l="1"/>
  <c r="J65" i="1" s="1"/>
  <c r="E67" i="1" l="1"/>
  <c r="J66" i="1" s="1"/>
  <c r="E68" i="1" l="1"/>
  <c r="J67" i="1" s="1"/>
  <c r="E69" i="1" l="1"/>
  <c r="J68" i="1" s="1"/>
  <c r="E70" i="1" l="1"/>
  <c r="J69" i="1"/>
  <c r="E71" i="1" l="1"/>
  <c r="E72" i="1" l="1"/>
  <c r="E73" i="1" l="1"/>
  <c r="E74" i="1" l="1"/>
  <c r="E75" i="1" l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5" i="1" l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J237" i="1" s="1"/>
  <c r="E94" i="1"/>
  <c r="J89" i="1"/>
  <c r="J90" i="1" l="1"/>
  <c r="J91" i="1" l="1"/>
  <c r="J92" i="1" l="1"/>
  <c r="J93" i="1" l="1"/>
  <c r="J101" i="1" l="1"/>
  <c r="J102" i="1" l="1"/>
  <c r="J103" i="1" l="1"/>
  <c r="J104" i="1" l="1"/>
  <c r="J105" i="1" l="1"/>
  <c r="J106" i="1" l="1"/>
  <c r="J107" i="1" l="1"/>
  <c r="J108" i="1" l="1"/>
  <c r="J109" i="1" l="1"/>
  <c r="J110" i="1" l="1"/>
  <c r="J111" i="1" l="1"/>
  <c r="J112" i="1" l="1"/>
  <c r="J113" i="1" l="1"/>
  <c r="J114" i="1" l="1"/>
  <c r="J115" i="1" l="1"/>
  <c r="J116" i="1" l="1"/>
  <c r="J117" i="1" l="1"/>
  <c r="J118" i="1" l="1"/>
  <c r="J119" i="1" l="1"/>
  <c r="J126" i="1" l="1"/>
  <c r="J127" i="1" l="1"/>
  <c r="J128" i="1" l="1"/>
  <c r="J129" i="1" l="1"/>
  <c r="J130" i="1" l="1"/>
  <c r="J131" i="1" l="1"/>
  <c r="J132" i="1" l="1"/>
  <c r="J133" i="1" l="1"/>
  <c r="J134" i="1" l="1"/>
  <c r="J135" i="1" l="1"/>
  <c r="J136" i="1" l="1"/>
  <c r="J137" i="1" l="1"/>
  <c r="J138" i="1" l="1"/>
  <c r="J139" i="1" l="1"/>
  <c r="J140" i="1" l="1"/>
  <c r="J141" i="1" l="1"/>
  <c r="J142" i="1" l="1"/>
  <c r="J143" i="1" l="1"/>
  <c r="J144" i="1" l="1"/>
  <c r="J145" i="1" l="1"/>
  <c r="J146" i="1" l="1"/>
  <c r="J147" i="1" l="1"/>
  <c r="J148" i="1" l="1"/>
  <c r="J149" i="1" l="1"/>
  <c r="J150" i="1" l="1"/>
  <c r="J157" i="1" l="1"/>
  <c r="J158" i="1" l="1"/>
  <c r="J159" i="1" l="1"/>
  <c r="J160" i="1" l="1"/>
  <c r="J161" i="1" l="1"/>
  <c r="J162" i="1" l="1"/>
  <c r="J163" i="1" l="1"/>
  <c r="J164" i="1" l="1"/>
  <c r="J165" i="1" l="1"/>
  <c r="J166" i="1" l="1"/>
  <c r="J167" i="1" l="1"/>
  <c r="J168" i="1" l="1"/>
  <c r="J169" i="1" l="1"/>
  <c r="J170" i="1" l="1"/>
  <c r="J171" i="1" l="1"/>
  <c r="J172" i="1" l="1"/>
  <c r="J173" i="1" l="1"/>
  <c r="J174" i="1" l="1"/>
  <c r="J175" i="1" l="1"/>
  <c r="J176" i="1" l="1"/>
  <c r="J177" i="1" l="1"/>
  <c r="J178" i="1" l="1"/>
  <c r="J179" i="1" l="1"/>
  <c r="J180" i="1" l="1"/>
  <c r="J181" i="1" l="1"/>
  <c r="J183" i="1" l="1"/>
  <c r="J182" i="1"/>
  <c r="J185" i="1" l="1"/>
  <c r="J184" i="1"/>
  <c r="J186" i="1" l="1"/>
  <c r="J187" i="1" l="1"/>
  <c r="J189" i="1" l="1"/>
  <c r="J188" i="1"/>
  <c r="J190" i="1" l="1"/>
  <c r="J191" i="1" l="1"/>
  <c r="J192" i="1" l="1"/>
  <c r="J193" i="1" l="1"/>
  <c r="J194" i="1" l="1"/>
  <c r="J195" i="1" l="1"/>
  <c r="J196" i="1" l="1"/>
  <c r="J197" i="1" l="1"/>
  <c r="J199" i="1" l="1"/>
  <c r="J198" i="1"/>
  <c r="J200" i="1" l="1"/>
  <c r="J201" i="1" l="1"/>
  <c r="J202" i="1" l="1"/>
  <c r="J203" i="1" l="1"/>
  <c r="J204" i="1" l="1"/>
  <c r="J205" i="1" l="1"/>
  <c r="J206" i="1" l="1"/>
  <c r="J207" i="1" l="1"/>
  <c r="J208" i="1" l="1"/>
  <c r="J209" i="1" l="1"/>
  <c r="J210" i="1" l="1"/>
  <c r="J211" i="1" l="1"/>
  <c r="J212" i="1" l="1"/>
  <c r="J222" i="1" l="1"/>
  <c r="J223" i="1" l="1"/>
  <c r="J224" i="1" l="1"/>
  <c r="J225" i="1" l="1"/>
  <c r="J226" i="1" l="1"/>
  <c r="J227" i="1" l="1"/>
  <c r="J228" i="1" l="1"/>
  <c r="J229" i="1" l="1"/>
  <c r="J230" i="1" l="1"/>
  <c r="J231" i="1" l="1"/>
  <c r="J232" i="1" l="1"/>
  <c r="J233" i="1" l="1"/>
  <c r="J234" i="1" l="1"/>
  <c r="J235" i="1" l="1"/>
  <c r="J236" i="1" l="1"/>
</calcChain>
</file>

<file path=xl/sharedStrings.xml><?xml version="1.0" encoding="utf-8"?>
<sst xmlns="http://schemas.openxmlformats.org/spreadsheetml/2006/main" count="2520" uniqueCount="108">
  <si>
    <t>Subclass</t>
  </si>
  <si>
    <t>Northing</t>
  </si>
  <si>
    <t>Easting</t>
  </si>
  <si>
    <t>Notes</t>
  </si>
  <si>
    <t>03a</t>
  </si>
  <si>
    <t>04a</t>
  </si>
  <si>
    <t>1 mu</t>
  </si>
  <si>
    <t>02a</t>
  </si>
  <si>
    <t>21k</t>
  </si>
  <si>
    <t>some salicornia along edges</t>
  </si>
  <si>
    <t>13a</t>
  </si>
  <si>
    <t>match with points 9-11</t>
  </si>
  <si>
    <t>match with points 9-12</t>
  </si>
  <si>
    <t>some salicornia</t>
  </si>
  <si>
    <t>connect 16-18 with 19-21</t>
  </si>
  <si>
    <t>fiddlers present, big holes</t>
  </si>
  <si>
    <t>connect with 22-24 for polygon</t>
  </si>
  <si>
    <t>06a</t>
  </si>
  <si>
    <t>05a</t>
  </si>
  <si>
    <t>01a</t>
  </si>
  <si>
    <t>flowering purple</t>
  </si>
  <si>
    <t>not flowering</t>
  </si>
  <si>
    <t>12a</t>
  </si>
  <si>
    <t>new location transects along ditch, flowering</t>
  </si>
  <si>
    <t>phrag present, fresh water running through?</t>
  </si>
  <si>
    <t>23jnr</t>
  </si>
  <si>
    <t>21jn</t>
  </si>
  <si>
    <t>21ejn</t>
  </si>
  <si>
    <t>salicornia and limonium</t>
  </si>
  <si>
    <t>01b</t>
  </si>
  <si>
    <t>flowering, yellowing</t>
  </si>
  <si>
    <t>channel holds water</t>
  </si>
  <si>
    <t>different veg on other side</t>
  </si>
  <si>
    <t>connect 138-139 to 125-127</t>
  </si>
  <si>
    <t>09a</t>
  </si>
  <si>
    <t>06b</t>
  </si>
  <si>
    <t>browning / end of season? 1 mu</t>
  </si>
  <si>
    <t>06af</t>
  </si>
  <si>
    <t>some dead juncus at 148-149</t>
  </si>
  <si>
    <t>08b</t>
  </si>
  <si>
    <t>07a</t>
  </si>
  <si>
    <t>only distichilis, healthy~60%</t>
  </si>
  <si>
    <t>~30% flowering</t>
  </si>
  <si>
    <t>21kn</t>
  </si>
  <si>
    <t>~40% flowering</t>
  </si>
  <si>
    <t>08a</t>
  </si>
  <si>
    <t>tops are dying. Still upright w/ limonium</t>
  </si>
  <si>
    <t>w/ shrub</t>
  </si>
  <si>
    <t>small purple flowers between 184 - 185</t>
  </si>
  <si>
    <t xml:space="preserve">1 mu </t>
  </si>
  <si>
    <t>mixed with some juncus  40%</t>
  </si>
  <si>
    <t>mixed with short form 40%, 1 mu</t>
  </si>
  <si>
    <t>tiny patch of SSA, 1 mu</t>
  </si>
  <si>
    <t>1 m, bare 30%</t>
  </si>
  <si>
    <t>03b</t>
  </si>
  <si>
    <t>TSA underwrack</t>
  </si>
  <si>
    <t>thinning</t>
  </si>
  <si>
    <t>"f" because its moundy</t>
  </si>
  <si>
    <t>flowering 10%</t>
  </si>
  <si>
    <t>flowering 30%</t>
  </si>
  <si>
    <t>21ek</t>
  </si>
  <si>
    <t>depth measurement of ditch</t>
  </si>
  <si>
    <t>10a</t>
  </si>
  <si>
    <t>flowering</t>
  </si>
  <si>
    <t>Site</t>
  </si>
  <si>
    <t>Day</t>
  </si>
  <si>
    <t>Month</t>
  </si>
  <si>
    <t>Year</t>
  </si>
  <si>
    <t>PolygonNum</t>
  </si>
  <si>
    <t>PointNum</t>
  </si>
  <si>
    <t>Sub&amp;Att</t>
  </si>
  <si>
    <t>Attributes</t>
  </si>
  <si>
    <t>SampFormat</t>
  </si>
  <si>
    <t>Altitude</t>
  </si>
  <si>
    <t>SOR</t>
  </si>
  <si>
    <t>Aug</t>
  </si>
  <si>
    <t>Poly</t>
  </si>
  <si>
    <t>MU</t>
  </si>
  <si>
    <t>Transect</t>
  </si>
  <si>
    <t>Point Number</t>
  </si>
  <si>
    <t>Elevation</t>
  </si>
  <si>
    <t>22j</t>
  </si>
  <si>
    <t>vegetation inside creek bank (TSA)</t>
  </si>
  <si>
    <t xml:space="preserve"> 4/5</t>
  </si>
  <si>
    <t xml:space="preserve"> 5/6</t>
  </si>
  <si>
    <t xml:space="preserve"> 6/7</t>
  </si>
  <si>
    <t xml:space="preserve"> 7/8</t>
  </si>
  <si>
    <t>15 / 16</t>
  </si>
  <si>
    <t>16 / 17</t>
  </si>
  <si>
    <t>21 / 22</t>
  </si>
  <si>
    <t>22 / 23</t>
  </si>
  <si>
    <t>22gjrn</t>
  </si>
  <si>
    <t>21en</t>
  </si>
  <si>
    <t>Sequential Check</t>
  </si>
  <si>
    <t>Point Number lookup</t>
  </si>
  <si>
    <t>note lookup</t>
  </si>
  <si>
    <t>note check</t>
  </si>
  <si>
    <t>a</t>
  </si>
  <si>
    <t>Line</t>
  </si>
  <si>
    <t>b</t>
  </si>
  <si>
    <t/>
  </si>
  <si>
    <t>af</t>
  </si>
  <si>
    <t>ejn</t>
  </si>
  <si>
    <t>k</t>
  </si>
  <si>
    <t>jnr</t>
  </si>
  <si>
    <t>jn</t>
  </si>
  <si>
    <t>kn</t>
  </si>
  <si>
    <t>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</si>
</sst>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8211-DE9D-4FD3-A405-56251EC3BCE2}">
  <sheetPr filterMode="1"/>
  <dimension ref="A1:AA265"/>
  <sheetViews>
    <sheetView workbookViewId="0">
      <selection sqref="A1:N237"/>
    </sheetView>
  </sheetViews>
  <sheetFormatPr defaultRowHeight="15" x14ac:dyDescent="0.25"/>
  <cols>
    <col min="11" max="11" width="16.140625" customWidth="1"/>
    <col min="12" max="12" width="14" customWidth="1"/>
    <col min="13" max="13" width="11.28515625" customWidth="1"/>
    <col min="15" max="15" width="17.5703125" customWidth="1"/>
    <col min="23" max="23" width="12.28515625" customWidth="1"/>
    <col min="24" max="24" width="13.42578125" customWidth="1"/>
  </cols>
  <sheetData>
    <row r="1" spans="1:27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0</v>
      </c>
      <c r="I1" t="s">
        <v>71</v>
      </c>
      <c r="J1" t="s">
        <v>72</v>
      </c>
      <c r="K1" t="s">
        <v>1</v>
      </c>
      <c r="L1" t="s">
        <v>2</v>
      </c>
      <c r="M1" t="s">
        <v>73</v>
      </c>
      <c r="N1" t="s">
        <v>3</v>
      </c>
      <c r="O1" s="1"/>
      <c r="P1" s="2" t="s">
        <v>94</v>
      </c>
      <c r="Q1" s="2" t="s">
        <v>93</v>
      </c>
      <c r="R1" s="2" t="s">
        <v>95</v>
      </c>
      <c r="S1" s="2" t="s">
        <v>96</v>
      </c>
      <c r="T1" t="s">
        <v>78</v>
      </c>
      <c r="U1" t="s">
        <v>79</v>
      </c>
      <c r="V1" t="s">
        <v>0</v>
      </c>
      <c r="W1" t="s">
        <v>1</v>
      </c>
      <c r="X1" t="s">
        <v>2</v>
      </c>
      <c r="Y1" t="s">
        <v>80</v>
      </c>
      <c r="Z1" t="s">
        <v>3</v>
      </c>
      <c r="AA1" t="s">
        <v>79</v>
      </c>
    </row>
    <row r="2" spans="1:27" hidden="1" x14ac:dyDescent="0.25">
      <c r="A2" t="s">
        <v>74</v>
      </c>
      <c r="B2">
        <v>20</v>
      </c>
      <c r="C2" t="s">
        <v>75</v>
      </c>
      <c r="D2">
        <v>2019</v>
      </c>
      <c r="E2">
        <v>1</v>
      </c>
      <c r="F2">
        <v>1</v>
      </c>
      <c r="G2" t="s">
        <v>4</v>
      </c>
      <c r="H2" t="str">
        <f>LEFT(G2,2)</f>
        <v>03</v>
      </c>
      <c r="I2" t="str">
        <f>RIGHT(G2,LEN(G2)-LEN(H2))</f>
        <v>a</v>
      </c>
      <c r="J2" t="str">
        <f>IF(OR((E2=E3),(E2=E1)),"Line","MU")</f>
        <v>Line</v>
      </c>
      <c r="K2">
        <v>4665189.8420000002</v>
      </c>
      <c r="L2">
        <v>360125.41100000002</v>
      </c>
      <c r="M2">
        <v>1.266</v>
      </c>
      <c r="O2" s="1"/>
      <c r="P2" s="2">
        <f t="shared" ref="P2:P33" si="0">VLOOKUP(K2,W$1:AA$264,5,FALSE)</f>
        <v>1</v>
      </c>
      <c r="Q2" s="2"/>
      <c r="R2" s="2">
        <f>VLOOKUP(P2,U$1:Z$264,6)</f>
        <v>0</v>
      </c>
      <c r="S2" s="2" t="b">
        <f>IF(N2=R2,TRUE,FALSE)</f>
        <v>1</v>
      </c>
      <c r="T2">
        <v>1</v>
      </c>
      <c r="U2">
        <v>1</v>
      </c>
      <c r="V2" t="s">
        <v>4</v>
      </c>
      <c r="W2">
        <v>4665189.8420000002</v>
      </c>
      <c r="X2">
        <v>360125.41100000002</v>
      </c>
      <c r="Y2">
        <v>1.266</v>
      </c>
      <c r="AA2">
        <v>1</v>
      </c>
    </row>
    <row r="3" spans="1:27" hidden="1" x14ac:dyDescent="0.25">
      <c r="A3" t="s">
        <v>74</v>
      </c>
      <c r="B3">
        <v>20</v>
      </c>
      <c r="C3" t="s">
        <v>75</v>
      </c>
      <c r="D3">
        <v>2019</v>
      </c>
      <c r="E3">
        <f t="shared" ref="E3:E19" si="1">IF(G3=G2,E2,E2+1)</f>
        <v>1</v>
      </c>
      <c r="F3">
        <f>1+F2</f>
        <v>2</v>
      </c>
      <c r="G3" t="s">
        <v>4</v>
      </c>
      <c r="H3" t="str">
        <f t="shared" ref="H3:H43" si="2">LEFT(G3,2)</f>
        <v>03</v>
      </c>
      <c r="I3" t="str">
        <f t="shared" ref="I3:I43" si="3">RIGHT(G3,LEN(G3)-LEN(H3))</f>
        <v>a</v>
      </c>
      <c r="J3" t="str">
        <f>IF(OR((E3=E4),(E3=E2)),"Line","MU")</f>
        <v>Line</v>
      </c>
      <c r="K3">
        <v>4665196.2240000004</v>
      </c>
      <c r="L3">
        <v>360140.25699999998</v>
      </c>
      <c r="M3">
        <v>1.212</v>
      </c>
      <c r="O3" s="1"/>
      <c r="P3" s="2">
        <f t="shared" si="0"/>
        <v>2</v>
      </c>
      <c r="Q3" s="2" t="b">
        <f>IF(P3=(P2+1),TRUE, FALSE)</f>
        <v>1</v>
      </c>
      <c r="R3" s="2">
        <f t="shared" ref="R3:R66" si="4">VLOOKUP(P3,U$1:Z$264,6)</f>
        <v>0</v>
      </c>
      <c r="S3" s="2" t="b">
        <f t="shared" ref="S3:S66" si="5">IF(N3=R3,TRUE,FALSE)</f>
        <v>1</v>
      </c>
      <c r="T3">
        <v>1</v>
      </c>
      <c r="U3">
        <v>2</v>
      </c>
      <c r="V3" t="s">
        <v>4</v>
      </c>
      <c r="W3">
        <v>4665196.2240000004</v>
      </c>
      <c r="X3">
        <v>360140.25699999998</v>
      </c>
      <c r="Y3">
        <v>1.212</v>
      </c>
      <c r="AA3">
        <v>2</v>
      </c>
    </row>
    <row r="4" spans="1:27" hidden="1" x14ac:dyDescent="0.25">
      <c r="A4" t="s">
        <v>74</v>
      </c>
      <c r="B4">
        <v>20</v>
      </c>
      <c r="C4" t="s">
        <v>75</v>
      </c>
      <c r="D4">
        <v>2019</v>
      </c>
      <c r="E4">
        <f t="shared" si="1"/>
        <v>2</v>
      </c>
      <c r="F4">
        <f t="shared" ref="F4:F44" si="6">1+F3</f>
        <v>3</v>
      </c>
      <c r="G4" t="s">
        <v>5</v>
      </c>
      <c r="H4" t="str">
        <f t="shared" si="2"/>
        <v>04</v>
      </c>
      <c r="I4" t="str">
        <f t="shared" si="3"/>
        <v>a</v>
      </c>
      <c r="J4" t="str">
        <f>IF(OR((E4=E5),(E4=E3)),"Line","MU")</f>
        <v>MU</v>
      </c>
      <c r="K4">
        <v>4665198.693</v>
      </c>
      <c r="L4">
        <v>360143.77100000001</v>
      </c>
      <c r="M4">
        <v>1.1739999999999999</v>
      </c>
      <c r="N4" t="s">
        <v>6</v>
      </c>
      <c r="O4" s="1"/>
      <c r="P4" s="2">
        <f t="shared" si="0"/>
        <v>3</v>
      </c>
      <c r="Q4" s="2" t="b">
        <f t="shared" ref="Q4:Q67" si="7">IF(P4=(P3+1),TRUE, FALSE)</f>
        <v>1</v>
      </c>
      <c r="R4" s="2" t="str">
        <f t="shared" si="4"/>
        <v>1 mu</v>
      </c>
      <c r="S4" s="2" t="b">
        <f t="shared" si="5"/>
        <v>1</v>
      </c>
      <c r="T4">
        <v>1</v>
      </c>
      <c r="U4">
        <v>3</v>
      </c>
      <c r="V4" t="s">
        <v>5</v>
      </c>
      <c r="W4">
        <v>4665198.693</v>
      </c>
      <c r="X4">
        <v>360143.77100000001</v>
      </c>
      <c r="Y4">
        <v>1.1739999999999999</v>
      </c>
      <c r="Z4" t="s">
        <v>6</v>
      </c>
      <c r="AA4">
        <v>3</v>
      </c>
    </row>
    <row r="5" spans="1:27" hidden="1" x14ac:dyDescent="0.25">
      <c r="A5" t="s">
        <v>74</v>
      </c>
      <c r="B5">
        <v>20</v>
      </c>
      <c r="C5" t="s">
        <v>75</v>
      </c>
      <c r="D5">
        <v>2019</v>
      </c>
      <c r="E5">
        <f t="shared" si="1"/>
        <v>3</v>
      </c>
      <c r="F5">
        <f t="shared" si="6"/>
        <v>4</v>
      </c>
      <c r="G5" t="s">
        <v>7</v>
      </c>
      <c r="H5" t="str">
        <f t="shared" si="2"/>
        <v>02</v>
      </c>
      <c r="I5" t="str">
        <f t="shared" si="3"/>
        <v>a</v>
      </c>
      <c r="J5" t="str">
        <f>IF(OR((E5=E6),(E5=E4)),"Line","MU")</f>
        <v>Line</v>
      </c>
      <c r="K5">
        <v>4665199.3720000004</v>
      </c>
      <c r="L5">
        <v>360144.728</v>
      </c>
      <c r="M5">
        <v>1.1839999999999999</v>
      </c>
      <c r="O5" s="1"/>
      <c r="P5" s="2">
        <f t="shared" si="0"/>
        <v>4</v>
      </c>
      <c r="Q5" s="2" t="b">
        <f t="shared" si="7"/>
        <v>1</v>
      </c>
      <c r="R5" s="2">
        <f t="shared" si="4"/>
        <v>0</v>
      </c>
      <c r="S5" s="2" t="b">
        <f t="shared" si="5"/>
        <v>1</v>
      </c>
      <c r="T5">
        <v>1</v>
      </c>
      <c r="U5">
        <v>4</v>
      </c>
      <c r="V5" t="s">
        <v>7</v>
      </c>
      <c r="W5">
        <v>4665199.3720000004</v>
      </c>
      <c r="X5">
        <v>360144.728</v>
      </c>
      <c r="Y5">
        <v>1.1839999999999999</v>
      </c>
      <c r="AA5">
        <v>4</v>
      </c>
    </row>
    <row r="6" spans="1:27" hidden="1" x14ac:dyDescent="0.25">
      <c r="A6" t="s">
        <v>74</v>
      </c>
      <c r="B6">
        <v>20</v>
      </c>
      <c r="C6" t="s">
        <v>75</v>
      </c>
      <c r="D6">
        <v>2019</v>
      </c>
      <c r="E6">
        <f t="shared" si="1"/>
        <v>3</v>
      </c>
      <c r="F6">
        <f t="shared" si="6"/>
        <v>5</v>
      </c>
      <c r="G6" t="s">
        <v>7</v>
      </c>
      <c r="H6" t="str">
        <f t="shared" si="2"/>
        <v>02</v>
      </c>
      <c r="I6" t="str">
        <f t="shared" si="3"/>
        <v>a</v>
      </c>
      <c r="J6" t="str">
        <f>IF(OR((E6=E7),(E6=E5)),"Line","MU")</f>
        <v>Line</v>
      </c>
      <c r="K6">
        <v>4665202.5240000002</v>
      </c>
      <c r="L6">
        <v>360148.09299999999</v>
      </c>
      <c r="M6">
        <v>1.119</v>
      </c>
      <c r="O6" s="1"/>
      <c r="P6" s="2">
        <f t="shared" si="0"/>
        <v>5</v>
      </c>
      <c r="Q6" s="2" t="b">
        <f t="shared" si="7"/>
        <v>1</v>
      </c>
      <c r="R6" s="2">
        <f t="shared" si="4"/>
        <v>0</v>
      </c>
      <c r="S6" s="2" t="b">
        <f t="shared" si="5"/>
        <v>1</v>
      </c>
      <c r="T6">
        <v>1</v>
      </c>
      <c r="U6">
        <v>5</v>
      </c>
      <c r="V6" t="s">
        <v>7</v>
      </c>
      <c r="W6">
        <v>4665202.5240000002</v>
      </c>
      <c r="X6">
        <v>360148.09299999999</v>
      </c>
      <c r="Y6">
        <v>1.119</v>
      </c>
      <c r="AA6">
        <v>5</v>
      </c>
    </row>
    <row r="7" spans="1:27" x14ac:dyDescent="0.25">
      <c r="A7" t="s">
        <v>74</v>
      </c>
      <c r="B7">
        <v>20</v>
      </c>
      <c r="C7" t="s">
        <v>75</v>
      </c>
      <c r="D7">
        <v>2019</v>
      </c>
      <c r="E7">
        <f t="shared" si="1"/>
        <v>4</v>
      </c>
      <c r="F7">
        <f t="shared" si="6"/>
        <v>6</v>
      </c>
      <c r="G7" t="s">
        <v>8</v>
      </c>
      <c r="H7" t="str">
        <f t="shared" si="2"/>
        <v>21</v>
      </c>
      <c r="I7" t="str">
        <f t="shared" si="3"/>
        <v>k</v>
      </c>
      <c r="J7" t="s">
        <v>76</v>
      </c>
      <c r="K7">
        <v>4665207.0999999996</v>
      </c>
      <c r="L7">
        <v>360158.07199999999</v>
      </c>
      <c r="M7">
        <v>0.80300000000000005</v>
      </c>
      <c r="N7" t="s">
        <v>9</v>
      </c>
      <c r="O7" s="1"/>
      <c r="P7" s="2">
        <f t="shared" si="0"/>
        <v>7</v>
      </c>
      <c r="Q7" s="2" t="b">
        <f t="shared" si="7"/>
        <v>0</v>
      </c>
      <c r="R7" s="2" t="str">
        <f t="shared" si="4"/>
        <v>some salicornia along edges</v>
      </c>
      <c r="S7" s="2" t="b">
        <f t="shared" si="5"/>
        <v>1</v>
      </c>
      <c r="T7">
        <v>1</v>
      </c>
      <c r="U7">
        <v>6</v>
      </c>
      <c r="V7" t="s">
        <v>8</v>
      </c>
      <c r="W7">
        <v>4665203.7640000004</v>
      </c>
      <c r="X7">
        <v>360148.53100000002</v>
      </c>
      <c r="Y7">
        <v>1.071</v>
      </c>
      <c r="Z7" t="s">
        <v>9</v>
      </c>
      <c r="AA7">
        <v>6</v>
      </c>
    </row>
    <row r="8" spans="1:27" x14ac:dyDescent="0.25">
      <c r="A8" t="s">
        <v>74</v>
      </c>
      <c r="B8">
        <v>20</v>
      </c>
      <c r="C8" t="s">
        <v>75</v>
      </c>
      <c r="D8">
        <v>2019</v>
      </c>
      <c r="E8">
        <f t="shared" si="1"/>
        <v>4</v>
      </c>
      <c r="F8">
        <f t="shared" si="6"/>
        <v>7</v>
      </c>
      <c r="G8" t="s">
        <v>8</v>
      </c>
      <c r="H8" t="str">
        <f t="shared" si="2"/>
        <v>21</v>
      </c>
      <c r="I8" t="str">
        <f t="shared" si="3"/>
        <v>k</v>
      </c>
      <c r="J8" t="s">
        <v>76</v>
      </c>
      <c r="K8">
        <v>4665203.7640000004</v>
      </c>
      <c r="L8">
        <v>360148.53100000002</v>
      </c>
      <c r="M8">
        <v>1.071</v>
      </c>
      <c r="N8" t="s">
        <v>9</v>
      </c>
      <c r="O8" s="1"/>
      <c r="P8" s="2">
        <f t="shared" si="0"/>
        <v>6</v>
      </c>
      <c r="Q8" s="2" t="b">
        <f t="shared" si="7"/>
        <v>0</v>
      </c>
      <c r="R8" s="2" t="str">
        <f t="shared" si="4"/>
        <v>some salicornia along edges</v>
      </c>
      <c r="S8" s="2" t="b">
        <f t="shared" si="5"/>
        <v>1</v>
      </c>
      <c r="T8">
        <v>1</v>
      </c>
      <c r="U8">
        <v>7</v>
      </c>
      <c r="V8" t="s">
        <v>8</v>
      </c>
      <c r="W8">
        <v>4665207.0999999996</v>
      </c>
      <c r="X8">
        <v>360158.07199999999</v>
      </c>
      <c r="Y8">
        <v>0.80300000000000005</v>
      </c>
      <c r="Z8" t="s">
        <v>9</v>
      </c>
      <c r="AA8">
        <v>7</v>
      </c>
    </row>
    <row r="9" spans="1:27" x14ac:dyDescent="0.25">
      <c r="A9" t="s">
        <v>74</v>
      </c>
      <c r="B9">
        <v>20</v>
      </c>
      <c r="C9" t="s">
        <v>75</v>
      </c>
      <c r="D9">
        <v>2019</v>
      </c>
      <c r="E9">
        <f t="shared" si="1"/>
        <v>4</v>
      </c>
      <c r="F9">
        <f t="shared" si="6"/>
        <v>8</v>
      </c>
      <c r="G9" t="s">
        <v>8</v>
      </c>
      <c r="H9" t="str">
        <f t="shared" si="2"/>
        <v>21</v>
      </c>
      <c r="I9" t="str">
        <f t="shared" si="3"/>
        <v>k</v>
      </c>
      <c r="J9" t="s">
        <v>76</v>
      </c>
      <c r="K9">
        <v>4665203.0669999998</v>
      </c>
      <c r="L9">
        <v>360144.73599999998</v>
      </c>
      <c r="M9">
        <v>0.879</v>
      </c>
      <c r="N9" t="s">
        <v>9</v>
      </c>
      <c r="O9" s="1"/>
      <c r="P9" s="2">
        <f t="shared" si="0"/>
        <v>8</v>
      </c>
      <c r="Q9" s="2" t="b">
        <f t="shared" si="7"/>
        <v>0</v>
      </c>
      <c r="R9" s="2" t="str">
        <f t="shared" si="4"/>
        <v>some salicornia along edges</v>
      </c>
      <c r="S9" s="2" t="b">
        <f t="shared" si="5"/>
        <v>1</v>
      </c>
      <c r="T9">
        <v>1</v>
      </c>
      <c r="U9">
        <v>8</v>
      </c>
      <c r="V9" t="s">
        <v>8</v>
      </c>
      <c r="W9">
        <v>4665203.0669999998</v>
      </c>
      <c r="X9">
        <v>360144.73599999998</v>
      </c>
      <c r="Y9">
        <v>0.879</v>
      </c>
      <c r="Z9" t="s">
        <v>9</v>
      </c>
      <c r="AA9">
        <v>8</v>
      </c>
    </row>
    <row r="10" spans="1:27" x14ac:dyDescent="0.25">
      <c r="A10" t="s">
        <v>74</v>
      </c>
      <c r="B10">
        <v>20</v>
      </c>
      <c r="C10" t="s">
        <v>75</v>
      </c>
      <c r="D10">
        <v>2019</v>
      </c>
      <c r="E10">
        <f t="shared" si="1"/>
        <v>4</v>
      </c>
      <c r="F10">
        <f t="shared" si="6"/>
        <v>9</v>
      </c>
      <c r="G10" t="s">
        <v>8</v>
      </c>
      <c r="H10" t="str">
        <f t="shared" si="2"/>
        <v>21</v>
      </c>
      <c r="I10" t="str">
        <f t="shared" si="3"/>
        <v>k</v>
      </c>
      <c r="J10" t="s">
        <v>76</v>
      </c>
      <c r="K10">
        <v>4665203.9469999997</v>
      </c>
      <c r="L10">
        <v>360145.20799999998</v>
      </c>
      <c r="M10">
        <v>1.0229999999999999</v>
      </c>
      <c r="N10" t="s">
        <v>9</v>
      </c>
      <c r="O10" s="1"/>
      <c r="P10" s="2">
        <f t="shared" si="0"/>
        <v>9</v>
      </c>
      <c r="Q10" s="2" t="b">
        <f t="shared" si="7"/>
        <v>1</v>
      </c>
      <c r="R10" s="2" t="str">
        <f t="shared" si="4"/>
        <v>some salicornia along edges</v>
      </c>
      <c r="S10" s="2" t="b">
        <f t="shared" si="5"/>
        <v>1</v>
      </c>
      <c r="T10">
        <v>1</v>
      </c>
      <c r="U10">
        <v>9</v>
      </c>
      <c r="V10" t="s">
        <v>8</v>
      </c>
      <c r="W10">
        <v>4665203.9469999997</v>
      </c>
      <c r="X10">
        <v>360145.20799999998</v>
      </c>
      <c r="Y10">
        <v>1.0229999999999999</v>
      </c>
      <c r="Z10" t="s">
        <v>9</v>
      </c>
      <c r="AA10">
        <v>9</v>
      </c>
    </row>
    <row r="11" spans="1:27" x14ac:dyDescent="0.25">
      <c r="A11" t="s">
        <v>74</v>
      </c>
      <c r="B11">
        <v>20</v>
      </c>
      <c r="C11" t="s">
        <v>75</v>
      </c>
      <c r="D11">
        <v>2019</v>
      </c>
      <c r="E11">
        <f t="shared" si="1"/>
        <v>4</v>
      </c>
      <c r="F11">
        <f t="shared" si="6"/>
        <v>10</v>
      </c>
      <c r="G11" t="s">
        <v>8</v>
      </c>
      <c r="H11" t="str">
        <f t="shared" si="2"/>
        <v>21</v>
      </c>
      <c r="I11" t="str">
        <f t="shared" si="3"/>
        <v>k</v>
      </c>
      <c r="J11" t="s">
        <v>76</v>
      </c>
      <c r="K11">
        <v>4665204.642</v>
      </c>
      <c r="L11">
        <v>360148.51199999999</v>
      </c>
      <c r="M11">
        <v>0.93600000000000005</v>
      </c>
      <c r="N11" t="s">
        <v>9</v>
      </c>
      <c r="O11" s="1"/>
      <c r="P11" s="2">
        <f t="shared" si="0"/>
        <v>10</v>
      </c>
      <c r="Q11" s="2" t="b">
        <f t="shared" si="7"/>
        <v>1</v>
      </c>
      <c r="R11" s="2" t="str">
        <f t="shared" si="4"/>
        <v>some salicornia along edges</v>
      </c>
      <c r="S11" s="2" t="b">
        <f t="shared" si="5"/>
        <v>1</v>
      </c>
      <c r="T11">
        <v>1</v>
      </c>
      <c r="U11">
        <v>10</v>
      </c>
      <c r="V11" t="s">
        <v>8</v>
      </c>
      <c r="W11">
        <v>4665204.642</v>
      </c>
      <c r="X11">
        <v>360148.51199999999</v>
      </c>
      <c r="Y11">
        <v>0.93600000000000005</v>
      </c>
      <c r="Z11" t="s">
        <v>9</v>
      </c>
      <c r="AA11">
        <v>10</v>
      </c>
    </row>
    <row r="12" spans="1:27" x14ac:dyDescent="0.25">
      <c r="A12" t="s">
        <v>74</v>
      </c>
      <c r="B12">
        <v>20</v>
      </c>
      <c r="C12" t="s">
        <v>75</v>
      </c>
      <c r="D12">
        <v>2019</v>
      </c>
      <c r="E12">
        <f t="shared" si="1"/>
        <v>4</v>
      </c>
      <c r="F12">
        <f t="shared" si="6"/>
        <v>11</v>
      </c>
      <c r="G12" t="s">
        <v>8</v>
      </c>
      <c r="H12" t="str">
        <f t="shared" si="2"/>
        <v>21</v>
      </c>
      <c r="I12" t="str">
        <f t="shared" si="3"/>
        <v>k</v>
      </c>
      <c r="J12" t="s">
        <v>76</v>
      </c>
      <c r="K12">
        <v>4665208.409</v>
      </c>
      <c r="L12">
        <v>360157.533</v>
      </c>
      <c r="M12">
        <v>1.01</v>
      </c>
      <c r="N12" t="s">
        <v>9</v>
      </c>
      <c r="O12" s="1"/>
      <c r="P12" s="2">
        <f t="shared" si="0"/>
        <v>11</v>
      </c>
      <c r="Q12" s="2" t="b">
        <f t="shared" si="7"/>
        <v>1</v>
      </c>
      <c r="R12" s="2" t="str">
        <f t="shared" si="4"/>
        <v>some salicornia along edges</v>
      </c>
      <c r="S12" s="2" t="b">
        <f t="shared" si="5"/>
        <v>1</v>
      </c>
      <c r="T12">
        <v>1</v>
      </c>
      <c r="U12">
        <v>11</v>
      </c>
      <c r="V12" t="s">
        <v>8</v>
      </c>
      <c r="W12">
        <v>4665208.409</v>
      </c>
      <c r="X12">
        <v>360157.533</v>
      </c>
      <c r="Y12">
        <v>1.01</v>
      </c>
      <c r="Z12" t="s">
        <v>9</v>
      </c>
      <c r="AA12">
        <v>11</v>
      </c>
    </row>
    <row r="13" spans="1:27" hidden="1" x14ac:dyDescent="0.25">
      <c r="A13" t="s">
        <v>74</v>
      </c>
      <c r="B13">
        <v>20</v>
      </c>
      <c r="C13" t="s">
        <v>75</v>
      </c>
      <c r="D13">
        <v>2019</v>
      </c>
      <c r="E13">
        <f t="shared" si="1"/>
        <v>5</v>
      </c>
      <c r="F13">
        <f t="shared" si="6"/>
        <v>12</v>
      </c>
      <c r="G13" t="s">
        <v>10</v>
      </c>
      <c r="H13" t="str">
        <f t="shared" si="2"/>
        <v>13</v>
      </c>
      <c r="I13" t="str">
        <f t="shared" si="3"/>
        <v>a</v>
      </c>
      <c r="J13" t="str">
        <f>IF(OR((E13=E14),(E13=E12)),"Line","MU")</f>
        <v>Line</v>
      </c>
      <c r="K13">
        <v>4665210.2189999996</v>
      </c>
      <c r="L13">
        <v>360156.14500000002</v>
      </c>
      <c r="M13">
        <v>1.113</v>
      </c>
      <c r="N13" t="s">
        <v>11</v>
      </c>
      <c r="O13" s="1"/>
      <c r="P13" s="2">
        <f t="shared" si="0"/>
        <v>12</v>
      </c>
      <c r="Q13" s="2" t="b">
        <f t="shared" si="7"/>
        <v>1</v>
      </c>
      <c r="R13" s="2" t="str">
        <f t="shared" si="4"/>
        <v>match with points 9-11</v>
      </c>
      <c r="S13" s="2" t="b">
        <f t="shared" si="5"/>
        <v>1</v>
      </c>
      <c r="T13">
        <v>1</v>
      </c>
      <c r="U13">
        <v>12</v>
      </c>
      <c r="V13" t="s">
        <v>10</v>
      </c>
      <c r="W13">
        <v>4665210.2189999996</v>
      </c>
      <c r="X13">
        <v>360156.14500000002</v>
      </c>
      <c r="Y13">
        <v>1.113</v>
      </c>
      <c r="Z13" t="s">
        <v>11</v>
      </c>
      <c r="AA13">
        <v>12</v>
      </c>
    </row>
    <row r="14" spans="1:27" hidden="1" x14ac:dyDescent="0.25">
      <c r="A14" t="s">
        <v>74</v>
      </c>
      <c r="B14">
        <v>20</v>
      </c>
      <c r="C14" t="s">
        <v>75</v>
      </c>
      <c r="D14">
        <v>2019</v>
      </c>
      <c r="E14">
        <f t="shared" si="1"/>
        <v>5</v>
      </c>
      <c r="F14">
        <f t="shared" si="6"/>
        <v>13</v>
      </c>
      <c r="G14" t="s">
        <v>10</v>
      </c>
      <c r="H14" t="str">
        <f t="shared" si="2"/>
        <v>13</v>
      </c>
      <c r="I14" t="str">
        <f t="shared" si="3"/>
        <v>a</v>
      </c>
      <c r="J14" t="str">
        <f>IF(OR((E14=E15),(E14=E13)),"Line","MU")</f>
        <v>Line</v>
      </c>
      <c r="K14">
        <v>4665204.4419999998</v>
      </c>
      <c r="L14">
        <v>360142.40399999998</v>
      </c>
      <c r="M14">
        <v>1.1830000000000001</v>
      </c>
      <c r="N14" t="s">
        <v>12</v>
      </c>
      <c r="O14" s="1"/>
      <c r="P14" s="2">
        <f t="shared" si="0"/>
        <v>13</v>
      </c>
      <c r="Q14" s="2" t="b">
        <f t="shared" si="7"/>
        <v>1</v>
      </c>
      <c r="R14" s="2" t="str">
        <f t="shared" si="4"/>
        <v>match with points 9-12</v>
      </c>
      <c r="S14" s="2" t="b">
        <f t="shared" si="5"/>
        <v>1</v>
      </c>
      <c r="T14">
        <v>1</v>
      </c>
      <c r="U14">
        <v>13</v>
      </c>
      <c r="V14" t="s">
        <v>10</v>
      </c>
      <c r="W14">
        <v>4665204.4419999998</v>
      </c>
      <c r="X14">
        <v>360142.40399999998</v>
      </c>
      <c r="Y14">
        <v>1.1830000000000001</v>
      </c>
      <c r="Z14" t="s">
        <v>12</v>
      </c>
      <c r="AA14">
        <v>13</v>
      </c>
    </row>
    <row r="15" spans="1:27" hidden="1" x14ac:dyDescent="0.25">
      <c r="A15" t="s">
        <v>74</v>
      </c>
      <c r="B15">
        <v>20</v>
      </c>
      <c r="C15" t="s">
        <v>75</v>
      </c>
      <c r="D15">
        <v>2019</v>
      </c>
      <c r="E15">
        <f t="shared" si="1"/>
        <v>6</v>
      </c>
      <c r="F15">
        <f t="shared" si="6"/>
        <v>14</v>
      </c>
      <c r="G15" t="s">
        <v>7</v>
      </c>
      <c r="H15" t="str">
        <f t="shared" si="2"/>
        <v>02</v>
      </c>
      <c r="I15" t="str">
        <f t="shared" si="3"/>
        <v>a</v>
      </c>
      <c r="J15" t="str">
        <f>IF(OR((E15=E16),(E15=E14)),"Line","MU")</f>
        <v>Line</v>
      </c>
      <c r="K15">
        <v>4665208.32</v>
      </c>
      <c r="L15">
        <v>360151.261</v>
      </c>
      <c r="M15">
        <v>1.1359999999999999</v>
      </c>
      <c r="N15" t="s">
        <v>13</v>
      </c>
      <c r="O15" s="1"/>
      <c r="P15" s="2">
        <f t="shared" si="0"/>
        <v>14</v>
      </c>
      <c r="Q15" s="2" t="b">
        <f t="shared" si="7"/>
        <v>1</v>
      </c>
      <c r="R15" s="2" t="str">
        <f t="shared" si="4"/>
        <v>some salicornia</v>
      </c>
      <c r="S15" s="2" t="b">
        <f t="shared" si="5"/>
        <v>1</v>
      </c>
      <c r="T15">
        <v>1</v>
      </c>
      <c r="U15">
        <v>14</v>
      </c>
      <c r="V15" t="s">
        <v>7</v>
      </c>
      <c r="W15">
        <v>4665208.32</v>
      </c>
      <c r="X15">
        <v>360151.261</v>
      </c>
      <c r="Y15">
        <v>1.1359999999999999</v>
      </c>
      <c r="Z15" t="s">
        <v>13</v>
      </c>
      <c r="AA15">
        <v>14</v>
      </c>
    </row>
    <row r="16" spans="1:27" hidden="1" x14ac:dyDescent="0.25">
      <c r="A16" t="s">
        <v>74</v>
      </c>
      <c r="B16">
        <v>20</v>
      </c>
      <c r="C16" t="s">
        <v>75</v>
      </c>
      <c r="D16">
        <v>2019</v>
      </c>
      <c r="E16">
        <f t="shared" si="1"/>
        <v>6</v>
      </c>
      <c r="F16">
        <f t="shared" si="6"/>
        <v>15</v>
      </c>
      <c r="G16" t="s">
        <v>7</v>
      </c>
      <c r="H16" t="str">
        <f t="shared" si="2"/>
        <v>02</v>
      </c>
      <c r="I16" t="str">
        <f t="shared" si="3"/>
        <v>a</v>
      </c>
      <c r="J16" t="str">
        <f>IF(OR((E16=E17),(E16=E15)),"Line","MU")</f>
        <v>Line</v>
      </c>
      <c r="K16">
        <v>4665217.9890000001</v>
      </c>
      <c r="L16">
        <v>360152.967</v>
      </c>
      <c r="M16">
        <v>1.085</v>
      </c>
      <c r="O16" s="1"/>
      <c r="P16" s="2">
        <f t="shared" si="0"/>
        <v>15</v>
      </c>
      <c r="Q16" s="2" t="b">
        <f t="shared" si="7"/>
        <v>1</v>
      </c>
      <c r="R16" s="2">
        <f t="shared" si="4"/>
        <v>0</v>
      </c>
      <c r="S16" s="2" t="b">
        <f t="shared" si="5"/>
        <v>1</v>
      </c>
      <c r="T16">
        <v>1</v>
      </c>
      <c r="U16">
        <v>15</v>
      </c>
      <c r="V16" t="s">
        <v>7</v>
      </c>
      <c r="W16">
        <v>4665217.9890000001</v>
      </c>
      <c r="X16">
        <v>360152.967</v>
      </c>
      <c r="Y16">
        <v>1.085</v>
      </c>
      <c r="AA16">
        <v>15</v>
      </c>
    </row>
    <row r="17" spans="1:27" x14ac:dyDescent="0.25">
      <c r="A17" t="s">
        <v>74</v>
      </c>
      <c r="B17">
        <v>20</v>
      </c>
      <c r="C17" t="s">
        <v>75</v>
      </c>
      <c r="D17">
        <v>2019</v>
      </c>
      <c r="E17">
        <f t="shared" si="1"/>
        <v>7</v>
      </c>
      <c r="F17">
        <f t="shared" si="6"/>
        <v>16</v>
      </c>
      <c r="G17" t="s">
        <v>10</v>
      </c>
      <c r="H17" t="str">
        <f t="shared" si="2"/>
        <v>13</v>
      </c>
      <c r="I17" t="str">
        <f t="shared" si="3"/>
        <v>a</v>
      </c>
      <c r="J17" t="s">
        <v>76</v>
      </c>
      <c r="K17">
        <v>4665215.5559999999</v>
      </c>
      <c r="L17">
        <v>360144.79499999998</v>
      </c>
      <c r="M17">
        <v>1.077</v>
      </c>
      <c r="N17" t="s">
        <v>14</v>
      </c>
      <c r="O17" s="1"/>
      <c r="P17" s="2">
        <f t="shared" si="0"/>
        <v>16</v>
      </c>
      <c r="Q17" s="2" t="b">
        <f t="shared" si="7"/>
        <v>1</v>
      </c>
      <c r="R17" s="2" t="str">
        <f t="shared" si="4"/>
        <v>connect 16-18 with 19-21</v>
      </c>
      <c r="S17" s="2" t="b">
        <f t="shared" si="5"/>
        <v>1</v>
      </c>
      <c r="T17">
        <v>1</v>
      </c>
      <c r="U17">
        <v>16</v>
      </c>
      <c r="V17" t="s">
        <v>10</v>
      </c>
      <c r="W17">
        <v>4665215.5559999999</v>
      </c>
      <c r="X17">
        <v>360144.79499999998</v>
      </c>
      <c r="Y17">
        <v>1.077</v>
      </c>
      <c r="Z17" t="s">
        <v>14</v>
      </c>
      <c r="AA17">
        <v>16</v>
      </c>
    </row>
    <row r="18" spans="1:27" x14ac:dyDescent="0.25">
      <c r="A18" t="s">
        <v>74</v>
      </c>
      <c r="B18">
        <v>20</v>
      </c>
      <c r="C18" t="s">
        <v>75</v>
      </c>
      <c r="D18">
        <v>2019</v>
      </c>
      <c r="E18">
        <f t="shared" si="1"/>
        <v>7</v>
      </c>
      <c r="F18">
        <f t="shared" si="6"/>
        <v>17</v>
      </c>
      <c r="G18" t="s">
        <v>10</v>
      </c>
      <c r="H18" t="str">
        <f t="shared" si="2"/>
        <v>13</v>
      </c>
      <c r="I18" t="str">
        <f t="shared" si="3"/>
        <v>a</v>
      </c>
      <c r="J18" t="s">
        <v>76</v>
      </c>
      <c r="K18">
        <v>4665219.0939999996</v>
      </c>
      <c r="L18">
        <v>360152.96600000001</v>
      </c>
      <c r="M18">
        <v>1.038</v>
      </c>
      <c r="N18" t="s">
        <v>14</v>
      </c>
      <c r="O18" s="1"/>
      <c r="P18" s="2">
        <f t="shared" si="0"/>
        <v>17</v>
      </c>
      <c r="Q18" s="2" t="b">
        <f t="shared" si="7"/>
        <v>1</v>
      </c>
      <c r="R18" s="2" t="str">
        <f t="shared" si="4"/>
        <v>connect 16-18 with 19-21</v>
      </c>
      <c r="S18" s="2" t="b">
        <f t="shared" si="5"/>
        <v>1</v>
      </c>
      <c r="T18">
        <v>1</v>
      </c>
      <c r="U18">
        <v>17</v>
      </c>
      <c r="V18" t="s">
        <v>10</v>
      </c>
      <c r="W18">
        <v>4665219.0939999996</v>
      </c>
      <c r="X18">
        <v>360152.96600000001</v>
      </c>
      <c r="Y18">
        <v>1.038</v>
      </c>
      <c r="Z18" t="s">
        <v>14</v>
      </c>
      <c r="AA18">
        <v>17</v>
      </c>
    </row>
    <row r="19" spans="1:27" x14ac:dyDescent="0.25">
      <c r="A19" t="s">
        <v>74</v>
      </c>
      <c r="B19">
        <v>20</v>
      </c>
      <c r="C19" t="s">
        <v>75</v>
      </c>
      <c r="D19">
        <v>2019</v>
      </c>
      <c r="E19">
        <f t="shared" si="1"/>
        <v>7</v>
      </c>
      <c r="F19">
        <f t="shared" si="6"/>
        <v>18</v>
      </c>
      <c r="G19" t="s">
        <v>10</v>
      </c>
      <c r="H19" t="str">
        <f t="shared" si="2"/>
        <v>13</v>
      </c>
      <c r="I19" t="str">
        <f t="shared" si="3"/>
        <v>a</v>
      </c>
      <c r="J19" t="s">
        <v>76</v>
      </c>
      <c r="K19">
        <v>4665222.858</v>
      </c>
      <c r="L19">
        <v>360162.51199999999</v>
      </c>
      <c r="M19">
        <v>0.97799999999999998</v>
      </c>
      <c r="N19" t="s">
        <v>14</v>
      </c>
      <c r="O19" s="1"/>
      <c r="P19" s="2">
        <f t="shared" si="0"/>
        <v>18</v>
      </c>
      <c r="Q19" s="2" t="b">
        <f t="shared" si="7"/>
        <v>1</v>
      </c>
      <c r="R19" s="2" t="str">
        <f t="shared" si="4"/>
        <v>connect 16-18 with 19-21</v>
      </c>
      <c r="S19" s="2" t="b">
        <f t="shared" si="5"/>
        <v>1</v>
      </c>
      <c r="T19">
        <v>1</v>
      </c>
      <c r="U19">
        <v>18</v>
      </c>
      <c r="V19" t="s">
        <v>10</v>
      </c>
      <c r="W19">
        <v>4665222.858</v>
      </c>
      <c r="X19">
        <v>360162.51199999999</v>
      </c>
      <c r="Y19">
        <v>0.97799999999999998</v>
      </c>
      <c r="Z19" t="s">
        <v>14</v>
      </c>
      <c r="AA19">
        <v>18</v>
      </c>
    </row>
    <row r="20" spans="1:27" x14ac:dyDescent="0.25">
      <c r="A20" t="s">
        <v>74</v>
      </c>
      <c r="B20">
        <v>20</v>
      </c>
      <c r="C20" t="s">
        <v>75</v>
      </c>
      <c r="D20">
        <v>2019</v>
      </c>
      <c r="E20">
        <v>7</v>
      </c>
      <c r="F20">
        <f t="shared" si="6"/>
        <v>19</v>
      </c>
      <c r="G20" t="s">
        <v>10</v>
      </c>
      <c r="H20" t="str">
        <f t="shared" si="2"/>
        <v>13</v>
      </c>
      <c r="I20" t="str">
        <f t="shared" ref="I20:I22" si="8">RIGHT(G20,LEN(G20)-LEN(H20))</f>
        <v>a</v>
      </c>
      <c r="J20" t="s">
        <v>76</v>
      </c>
      <c r="K20">
        <v>4665224.8360000001</v>
      </c>
      <c r="L20">
        <v>360161.62800000003</v>
      </c>
      <c r="M20">
        <v>0.65500000000000003</v>
      </c>
      <c r="N20" t="s">
        <v>15</v>
      </c>
      <c r="O20" s="1"/>
      <c r="P20" s="2">
        <f t="shared" si="0"/>
        <v>19</v>
      </c>
      <c r="Q20" s="2" t="b">
        <f t="shared" si="7"/>
        <v>1</v>
      </c>
      <c r="R20" s="2" t="str">
        <f t="shared" si="4"/>
        <v>fiddlers present, big holes</v>
      </c>
      <c r="S20" s="2" t="b">
        <f t="shared" si="5"/>
        <v>1</v>
      </c>
      <c r="T20">
        <v>1</v>
      </c>
      <c r="U20">
        <v>19</v>
      </c>
      <c r="V20" t="s">
        <v>8</v>
      </c>
      <c r="W20">
        <v>4665224.8360000001</v>
      </c>
      <c r="X20">
        <v>360161.62800000003</v>
      </c>
      <c r="Y20">
        <v>0.65500000000000003</v>
      </c>
      <c r="Z20" t="s">
        <v>15</v>
      </c>
      <c r="AA20">
        <v>19</v>
      </c>
    </row>
    <row r="21" spans="1:27" x14ac:dyDescent="0.25">
      <c r="A21" t="s">
        <v>74</v>
      </c>
      <c r="B21">
        <v>20</v>
      </c>
      <c r="C21" t="s">
        <v>75</v>
      </c>
      <c r="D21">
        <v>2019</v>
      </c>
      <c r="E21">
        <v>7</v>
      </c>
      <c r="F21">
        <f t="shared" si="6"/>
        <v>20</v>
      </c>
      <c r="G21" t="s">
        <v>10</v>
      </c>
      <c r="H21" t="str">
        <f t="shared" si="2"/>
        <v>13</v>
      </c>
      <c r="I21" t="str">
        <f t="shared" si="8"/>
        <v>a</v>
      </c>
      <c r="J21" t="s">
        <v>76</v>
      </c>
      <c r="K21">
        <v>4665221.227</v>
      </c>
      <c r="L21">
        <v>360151.815</v>
      </c>
      <c r="M21">
        <v>0.58699999999999997</v>
      </c>
      <c r="N21" t="s">
        <v>15</v>
      </c>
      <c r="O21" s="1"/>
      <c r="P21" s="2">
        <f t="shared" si="0"/>
        <v>20</v>
      </c>
      <c r="Q21" s="2" t="b">
        <f t="shared" si="7"/>
        <v>1</v>
      </c>
      <c r="R21" s="2" t="str">
        <f t="shared" si="4"/>
        <v>fiddlers present, big holes</v>
      </c>
      <c r="S21" s="2" t="b">
        <f t="shared" si="5"/>
        <v>1</v>
      </c>
      <c r="T21">
        <v>1</v>
      </c>
      <c r="U21">
        <v>20</v>
      </c>
      <c r="V21" t="s">
        <v>8</v>
      </c>
      <c r="W21">
        <v>4665221.227</v>
      </c>
      <c r="X21">
        <v>360151.815</v>
      </c>
      <c r="Y21">
        <v>0.58699999999999997</v>
      </c>
      <c r="Z21" t="s">
        <v>15</v>
      </c>
      <c r="AA21">
        <v>20</v>
      </c>
    </row>
    <row r="22" spans="1:27" x14ac:dyDescent="0.25">
      <c r="A22" t="s">
        <v>74</v>
      </c>
      <c r="B22">
        <v>20</v>
      </c>
      <c r="C22" t="s">
        <v>75</v>
      </c>
      <c r="D22">
        <v>2019</v>
      </c>
      <c r="E22">
        <v>7</v>
      </c>
      <c r="F22">
        <f t="shared" si="6"/>
        <v>21</v>
      </c>
      <c r="G22" t="s">
        <v>10</v>
      </c>
      <c r="H22" t="str">
        <f t="shared" si="2"/>
        <v>13</v>
      </c>
      <c r="I22" t="str">
        <f t="shared" si="8"/>
        <v>a</v>
      </c>
      <c r="J22" t="s">
        <v>76</v>
      </c>
      <c r="K22">
        <v>4665218.0480000004</v>
      </c>
      <c r="L22">
        <v>360143.1</v>
      </c>
      <c r="M22">
        <v>0.48699999999999999</v>
      </c>
      <c r="N22" t="s">
        <v>15</v>
      </c>
      <c r="O22" s="1"/>
      <c r="P22" s="2">
        <f t="shared" si="0"/>
        <v>21</v>
      </c>
      <c r="Q22" s="2" t="b">
        <f t="shared" si="7"/>
        <v>1</v>
      </c>
      <c r="R22" s="2" t="str">
        <f t="shared" si="4"/>
        <v>fiddlers present, big holes</v>
      </c>
      <c r="S22" s="2" t="b">
        <f t="shared" si="5"/>
        <v>1</v>
      </c>
      <c r="T22">
        <v>1</v>
      </c>
      <c r="U22">
        <v>21</v>
      </c>
      <c r="V22" t="s">
        <v>8</v>
      </c>
      <c r="W22">
        <v>4665218.0480000004</v>
      </c>
      <c r="X22">
        <v>360143.1</v>
      </c>
      <c r="Y22">
        <v>0.48699999999999999</v>
      </c>
      <c r="Z22" t="s">
        <v>15</v>
      </c>
      <c r="AA22">
        <v>21</v>
      </c>
    </row>
    <row r="23" spans="1:27" x14ac:dyDescent="0.25">
      <c r="A23" t="s">
        <v>74</v>
      </c>
      <c r="B23">
        <v>20</v>
      </c>
      <c r="C23" t="s">
        <v>75</v>
      </c>
      <c r="D23">
        <v>2019</v>
      </c>
      <c r="E23">
        <f>IF(G23=G19,E19,E19+1)</f>
        <v>8</v>
      </c>
      <c r="F23">
        <f t="shared" si="6"/>
        <v>22</v>
      </c>
      <c r="G23" t="s">
        <v>8</v>
      </c>
      <c r="H23" t="str">
        <f t="shared" si="2"/>
        <v>21</v>
      </c>
      <c r="I23" t="str">
        <f t="shared" si="3"/>
        <v>k</v>
      </c>
      <c r="J23" t="s">
        <v>76</v>
      </c>
      <c r="K23">
        <v>4665224.8360000001</v>
      </c>
      <c r="L23">
        <v>360161.62800000003</v>
      </c>
      <c r="M23">
        <v>0.65500000000000003</v>
      </c>
      <c r="N23" t="s">
        <v>15</v>
      </c>
      <c r="O23" s="1"/>
      <c r="P23" s="2">
        <f t="shared" si="0"/>
        <v>19</v>
      </c>
      <c r="Q23" s="2" t="b">
        <f t="shared" si="7"/>
        <v>0</v>
      </c>
      <c r="R23" s="2" t="str">
        <f t="shared" si="4"/>
        <v>fiddlers present, big holes</v>
      </c>
      <c r="S23" s="2" t="b">
        <f t="shared" si="5"/>
        <v>1</v>
      </c>
      <c r="T23">
        <v>1</v>
      </c>
      <c r="U23">
        <v>22</v>
      </c>
      <c r="V23" t="s">
        <v>8</v>
      </c>
      <c r="W23">
        <v>4665218.9119999995</v>
      </c>
      <c r="X23">
        <v>360142.31699999998</v>
      </c>
      <c r="Y23">
        <v>0.73199999999999998</v>
      </c>
      <c r="AA23">
        <v>22</v>
      </c>
    </row>
    <row r="24" spans="1:27" x14ac:dyDescent="0.25">
      <c r="A24" t="s">
        <v>74</v>
      </c>
      <c r="B24">
        <v>20</v>
      </c>
      <c r="C24" t="s">
        <v>75</v>
      </c>
      <c r="D24">
        <v>2019</v>
      </c>
      <c r="E24">
        <f>IF(G24=G23,E23,E23+1)</f>
        <v>8</v>
      </c>
      <c r="F24">
        <f t="shared" si="6"/>
        <v>23</v>
      </c>
      <c r="G24" t="s">
        <v>8</v>
      </c>
      <c r="H24" t="str">
        <f t="shared" si="2"/>
        <v>21</v>
      </c>
      <c r="I24" t="str">
        <f t="shared" si="3"/>
        <v>k</v>
      </c>
      <c r="J24" t="s">
        <v>76</v>
      </c>
      <c r="K24">
        <v>4665221.227</v>
      </c>
      <c r="L24">
        <v>360151.815</v>
      </c>
      <c r="M24">
        <v>0.58699999999999997</v>
      </c>
      <c r="N24" t="s">
        <v>15</v>
      </c>
      <c r="O24" s="1"/>
      <c r="P24" s="2">
        <f t="shared" si="0"/>
        <v>20</v>
      </c>
      <c r="Q24" s="2" t="b">
        <f t="shared" si="7"/>
        <v>1</v>
      </c>
      <c r="R24" s="2" t="str">
        <f t="shared" si="4"/>
        <v>fiddlers present, big holes</v>
      </c>
      <c r="S24" s="2" t="b">
        <f t="shared" si="5"/>
        <v>1</v>
      </c>
      <c r="T24">
        <v>1</v>
      </c>
      <c r="U24">
        <v>23</v>
      </c>
      <c r="V24" t="s">
        <v>8</v>
      </c>
      <c r="W24">
        <v>4665223.0889999997</v>
      </c>
      <c r="X24">
        <v>360152.53899999999</v>
      </c>
      <c r="Y24">
        <v>0.65300000000000002</v>
      </c>
      <c r="AA24">
        <v>23</v>
      </c>
    </row>
    <row r="25" spans="1:27" x14ac:dyDescent="0.25">
      <c r="A25" t="s">
        <v>74</v>
      </c>
      <c r="B25">
        <v>20</v>
      </c>
      <c r="C25" t="s">
        <v>75</v>
      </c>
      <c r="D25">
        <v>2019</v>
      </c>
      <c r="E25">
        <f>IF(G25=G24,E24,E24+1)</f>
        <v>8</v>
      </c>
      <c r="F25">
        <f t="shared" si="6"/>
        <v>24</v>
      </c>
      <c r="G25" t="s">
        <v>8</v>
      </c>
      <c r="H25" t="str">
        <f t="shared" si="2"/>
        <v>21</v>
      </c>
      <c r="I25" t="str">
        <f t="shared" si="3"/>
        <v>k</v>
      </c>
      <c r="J25" t="s">
        <v>76</v>
      </c>
      <c r="K25">
        <v>4665218.0480000004</v>
      </c>
      <c r="L25">
        <v>360143.1</v>
      </c>
      <c r="M25">
        <v>0.48699999999999999</v>
      </c>
      <c r="N25" t="s">
        <v>15</v>
      </c>
      <c r="O25" s="1"/>
      <c r="P25" s="2">
        <f t="shared" si="0"/>
        <v>21</v>
      </c>
      <c r="Q25" s="2" t="b">
        <f t="shared" si="7"/>
        <v>1</v>
      </c>
      <c r="R25" s="2" t="str">
        <f t="shared" si="4"/>
        <v>fiddlers present, big holes</v>
      </c>
      <c r="S25" s="2" t="b">
        <f t="shared" si="5"/>
        <v>1</v>
      </c>
      <c r="T25">
        <v>1</v>
      </c>
      <c r="U25">
        <v>24</v>
      </c>
      <c r="V25" t="s">
        <v>8</v>
      </c>
      <c r="W25">
        <v>4665226.5640000002</v>
      </c>
      <c r="X25">
        <v>360160.67499999999</v>
      </c>
      <c r="Y25">
        <v>0.51700000000000002</v>
      </c>
      <c r="AA25">
        <v>24</v>
      </c>
    </row>
    <row r="26" spans="1:27" x14ac:dyDescent="0.25">
      <c r="A26" t="s">
        <v>74</v>
      </c>
      <c r="B26">
        <v>20</v>
      </c>
      <c r="C26" t="s">
        <v>75</v>
      </c>
      <c r="D26">
        <v>2019</v>
      </c>
      <c r="E26">
        <f>IF(G26=G25,E25,E25+1)</f>
        <v>8</v>
      </c>
      <c r="F26">
        <f t="shared" si="6"/>
        <v>25</v>
      </c>
      <c r="G26" t="s">
        <v>8</v>
      </c>
      <c r="H26" t="str">
        <f t="shared" si="2"/>
        <v>21</v>
      </c>
      <c r="I26" t="str">
        <f t="shared" si="3"/>
        <v>k</v>
      </c>
      <c r="J26" t="s">
        <v>76</v>
      </c>
      <c r="K26">
        <v>4665218.9119999995</v>
      </c>
      <c r="L26">
        <v>360142.31699999998</v>
      </c>
      <c r="M26">
        <v>0.73199999999999998</v>
      </c>
      <c r="O26" s="1"/>
      <c r="P26" s="2">
        <f t="shared" si="0"/>
        <v>22</v>
      </c>
      <c r="Q26" s="2" t="b">
        <f t="shared" si="7"/>
        <v>1</v>
      </c>
      <c r="R26" s="2">
        <f t="shared" si="4"/>
        <v>0</v>
      </c>
      <c r="S26" s="2" t="b">
        <f t="shared" si="5"/>
        <v>1</v>
      </c>
      <c r="T26">
        <v>1</v>
      </c>
      <c r="U26">
        <v>25</v>
      </c>
      <c r="V26" t="s">
        <v>10</v>
      </c>
      <c r="W26">
        <v>4665228.5619999999</v>
      </c>
      <c r="X26">
        <v>360160.16200000001</v>
      </c>
      <c r="Y26">
        <v>1.026</v>
      </c>
      <c r="Z26" t="s">
        <v>16</v>
      </c>
      <c r="AA26">
        <v>25</v>
      </c>
    </row>
    <row r="27" spans="1:27" x14ac:dyDescent="0.25">
      <c r="A27" t="s">
        <v>74</v>
      </c>
      <c r="B27">
        <v>20</v>
      </c>
      <c r="C27" t="s">
        <v>75</v>
      </c>
      <c r="D27">
        <v>2019</v>
      </c>
      <c r="E27">
        <f>IF(G27=G26,E26,E26+1)</f>
        <v>8</v>
      </c>
      <c r="F27">
        <f t="shared" si="6"/>
        <v>26</v>
      </c>
      <c r="G27" t="s">
        <v>8</v>
      </c>
      <c r="H27" t="str">
        <f t="shared" si="2"/>
        <v>21</v>
      </c>
      <c r="I27" t="str">
        <f t="shared" si="3"/>
        <v>k</v>
      </c>
      <c r="J27" t="s">
        <v>76</v>
      </c>
      <c r="K27">
        <v>4665223.0889999997</v>
      </c>
      <c r="L27">
        <v>360152.53899999999</v>
      </c>
      <c r="M27">
        <v>0.65300000000000002</v>
      </c>
      <c r="O27" s="1"/>
      <c r="P27" s="2">
        <f t="shared" si="0"/>
        <v>23</v>
      </c>
      <c r="Q27" s="2" t="b">
        <f t="shared" si="7"/>
        <v>1</v>
      </c>
      <c r="R27" s="2">
        <f t="shared" si="4"/>
        <v>0</v>
      </c>
      <c r="S27" s="2" t="b">
        <f t="shared" si="5"/>
        <v>1</v>
      </c>
      <c r="T27">
        <v>1</v>
      </c>
      <c r="U27">
        <v>26</v>
      </c>
      <c r="V27" t="s">
        <v>10</v>
      </c>
      <c r="W27">
        <v>4665224.9289999995</v>
      </c>
      <c r="X27">
        <v>360151.054</v>
      </c>
      <c r="Y27">
        <v>1.077</v>
      </c>
      <c r="Z27" t="s">
        <v>16</v>
      </c>
      <c r="AA27">
        <v>26</v>
      </c>
    </row>
    <row r="28" spans="1:27" x14ac:dyDescent="0.25">
      <c r="A28" t="s">
        <v>74</v>
      </c>
      <c r="B28">
        <v>20</v>
      </c>
      <c r="C28" t="s">
        <v>75</v>
      </c>
      <c r="D28">
        <v>2019</v>
      </c>
      <c r="E28">
        <f>IF(G28=G27,E27,E27+1)</f>
        <v>8</v>
      </c>
      <c r="F28">
        <f t="shared" si="6"/>
        <v>27</v>
      </c>
      <c r="G28" t="s">
        <v>8</v>
      </c>
      <c r="H28" t="str">
        <f t="shared" si="2"/>
        <v>21</v>
      </c>
      <c r="I28" t="str">
        <f t="shared" si="3"/>
        <v>k</v>
      </c>
      <c r="J28" t="s">
        <v>76</v>
      </c>
      <c r="K28">
        <v>4665226.5640000002</v>
      </c>
      <c r="L28">
        <v>360160.67499999999</v>
      </c>
      <c r="M28">
        <v>0.51700000000000002</v>
      </c>
      <c r="O28" s="1"/>
      <c r="P28" s="2">
        <f t="shared" si="0"/>
        <v>24</v>
      </c>
      <c r="Q28" s="2" t="b">
        <f t="shared" si="7"/>
        <v>1</v>
      </c>
      <c r="R28" s="2">
        <f t="shared" si="4"/>
        <v>0</v>
      </c>
      <c r="S28" s="2" t="b">
        <f t="shared" si="5"/>
        <v>1</v>
      </c>
      <c r="T28">
        <v>1</v>
      </c>
      <c r="U28">
        <v>27</v>
      </c>
      <c r="V28" t="s">
        <v>10</v>
      </c>
      <c r="W28">
        <v>4665220.3140000002</v>
      </c>
      <c r="X28">
        <v>360141.63500000001</v>
      </c>
      <c r="Y28">
        <v>1.1399999999999999</v>
      </c>
      <c r="Z28" t="s">
        <v>16</v>
      </c>
      <c r="AA28">
        <v>27</v>
      </c>
    </row>
    <row r="29" spans="1:27" x14ac:dyDescent="0.25">
      <c r="A29" t="s">
        <v>74</v>
      </c>
      <c r="B29">
        <v>20</v>
      </c>
      <c r="C29" t="s">
        <v>75</v>
      </c>
      <c r="D29">
        <v>2019</v>
      </c>
      <c r="E29">
        <v>9</v>
      </c>
      <c r="F29">
        <f t="shared" si="6"/>
        <v>28</v>
      </c>
      <c r="G29" t="s">
        <v>10</v>
      </c>
      <c r="H29" t="str">
        <f t="shared" si="2"/>
        <v>13</v>
      </c>
      <c r="I29" t="str">
        <f t="shared" ref="I29:I31" si="9">RIGHT(G29,LEN(G29)-LEN(H29))</f>
        <v>a</v>
      </c>
      <c r="J29" t="s">
        <v>76</v>
      </c>
      <c r="K29">
        <v>4665218.9119999995</v>
      </c>
      <c r="L29">
        <v>360142.31699999998</v>
      </c>
      <c r="M29">
        <v>0.73199999999999998</v>
      </c>
      <c r="O29" s="1"/>
      <c r="P29" s="2">
        <f t="shared" si="0"/>
        <v>22</v>
      </c>
      <c r="Q29" s="2" t="b">
        <f t="shared" si="7"/>
        <v>0</v>
      </c>
      <c r="R29" s="2">
        <f t="shared" si="4"/>
        <v>0</v>
      </c>
      <c r="S29" s="2" t="b">
        <f t="shared" si="5"/>
        <v>1</v>
      </c>
      <c r="T29">
        <v>1</v>
      </c>
      <c r="U29">
        <v>28</v>
      </c>
      <c r="V29" t="s">
        <v>17</v>
      </c>
      <c r="W29">
        <v>4665226.4450000003</v>
      </c>
      <c r="X29">
        <v>360151.016</v>
      </c>
      <c r="Y29">
        <v>1.117</v>
      </c>
      <c r="AA29">
        <v>28</v>
      </c>
    </row>
    <row r="30" spans="1:27" x14ac:dyDescent="0.25">
      <c r="A30" t="s">
        <v>74</v>
      </c>
      <c r="B30">
        <v>20</v>
      </c>
      <c r="C30" t="s">
        <v>75</v>
      </c>
      <c r="D30">
        <v>2019</v>
      </c>
      <c r="E30">
        <v>9</v>
      </c>
      <c r="F30">
        <f t="shared" si="6"/>
        <v>29</v>
      </c>
      <c r="G30" t="s">
        <v>10</v>
      </c>
      <c r="H30" t="str">
        <f t="shared" si="2"/>
        <v>13</v>
      </c>
      <c r="I30" t="str">
        <f t="shared" si="9"/>
        <v>a</v>
      </c>
      <c r="J30" t="s">
        <v>76</v>
      </c>
      <c r="K30">
        <v>4665223.0889999997</v>
      </c>
      <c r="L30">
        <v>360152.53899999999</v>
      </c>
      <c r="M30">
        <v>0.65300000000000002</v>
      </c>
      <c r="O30" s="1"/>
      <c r="P30" s="2">
        <f t="shared" si="0"/>
        <v>23</v>
      </c>
      <c r="Q30" s="2" t="b">
        <f t="shared" si="7"/>
        <v>1</v>
      </c>
      <c r="R30" s="2">
        <f t="shared" si="4"/>
        <v>0</v>
      </c>
      <c r="S30" s="2" t="b">
        <f t="shared" si="5"/>
        <v>1</v>
      </c>
      <c r="T30">
        <v>1</v>
      </c>
      <c r="U30">
        <v>29</v>
      </c>
      <c r="V30" t="s">
        <v>17</v>
      </c>
      <c r="W30">
        <v>4665230.5310000004</v>
      </c>
      <c r="X30">
        <v>360151.152</v>
      </c>
      <c r="Y30">
        <v>1.177</v>
      </c>
      <c r="AA30">
        <v>29</v>
      </c>
    </row>
    <row r="31" spans="1:27" x14ac:dyDescent="0.25">
      <c r="A31" t="s">
        <v>74</v>
      </c>
      <c r="B31">
        <v>20</v>
      </c>
      <c r="C31" t="s">
        <v>75</v>
      </c>
      <c r="D31">
        <v>2019</v>
      </c>
      <c r="E31">
        <v>9</v>
      </c>
      <c r="F31">
        <f t="shared" si="6"/>
        <v>30</v>
      </c>
      <c r="G31" t="s">
        <v>10</v>
      </c>
      <c r="H31" t="str">
        <f t="shared" si="2"/>
        <v>13</v>
      </c>
      <c r="I31" t="str">
        <f t="shared" si="9"/>
        <v>a</v>
      </c>
      <c r="J31" t="s">
        <v>76</v>
      </c>
      <c r="K31">
        <v>4665226.5640000002</v>
      </c>
      <c r="L31">
        <v>360160.67499999999</v>
      </c>
      <c r="M31">
        <v>0.51700000000000002</v>
      </c>
      <c r="O31" s="1"/>
      <c r="P31" s="2">
        <f t="shared" si="0"/>
        <v>24</v>
      </c>
      <c r="Q31" s="2" t="b">
        <f t="shared" si="7"/>
        <v>1</v>
      </c>
      <c r="R31" s="2">
        <f t="shared" si="4"/>
        <v>0</v>
      </c>
      <c r="S31" s="2" t="b">
        <f t="shared" si="5"/>
        <v>1</v>
      </c>
      <c r="T31">
        <v>1</v>
      </c>
      <c r="U31">
        <v>30</v>
      </c>
      <c r="V31" t="s">
        <v>18</v>
      </c>
      <c r="W31">
        <v>4665232.6090000002</v>
      </c>
      <c r="X31">
        <v>360151.33600000001</v>
      </c>
      <c r="Y31">
        <v>1.131</v>
      </c>
      <c r="Z31" t="s">
        <v>6</v>
      </c>
      <c r="AA31">
        <v>30</v>
      </c>
    </row>
    <row r="32" spans="1:27" x14ac:dyDescent="0.25">
      <c r="A32" t="s">
        <v>74</v>
      </c>
      <c r="B32">
        <v>20</v>
      </c>
      <c r="C32" t="s">
        <v>75</v>
      </c>
      <c r="D32">
        <v>2019</v>
      </c>
      <c r="E32">
        <f>IF(G32=G28,E28,E28+1)</f>
        <v>9</v>
      </c>
      <c r="F32">
        <f t="shared" si="6"/>
        <v>31</v>
      </c>
      <c r="G32" t="s">
        <v>10</v>
      </c>
      <c r="H32" t="str">
        <f t="shared" si="2"/>
        <v>13</v>
      </c>
      <c r="I32" t="str">
        <f t="shared" si="3"/>
        <v>a</v>
      </c>
      <c r="J32" t="s">
        <v>76</v>
      </c>
      <c r="K32">
        <v>4665228.5619999999</v>
      </c>
      <c r="L32">
        <v>360160.16200000001</v>
      </c>
      <c r="M32">
        <v>1.026</v>
      </c>
      <c r="N32" t="s">
        <v>16</v>
      </c>
      <c r="O32" s="1"/>
      <c r="P32" s="2">
        <f t="shared" si="0"/>
        <v>25</v>
      </c>
      <c r="Q32" s="2" t="b">
        <f t="shared" si="7"/>
        <v>1</v>
      </c>
      <c r="R32" s="2" t="str">
        <f t="shared" si="4"/>
        <v>connect with 22-24 for polygon</v>
      </c>
      <c r="S32" s="2" t="b">
        <f t="shared" si="5"/>
        <v>1</v>
      </c>
      <c r="T32">
        <v>1</v>
      </c>
      <c r="U32">
        <v>31</v>
      </c>
      <c r="V32" t="s">
        <v>7</v>
      </c>
      <c r="W32">
        <v>4665234.727</v>
      </c>
      <c r="X32">
        <v>360151.576</v>
      </c>
      <c r="Y32">
        <v>1.139</v>
      </c>
      <c r="AA32">
        <v>31</v>
      </c>
    </row>
    <row r="33" spans="1:27" x14ac:dyDescent="0.25">
      <c r="A33" t="s">
        <v>74</v>
      </c>
      <c r="B33">
        <v>20</v>
      </c>
      <c r="C33" t="s">
        <v>75</v>
      </c>
      <c r="D33">
        <v>2019</v>
      </c>
      <c r="E33">
        <f t="shared" ref="E33:E64" si="10">IF(G33=G32,E32,E32+1)</f>
        <v>9</v>
      </c>
      <c r="F33">
        <f t="shared" si="6"/>
        <v>32</v>
      </c>
      <c r="G33" t="s">
        <v>10</v>
      </c>
      <c r="H33" t="str">
        <f t="shared" si="2"/>
        <v>13</v>
      </c>
      <c r="I33" t="str">
        <f t="shared" si="3"/>
        <v>a</v>
      </c>
      <c r="J33" t="s">
        <v>76</v>
      </c>
      <c r="K33">
        <v>4665224.9289999995</v>
      </c>
      <c r="L33">
        <v>360151.054</v>
      </c>
      <c r="M33">
        <v>1.077</v>
      </c>
      <c r="N33" t="s">
        <v>16</v>
      </c>
      <c r="O33" s="1"/>
      <c r="P33" s="2">
        <f t="shared" si="0"/>
        <v>26</v>
      </c>
      <c r="Q33" s="2" t="b">
        <f t="shared" si="7"/>
        <v>1</v>
      </c>
      <c r="R33" s="2" t="str">
        <f t="shared" si="4"/>
        <v>connect with 22-24 for polygon</v>
      </c>
      <c r="S33" s="2" t="b">
        <f t="shared" si="5"/>
        <v>1</v>
      </c>
      <c r="T33">
        <v>2</v>
      </c>
      <c r="U33">
        <v>32</v>
      </c>
      <c r="V33" t="s">
        <v>5</v>
      </c>
      <c r="W33">
        <v>4665234.3310000002</v>
      </c>
      <c r="X33">
        <v>360153.59</v>
      </c>
      <c r="Y33">
        <v>1.1819999999999999</v>
      </c>
      <c r="AA33">
        <v>32</v>
      </c>
    </row>
    <row r="34" spans="1:27" x14ac:dyDescent="0.25">
      <c r="A34" t="s">
        <v>74</v>
      </c>
      <c r="B34">
        <v>20</v>
      </c>
      <c r="C34" t="s">
        <v>75</v>
      </c>
      <c r="D34">
        <v>2019</v>
      </c>
      <c r="E34">
        <f t="shared" si="10"/>
        <v>9</v>
      </c>
      <c r="F34">
        <f t="shared" si="6"/>
        <v>33</v>
      </c>
      <c r="G34" t="s">
        <v>10</v>
      </c>
      <c r="H34" t="str">
        <f t="shared" si="2"/>
        <v>13</v>
      </c>
      <c r="I34" t="str">
        <f t="shared" si="3"/>
        <v>a</v>
      </c>
      <c r="J34" t="s">
        <v>76</v>
      </c>
      <c r="K34">
        <v>4665220.3140000002</v>
      </c>
      <c r="L34">
        <v>360141.63500000001</v>
      </c>
      <c r="M34">
        <v>1.1399999999999999</v>
      </c>
      <c r="N34" t="s">
        <v>16</v>
      </c>
      <c r="O34" s="1"/>
      <c r="P34" s="2">
        <f t="shared" ref="P34:P66" si="11">VLOOKUP(K34,W$1:AA$264,5,FALSE)</f>
        <v>27</v>
      </c>
      <c r="Q34" s="2" t="b">
        <f t="shared" si="7"/>
        <v>1</v>
      </c>
      <c r="R34" s="2" t="str">
        <f t="shared" si="4"/>
        <v>connect with 22-24 for polygon</v>
      </c>
      <c r="S34" s="2" t="b">
        <f t="shared" si="5"/>
        <v>1</v>
      </c>
      <c r="T34">
        <v>2</v>
      </c>
      <c r="U34">
        <v>33</v>
      </c>
      <c r="V34" t="s">
        <v>5</v>
      </c>
      <c r="W34">
        <v>4665235.9819999998</v>
      </c>
      <c r="X34">
        <v>360160.58299999998</v>
      </c>
      <c r="Y34">
        <v>1.1539999999999999</v>
      </c>
      <c r="AA34">
        <v>33</v>
      </c>
    </row>
    <row r="35" spans="1:27" hidden="1" x14ac:dyDescent="0.25">
      <c r="A35" t="s">
        <v>74</v>
      </c>
      <c r="B35">
        <v>20</v>
      </c>
      <c r="C35" t="s">
        <v>75</v>
      </c>
      <c r="D35">
        <v>2019</v>
      </c>
      <c r="E35">
        <f t="shared" si="10"/>
        <v>10</v>
      </c>
      <c r="F35">
        <f t="shared" si="6"/>
        <v>34</v>
      </c>
      <c r="G35" t="s">
        <v>17</v>
      </c>
      <c r="H35" t="str">
        <f t="shared" si="2"/>
        <v>06</v>
      </c>
      <c r="I35" t="str">
        <f t="shared" si="3"/>
        <v>a</v>
      </c>
      <c r="J35" t="str">
        <f t="shared" ref="J35:J69" si="12">IF(OR((E35=E36),(E35=E34)),"Line","MU")</f>
        <v>Line</v>
      </c>
      <c r="K35">
        <v>4665226.4450000003</v>
      </c>
      <c r="L35">
        <v>360151.016</v>
      </c>
      <c r="M35">
        <v>1.117</v>
      </c>
      <c r="O35" s="1"/>
      <c r="P35" s="2">
        <f t="shared" si="11"/>
        <v>28</v>
      </c>
      <c r="Q35" s="2" t="b">
        <f t="shared" si="7"/>
        <v>1</v>
      </c>
      <c r="R35" s="2">
        <f t="shared" si="4"/>
        <v>0</v>
      </c>
      <c r="S35" s="2" t="b">
        <f t="shared" si="5"/>
        <v>1</v>
      </c>
      <c r="T35">
        <v>2</v>
      </c>
      <c r="U35">
        <v>34</v>
      </c>
      <c r="V35" t="s">
        <v>7</v>
      </c>
      <c r="W35">
        <v>4665236.6639999999</v>
      </c>
      <c r="X35">
        <v>360162.48499999999</v>
      </c>
      <c r="Y35">
        <v>1.1519999999999999</v>
      </c>
      <c r="Z35" t="s">
        <v>13</v>
      </c>
      <c r="AA35">
        <v>34</v>
      </c>
    </row>
    <row r="36" spans="1:27" hidden="1" x14ac:dyDescent="0.25">
      <c r="A36" t="s">
        <v>74</v>
      </c>
      <c r="B36">
        <v>20</v>
      </c>
      <c r="C36" t="s">
        <v>75</v>
      </c>
      <c r="D36">
        <v>2019</v>
      </c>
      <c r="E36">
        <f t="shared" si="10"/>
        <v>10</v>
      </c>
      <c r="F36">
        <f t="shared" si="6"/>
        <v>35</v>
      </c>
      <c r="G36" t="s">
        <v>17</v>
      </c>
      <c r="H36" t="str">
        <f t="shared" si="2"/>
        <v>06</v>
      </c>
      <c r="I36" t="str">
        <f t="shared" si="3"/>
        <v>a</v>
      </c>
      <c r="J36" t="str">
        <f t="shared" si="12"/>
        <v>Line</v>
      </c>
      <c r="K36">
        <v>4665230.5310000004</v>
      </c>
      <c r="L36">
        <v>360151.152</v>
      </c>
      <c r="M36">
        <v>1.177</v>
      </c>
      <c r="O36" s="1"/>
      <c r="P36" s="2">
        <f t="shared" si="11"/>
        <v>29</v>
      </c>
      <c r="Q36" s="2" t="b">
        <f t="shared" si="7"/>
        <v>1</v>
      </c>
      <c r="R36" s="2">
        <f t="shared" si="4"/>
        <v>0</v>
      </c>
      <c r="S36" s="2" t="b">
        <f t="shared" si="5"/>
        <v>1</v>
      </c>
      <c r="T36">
        <v>2</v>
      </c>
      <c r="U36">
        <v>35</v>
      </c>
      <c r="V36" t="s">
        <v>7</v>
      </c>
      <c r="W36">
        <v>4665240.1720000003</v>
      </c>
      <c r="X36">
        <v>360174.44500000001</v>
      </c>
      <c r="Y36">
        <v>1.119</v>
      </c>
      <c r="Z36" t="s">
        <v>13</v>
      </c>
      <c r="AA36">
        <v>35</v>
      </c>
    </row>
    <row r="37" spans="1:27" hidden="1" x14ac:dyDescent="0.25">
      <c r="A37" t="s">
        <v>74</v>
      </c>
      <c r="B37">
        <v>20</v>
      </c>
      <c r="C37" t="s">
        <v>75</v>
      </c>
      <c r="D37">
        <v>2019</v>
      </c>
      <c r="E37">
        <f t="shared" si="10"/>
        <v>11</v>
      </c>
      <c r="F37">
        <f t="shared" si="6"/>
        <v>36</v>
      </c>
      <c r="G37" t="s">
        <v>18</v>
      </c>
      <c r="H37" t="str">
        <f t="shared" si="2"/>
        <v>05</v>
      </c>
      <c r="I37" t="str">
        <f t="shared" si="3"/>
        <v>a</v>
      </c>
      <c r="J37" t="str">
        <f t="shared" si="12"/>
        <v>MU</v>
      </c>
      <c r="K37">
        <v>4665232.6090000002</v>
      </c>
      <c r="L37">
        <v>360151.33600000001</v>
      </c>
      <c r="M37">
        <v>1.131</v>
      </c>
      <c r="N37" t="s">
        <v>6</v>
      </c>
      <c r="O37" s="1"/>
      <c r="P37" s="2">
        <f t="shared" si="11"/>
        <v>30</v>
      </c>
      <c r="Q37" s="2" t="b">
        <f t="shared" si="7"/>
        <v>1</v>
      </c>
      <c r="R37" s="2" t="str">
        <f t="shared" si="4"/>
        <v>1 mu</v>
      </c>
      <c r="S37" s="2" t="b">
        <f t="shared" si="5"/>
        <v>1</v>
      </c>
      <c r="T37">
        <v>2</v>
      </c>
      <c r="U37">
        <v>36</v>
      </c>
      <c r="V37" t="s">
        <v>19</v>
      </c>
      <c r="W37">
        <v>4665240.9170000004</v>
      </c>
      <c r="X37">
        <v>360176.45600000001</v>
      </c>
      <c r="Y37">
        <v>1.0900000000000001</v>
      </c>
      <c r="AA37">
        <v>36</v>
      </c>
    </row>
    <row r="38" spans="1:27" hidden="1" x14ac:dyDescent="0.25">
      <c r="A38" t="s">
        <v>74</v>
      </c>
      <c r="B38">
        <v>20</v>
      </c>
      <c r="C38" t="s">
        <v>75</v>
      </c>
      <c r="D38">
        <v>2019</v>
      </c>
      <c r="E38">
        <f t="shared" si="10"/>
        <v>12</v>
      </c>
      <c r="F38">
        <f t="shared" si="6"/>
        <v>37</v>
      </c>
      <c r="G38" t="s">
        <v>7</v>
      </c>
      <c r="H38" t="str">
        <f t="shared" si="2"/>
        <v>02</v>
      </c>
      <c r="I38" t="str">
        <f t="shared" si="3"/>
        <v>a</v>
      </c>
      <c r="J38" t="str">
        <f t="shared" si="12"/>
        <v>MU</v>
      </c>
      <c r="K38">
        <v>4665234.727</v>
      </c>
      <c r="L38">
        <v>360151.576</v>
      </c>
      <c r="M38">
        <v>1.139</v>
      </c>
      <c r="O38" s="1"/>
      <c r="P38" s="2">
        <f t="shared" si="11"/>
        <v>31</v>
      </c>
      <c r="Q38" s="2" t="b">
        <f t="shared" si="7"/>
        <v>1</v>
      </c>
      <c r="R38" s="2">
        <f t="shared" si="4"/>
        <v>0</v>
      </c>
      <c r="S38" s="2" t="b">
        <f t="shared" si="5"/>
        <v>1</v>
      </c>
      <c r="T38">
        <v>2</v>
      </c>
      <c r="U38">
        <v>37</v>
      </c>
      <c r="V38" t="s">
        <v>81</v>
      </c>
      <c r="W38">
        <v>4665241.3169999998</v>
      </c>
      <c r="X38">
        <v>360177.70899999997</v>
      </c>
      <c r="Y38">
        <v>0.65400000000000003</v>
      </c>
      <c r="Z38" t="s">
        <v>82</v>
      </c>
      <c r="AA38">
        <v>37</v>
      </c>
    </row>
    <row r="39" spans="1:27" hidden="1" x14ac:dyDescent="0.25">
      <c r="A39" t="s">
        <v>74</v>
      </c>
      <c r="B39">
        <v>20</v>
      </c>
      <c r="C39" t="s">
        <v>75</v>
      </c>
      <c r="D39">
        <v>2019</v>
      </c>
      <c r="E39">
        <f t="shared" si="10"/>
        <v>13</v>
      </c>
      <c r="F39">
        <f t="shared" si="6"/>
        <v>38</v>
      </c>
      <c r="G39" t="s">
        <v>5</v>
      </c>
      <c r="H39" t="str">
        <f t="shared" si="2"/>
        <v>04</v>
      </c>
      <c r="I39" t="str">
        <f t="shared" si="3"/>
        <v>a</v>
      </c>
      <c r="J39" t="str">
        <f t="shared" si="12"/>
        <v>Line</v>
      </c>
      <c r="K39">
        <v>4665234.3310000002</v>
      </c>
      <c r="L39">
        <v>360153.59</v>
      </c>
      <c r="M39">
        <v>1.1819999999999999</v>
      </c>
      <c r="O39" s="1"/>
      <c r="P39" s="2">
        <f t="shared" si="11"/>
        <v>32</v>
      </c>
      <c r="Q39" s="2" t="b">
        <f t="shared" si="7"/>
        <v>1</v>
      </c>
      <c r="R39" s="2">
        <f t="shared" si="4"/>
        <v>0</v>
      </c>
      <c r="S39" s="2" t="b">
        <f t="shared" si="5"/>
        <v>1</v>
      </c>
      <c r="T39">
        <v>2</v>
      </c>
      <c r="U39">
        <v>38</v>
      </c>
      <c r="V39" t="s">
        <v>81</v>
      </c>
      <c r="W39">
        <v>4665246.2429999998</v>
      </c>
      <c r="X39">
        <v>360174.97700000001</v>
      </c>
      <c r="Y39">
        <v>0.56299999999999994</v>
      </c>
      <c r="Z39" t="s">
        <v>82</v>
      </c>
      <c r="AA39">
        <v>38</v>
      </c>
    </row>
    <row r="40" spans="1:27" hidden="1" x14ac:dyDescent="0.25">
      <c r="A40" t="s">
        <v>74</v>
      </c>
      <c r="B40">
        <v>20</v>
      </c>
      <c r="C40" t="s">
        <v>75</v>
      </c>
      <c r="D40">
        <v>2019</v>
      </c>
      <c r="E40">
        <f t="shared" si="10"/>
        <v>13</v>
      </c>
      <c r="F40">
        <f t="shared" si="6"/>
        <v>39</v>
      </c>
      <c r="G40" t="s">
        <v>5</v>
      </c>
      <c r="H40" t="str">
        <f t="shared" si="2"/>
        <v>04</v>
      </c>
      <c r="I40" t="str">
        <f t="shared" si="3"/>
        <v>a</v>
      </c>
      <c r="J40" t="str">
        <f t="shared" si="12"/>
        <v>Line</v>
      </c>
      <c r="K40">
        <v>4665235.9819999998</v>
      </c>
      <c r="L40">
        <v>360160.58299999998</v>
      </c>
      <c r="M40">
        <v>1.1539999999999999</v>
      </c>
      <c r="O40" s="1"/>
      <c r="P40" s="2">
        <f t="shared" si="11"/>
        <v>33</v>
      </c>
      <c r="Q40" s="2" t="b">
        <f t="shared" si="7"/>
        <v>1</v>
      </c>
      <c r="R40" s="2">
        <f t="shared" si="4"/>
        <v>0</v>
      </c>
      <c r="S40" s="2" t="b">
        <f t="shared" si="5"/>
        <v>1</v>
      </c>
      <c r="T40">
        <v>2</v>
      </c>
      <c r="U40">
        <v>39</v>
      </c>
      <c r="V40" t="s">
        <v>81</v>
      </c>
      <c r="W40">
        <v>4665250.7860000003</v>
      </c>
      <c r="X40">
        <v>360171.989</v>
      </c>
      <c r="Y40">
        <v>0.61899999999999999</v>
      </c>
      <c r="Z40" t="s">
        <v>82</v>
      </c>
      <c r="AA40">
        <v>39</v>
      </c>
    </row>
    <row r="41" spans="1:27" hidden="1" x14ac:dyDescent="0.25">
      <c r="A41" t="s">
        <v>74</v>
      </c>
      <c r="B41">
        <v>20</v>
      </c>
      <c r="C41" t="s">
        <v>75</v>
      </c>
      <c r="D41">
        <v>2019</v>
      </c>
      <c r="E41">
        <f t="shared" si="10"/>
        <v>14</v>
      </c>
      <c r="F41">
        <f t="shared" si="6"/>
        <v>40</v>
      </c>
      <c r="G41" t="s">
        <v>7</v>
      </c>
      <c r="H41" t="str">
        <f t="shared" si="2"/>
        <v>02</v>
      </c>
      <c r="I41" t="str">
        <f t="shared" si="3"/>
        <v>a</v>
      </c>
      <c r="J41" t="str">
        <f t="shared" si="12"/>
        <v>Line</v>
      </c>
      <c r="K41">
        <v>4665236.6639999999</v>
      </c>
      <c r="L41">
        <v>360162.48499999999</v>
      </c>
      <c r="M41">
        <v>1.1519999999999999</v>
      </c>
      <c r="N41" t="s">
        <v>13</v>
      </c>
      <c r="O41" s="1"/>
      <c r="P41" s="2">
        <f t="shared" si="11"/>
        <v>34</v>
      </c>
      <c r="Q41" s="2" t="b">
        <f t="shared" si="7"/>
        <v>1</v>
      </c>
      <c r="R41" s="2" t="str">
        <f t="shared" si="4"/>
        <v>some salicornia</v>
      </c>
      <c r="S41" s="2" t="b">
        <f t="shared" si="5"/>
        <v>1</v>
      </c>
      <c r="T41">
        <v>2</v>
      </c>
      <c r="U41">
        <v>40</v>
      </c>
      <c r="V41" t="s">
        <v>81</v>
      </c>
      <c r="W41">
        <v>4665252.3119999999</v>
      </c>
      <c r="X41">
        <v>360168.58</v>
      </c>
      <c r="Y41">
        <v>0.51600000000000001</v>
      </c>
      <c r="Z41" t="s">
        <v>82</v>
      </c>
      <c r="AA41">
        <v>40</v>
      </c>
    </row>
    <row r="42" spans="1:27" hidden="1" x14ac:dyDescent="0.25">
      <c r="A42" t="s">
        <v>74</v>
      </c>
      <c r="B42">
        <v>20</v>
      </c>
      <c r="C42" t="s">
        <v>75</v>
      </c>
      <c r="D42">
        <v>2019</v>
      </c>
      <c r="E42">
        <f t="shared" si="10"/>
        <v>14</v>
      </c>
      <c r="F42">
        <f t="shared" si="6"/>
        <v>41</v>
      </c>
      <c r="G42" t="s">
        <v>7</v>
      </c>
      <c r="H42" t="str">
        <f t="shared" si="2"/>
        <v>02</v>
      </c>
      <c r="I42" t="str">
        <f t="shared" si="3"/>
        <v>a</v>
      </c>
      <c r="J42" t="str">
        <f t="shared" si="12"/>
        <v>Line</v>
      </c>
      <c r="K42">
        <v>4665240.1720000003</v>
      </c>
      <c r="L42">
        <v>360174.44500000001</v>
      </c>
      <c r="M42">
        <v>1.119</v>
      </c>
      <c r="N42" t="s">
        <v>13</v>
      </c>
      <c r="O42" s="1"/>
      <c r="P42" s="2">
        <f t="shared" si="11"/>
        <v>35</v>
      </c>
      <c r="Q42" s="2" t="b">
        <f t="shared" si="7"/>
        <v>1</v>
      </c>
      <c r="R42" s="2" t="str">
        <f t="shared" si="4"/>
        <v>some salicornia</v>
      </c>
      <c r="S42" s="2" t="b">
        <f t="shared" si="5"/>
        <v>1</v>
      </c>
      <c r="T42">
        <v>2</v>
      </c>
      <c r="U42">
        <v>41</v>
      </c>
      <c r="V42" t="s">
        <v>81</v>
      </c>
      <c r="W42">
        <v>4665249.1780000003</v>
      </c>
      <c r="X42">
        <v>360163.13199999998</v>
      </c>
      <c r="Y42">
        <v>0.84799999999999998</v>
      </c>
      <c r="Z42" t="s">
        <v>82</v>
      </c>
      <c r="AA42">
        <v>41</v>
      </c>
    </row>
    <row r="43" spans="1:27" hidden="1" x14ac:dyDescent="0.25">
      <c r="A43" t="s">
        <v>74</v>
      </c>
      <c r="B43">
        <v>20</v>
      </c>
      <c r="C43" t="s">
        <v>75</v>
      </c>
      <c r="D43">
        <v>2019</v>
      </c>
      <c r="E43">
        <f t="shared" si="10"/>
        <v>15</v>
      </c>
      <c r="F43">
        <f t="shared" si="6"/>
        <v>42</v>
      </c>
      <c r="G43" t="s">
        <v>19</v>
      </c>
      <c r="H43" t="str">
        <f t="shared" si="2"/>
        <v>01</v>
      </c>
      <c r="I43" t="str">
        <f t="shared" si="3"/>
        <v>a</v>
      </c>
      <c r="J43" t="str">
        <f t="shared" si="12"/>
        <v>Line</v>
      </c>
      <c r="K43">
        <v>4665240.9170000004</v>
      </c>
      <c r="L43">
        <v>360176.45600000001</v>
      </c>
      <c r="M43">
        <v>1.0900000000000001</v>
      </c>
      <c r="O43" s="1"/>
      <c r="P43" s="2">
        <f t="shared" si="11"/>
        <v>36</v>
      </c>
      <c r="Q43" s="2" t="b">
        <f t="shared" si="7"/>
        <v>1</v>
      </c>
      <c r="R43" s="2">
        <f t="shared" si="4"/>
        <v>0</v>
      </c>
      <c r="S43" s="2" t="b">
        <f t="shared" si="5"/>
        <v>1</v>
      </c>
      <c r="T43">
        <v>2</v>
      </c>
      <c r="U43">
        <v>42</v>
      </c>
      <c r="V43" t="s">
        <v>81</v>
      </c>
      <c r="W43">
        <v>4665245.0580000002</v>
      </c>
      <c r="X43">
        <v>360157.76</v>
      </c>
      <c r="Y43">
        <v>0.60599999999999998</v>
      </c>
      <c r="Z43" t="s">
        <v>82</v>
      </c>
      <c r="AA43">
        <v>42</v>
      </c>
    </row>
    <row r="44" spans="1:27" hidden="1" x14ac:dyDescent="0.25">
      <c r="A44" t="s">
        <v>74</v>
      </c>
      <c r="B44">
        <v>20</v>
      </c>
      <c r="C44" t="s">
        <v>75</v>
      </c>
      <c r="D44">
        <v>2019</v>
      </c>
      <c r="E44">
        <f t="shared" si="10"/>
        <v>15</v>
      </c>
      <c r="F44">
        <f t="shared" si="6"/>
        <v>43</v>
      </c>
      <c r="G44" t="s">
        <v>19</v>
      </c>
      <c r="H44" t="str">
        <f t="shared" ref="H44:H57" si="13">LEFT(G44,2)</f>
        <v>01</v>
      </c>
      <c r="I44" t="str">
        <f t="shared" ref="I44:I57" si="14">RIGHT(G44,LEN(G44)-LEN(H44))</f>
        <v>a</v>
      </c>
      <c r="J44" t="str">
        <f t="shared" si="12"/>
        <v>Line</v>
      </c>
      <c r="K44">
        <v>4665253.8439999996</v>
      </c>
      <c r="L44">
        <v>360127.57400000002</v>
      </c>
      <c r="M44">
        <v>0.64400000000000002</v>
      </c>
      <c r="O44" s="1"/>
      <c r="P44" s="2">
        <f t="shared" si="11"/>
        <v>52</v>
      </c>
      <c r="Q44" s="2" t="b">
        <f t="shared" si="7"/>
        <v>0</v>
      </c>
      <c r="R44" s="2">
        <f t="shared" si="4"/>
        <v>0</v>
      </c>
      <c r="S44" s="2" t="b">
        <f t="shared" si="5"/>
        <v>1</v>
      </c>
      <c r="T44">
        <v>2</v>
      </c>
      <c r="U44">
        <v>43</v>
      </c>
      <c r="V44" t="s">
        <v>81</v>
      </c>
      <c r="W44">
        <v>4665237.34</v>
      </c>
      <c r="X44">
        <v>360154.68900000001</v>
      </c>
      <c r="Y44">
        <v>0.56999999999999995</v>
      </c>
      <c r="Z44" t="s">
        <v>82</v>
      </c>
      <c r="AA44">
        <v>43</v>
      </c>
    </row>
    <row r="45" spans="1:27" hidden="1" x14ac:dyDescent="0.25">
      <c r="A45" t="s">
        <v>74</v>
      </c>
      <c r="B45">
        <v>20</v>
      </c>
      <c r="C45" t="s">
        <v>75</v>
      </c>
      <c r="D45">
        <v>2019</v>
      </c>
      <c r="E45">
        <f t="shared" si="10"/>
        <v>15</v>
      </c>
      <c r="F45">
        <f t="shared" ref="F45:F55" si="15">1+F44</f>
        <v>44</v>
      </c>
      <c r="G45" t="s">
        <v>19</v>
      </c>
      <c r="H45" t="str">
        <f t="shared" si="13"/>
        <v>01</v>
      </c>
      <c r="I45" t="str">
        <f t="shared" si="14"/>
        <v>a</v>
      </c>
      <c r="J45" t="str">
        <f t="shared" si="12"/>
        <v>Line</v>
      </c>
      <c r="K45">
        <v>4665253.8380000005</v>
      </c>
      <c r="L45">
        <v>360135.554</v>
      </c>
      <c r="M45">
        <v>0.56899999999999995</v>
      </c>
      <c r="O45" s="1"/>
      <c r="P45" s="2">
        <f t="shared" si="11"/>
        <v>53</v>
      </c>
      <c r="Q45" s="2" t="b">
        <f t="shared" si="7"/>
        <v>1</v>
      </c>
      <c r="R45" s="2">
        <f t="shared" si="4"/>
        <v>0</v>
      </c>
      <c r="S45" s="2" t="b">
        <f t="shared" si="5"/>
        <v>1</v>
      </c>
      <c r="T45">
        <v>2</v>
      </c>
      <c r="U45">
        <v>44</v>
      </c>
      <c r="V45" t="s">
        <v>81</v>
      </c>
      <c r="W45">
        <v>4665236.1119999997</v>
      </c>
      <c r="X45">
        <v>360145.50199999998</v>
      </c>
      <c r="Y45">
        <v>0.74399999999999999</v>
      </c>
      <c r="Z45" t="s">
        <v>82</v>
      </c>
      <c r="AA45">
        <v>44</v>
      </c>
    </row>
    <row r="46" spans="1:27" hidden="1" x14ac:dyDescent="0.25">
      <c r="A46" t="s">
        <v>74</v>
      </c>
      <c r="B46">
        <v>20</v>
      </c>
      <c r="C46" t="s">
        <v>75</v>
      </c>
      <c r="D46">
        <v>2019</v>
      </c>
      <c r="E46">
        <f t="shared" si="10"/>
        <v>16</v>
      </c>
      <c r="F46">
        <f t="shared" si="15"/>
        <v>45</v>
      </c>
      <c r="G46" t="s">
        <v>7</v>
      </c>
      <c r="H46" t="str">
        <f t="shared" si="13"/>
        <v>02</v>
      </c>
      <c r="I46" t="str">
        <f t="shared" si="14"/>
        <v>a</v>
      </c>
      <c r="J46" t="str">
        <f t="shared" si="12"/>
        <v>MU</v>
      </c>
      <c r="K46">
        <v>4665251.8109999998</v>
      </c>
      <c r="L46">
        <v>360134.33600000001</v>
      </c>
      <c r="M46">
        <v>1.127</v>
      </c>
      <c r="N46" t="s">
        <v>6</v>
      </c>
      <c r="O46" s="1"/>
      <c r="P46" s="2">
        <f t="shared" si="11"/>
        <v>54</v>
      </c>
      <c r="Q46" s="2" t="b">
        <f t="shared" si="7"/>
        <v>1</v>
      </c>
      <c r="R46" s="2" t="str">
        <f t="shared" si="4"/>
        <v>1 mu</v>
      </c>
      <c r="S46" s="2" t="b">
        <f t="shared" si="5"/>
        <v>1</v>
      </c>
      <c r="T46">
        <v>2</v>
      </c>
      <c r="U46">
        <v>45</v>
      </c>
      <c r="V46" t="s">
        <v>81</v>
      </c>
      <c r="W46">
        <v>4665237.199</v>
      </c>
      <c r="X46">
        <v>360143.995</v>
      </c>
      <c r="Y46">
        <v>-0.44900000000000001</v>
      </c>
      <c r="Z46" t="s">
        <v>82</v>
      </c>
      <c r="AA46">
        <v>45</v>
      </c>
    </row>
    <row r="47" spans="1:27" hidden="1" x14ac:dyDescent="0.25">
      <c r="A47" t="s">
        <v>74</v>
      </c>
      <c r="B47">
        <v>20</v>
      </c>
      <c r="C47" t="s">
        <v>75</v>
      </c>
      <c r="D47">
        <v>2019</v>
      </c>
      <c r="E47">
        <f t="shared" si="10"/>
        <v>17</v>
      </c>
      <c r="F47">
        <f t="shared" si="15"/>
        <v>46</v>
      </c>
      <c r="G47" t="s">
        <v>17</v>
      </c>
      <c r="H47" t="str">
        <f t="shared" si="13"/>
        <v>06</v>
      </c>
      <c r="I47" t="str">
        <f t="shared" si="14"/>
        <v>a</v>
      </c>
      <c r="J47" t="str">
        <f t="shared" si="12"/>
        <v>Line</v>
      </c>
      <c r="K47">
        <v>4665250.8159999996</v>
      </c>
      <c r="L47">
        <v>360133.86099999998</v>
      </c>
      <c r="M47">
        <v>1.161</v>
      </c>
      <c r="O47" s="1"/>
      <c r="P47" s="2">
        <f t="shared" si="11"/>
        <v>55</v>
      </c>
      <c r="Q47" s="2" t="b">
        <f t="shared" si="7"/>
        <v>1</v>
      </c>
      <c r="R47" s="2">
        <f t="shared" si="4"/>
        <v>0</v>
      </c>
      <c r="S47" s="2" t="b">
        <f t="shared" si="5"/>
        <v>1</v>
      </c>
      <c r="T47">
        <v>2</v>
      </c>
      <c r="U47">
        <v>46</v>
      </c>
      <c r="V47" t="s">
        <v>81</v>
      </c>
      <c r="W47">
        <v>4665239.3190000001</v>
      </c>
      <c r="X47">
        <v>360138.78200000001</v>
      </c>
      <c r="Y47">
        <v>0.16</v>
      </c>
      <c r="Z47" t="s">
        <v>82</v>
      </c>
      <c r="AA47">
        <v>46</v>
      </c>
    </row>
    <row r="48" spans="1:27" hidden="1" x14ac:dyDescent="0.25">
      <c r="A48" t="s">
        <v>74</v>
      </c>
      <c r="B48">
        <v>20</v>
      </c>
      <c r="C48" t="s">
        <v>75</v>
      </c>
      <c r="D48">
        <v>2019</v>
      </c>
      <c r="E48">
        <f t="shared" si="10"/>
        <v>17</v>
      </c>
      <c r="F48">
        <f t="shared" si="15"/>
        <v>47</v>
      </c>
      <c r="G48" t="s">
        <v>17</v>
      </c>
      <c r="H48" t="str">
        <f t="shared" si="13"/>
        <v>06</v>
      </c>
      <c r="I48" t="str">
        <f t="shared" si="14"/>
        <v>a</v>
      </c>
      <c r="J48" t="str">
        <f t="shared" si="12"/>
        <v>Line</v>
      </c>
      <c r="K48">
        <v>4665241.466</v>
      </c>
      <c r="L48">
        <v>360130.842</v>
      </c>
      <c r="M48">
        <v>1.2470000000000001</v>
      </c>
      <c r="O48" s="1"/>
      <c r="P48" s="2">
        <f t="shared" si="11"/>
        <v>56</v>
      </c>
      <c r="Q48" s="2" t="b">
        <f t="shared" si="7"/>
        <v>1</v>
      </c>
      <c r="R48" s="2">
        <f t="shared" si="4"/>
        <v>0</v>
      </c>
      <c r="S48" s="2" t="b">
        <f t="shared" si="5"/>
        <v>1</v>
      </c>
      <c r="T48">
        <v>2</v>
      </c>
      <c r="U48">
        <v>47</v>
      </c>
      <c r="V48" t="s">
        <v>81</v>
      </c>
      <c r="W48">
        <v>4665239.2340000002</v>
      </c>
      <c r="X48">
        <v>360138.28399999999</v>
      </c>
      <c r="Y48">
        <v>1.2030000000000001</v>
      </c>
      <c r="Z48" t="s">
        <v>82</v>
      </c>
      <c r="AA48">
        <v>47</v>
      </c>
    </row>
    <row r="49" spans="1:27" hidden="1" x14ac:dyDescent="0.25">
      <c r="A49" t="s">
        <v>74</v>
      </c>
      <c r="B49">
        <v>20</v>
      </c>
      <c r="C49" t="s">
        <v>75</v>
      </c>
      <c r="D49">
        <v>2019</v>
      </c>
      <c r="E49">
        <f t="shared" si="10"/>
        <v>18</v>
      </c>
      <c r="F49">
        <f t="shared" si="15"/>
        <v>48</v>
      </c>
      <c r="G49" t="s">
        <v>5</v>
      </c>
      <c r="H49" t="str">
        <f t="shared" si="13"/>
        <v>04</v>
      </c>
      <c r="I49" t="str">
        <f t="shared" si="14"/>
        <v>a</v>
      </c>
      <c r="J49" t="str">
        <f t="shared" si="12"/>
        <v>Line</v>
      </c>
      <c r="K49">
        <v>4665239.3849999998</v>
      </c>
      <c r="L49">
        <v>360130.076</v>
      </c>
      <c r="M49">
        <v>1.246</v>
      </c>
      <c r="O49" s="1"/>
      <c r="P49" s="2">
        <f t="shared" si="11"/>
        <v>57</v>
      </c>
      <c r="Q49" s="2" t="b">
        <f t="shared" si="7"/>
        <v>1</v>
      </c>
      <c r="R49" s="2">
        <f t="shared" si="4"/>
        <v>0</v>
      </c>
      <c r="S49" s="2" t="b">
        <f t="shared" si="5"/>
        <v>1</v>
      </c>
      <c r="T49">
        <v>2</v>
      </c>
      <c r="U49">
        <v>48</v>
      </c>
      <c r="V49" t="s">
        <v>81</v>
      </c>
      <c r="W49">
        <v>4665244.1239999998</v>
      </c>
      <c r="X49">
        <v>360137.58500000002</v>
      </c>
      <c r="Y49">
        <v>0.85</v>
      </c>
      <c r="Z49" t="s">
        <v>82</v>
      </c>
      <c r="AA49">
        <v>48</v>
      </c>
    </row>
    <row r="50" spans="1:27" hidden="1" x14ac:dyDescent="0.25">
      <c r="A50" t="s">
        <v>74</v>
      </c>
      <c r="B50">
        <v>20</v>
      </c>
      <c r="C50" t="s">
        <v>75</v>
      </c>
      <c r="D50">
        <v>2019</v>
      </c>
      <c r="E50">
        <f t="shared" si="10"/>
        <v>18</v>
      </c>
      <c r="F50">
        <f t="shared" si="15"/>
        <v>49</v>
      </c>
      <c r="G50" t="s">
        <v>5</v>
      </c>
      <c r="H50" t="str">
        <f t="shared" si="13"/>
        <v>04</v>
      </c>
      <c r="I50" t="str">
        <f t="shared" si="14"/>
        <v>a</v>
      </c>
      <c r="J50" t="str">
        <f t="shared" si="12"/>
        <v>Line</v>
      </c>
      <c r="K50">
        <v>4665233.4110000003</v>
      </c>
      <c r="L50">
        <v>360129.01699999999</v>
      </c>
      <c r="M50">
        <v>1.242</v>
      </c>
      <c r="N50" t="s">
        <v>20</v>
      </c>
      <c r="O50" s="1"/>
      <c r="P50" s="2">
        <f t="shared" si="11"/>
        <v>58</v>
      </c>
      <c r="Q50" s="2" t="b">
        <f t="shared" si="7"/>
        <v>1</v>
      </c>
      <c r="R50" s="2" t="str">
        <f t="shared" si="4"/>
        <v>flowering purple</v>
      </c>
      <c r="S50" s="2" t="b">
        <f t="shared" si="5"/>
        <v>1</v>
      </c>
      <c r="T50">
        <v>2</v>
      </c>
      <c r="U50">
        <v>49</v>
      </c>
      <c r="V50" t="s">
        <v>81</v>
      </c>
      <c r="W50">
        <v>4665248.3269999996</v>
      </c>
      <c r="X50">
        <v>360139.39199999999</v>
      </c>
      <c r="Y50">
        <v>0.86899999999999999</v>
      </c>
      <c r="Z50" t="s">
        <v>82</v>
      </c>
      <c r="AA50">
        <v>49</v>
      </c>
    </row>
    <row r="51" spans="1:27" hidden="1" x14ac:dyDescent="0.25">
      <c r="A51" t="s">
        <v>74</v>
      </c>
      <c r="B51">
        <v>20</v>
      </c>
      <c r="C51" t="s">
        <v>75</v>
      </c>
      <c r="D51">
        <v>2019</v>
      </c>
      <c r="E51">
        <f t="shared" si="10"/>
        <v>19</v>
      </c>
      <c r="F51">
        <f t="shared" si="15"/>
        <v>50</v>
      </c>
      <c r="G51" t="s">
        <v>17</v>
      </c>
      <c r="H51" t="str">
        <f t="shared" si="13"/>
        <v>06</v>
      </c>
      <c r="I51" t="str">
        <f t="shared" si="14"/>
        <v>a</v>
      </c>
      <c r="J51" t="str">
        <f t="shared" si="12"/>
        <v>Line</v>
      </c>
      <c r="K51">
        <v>4665231.3020000001</v>
      </c>
      <c r="L51">
        <v>360128.47899999999</v>
      </c>
      <c r="M51">
        <v>1.1950000000000001</v>
      </c>
      <c r="O51" s="1"/>
      <c r="P51" s="2">
        <f t="shared" si="11"/>
        <v>59</v>
      </c>
      <c r="Q51" s="2" t="b">
        <f t="shared" si="7"/>
        <v>1</v>
      </c>
      <c r="R51" s="2">
        <f t="shared" si="4"/>
        <v>0</v>
      </c>
      <c r="S51" s="2" t="b">
        <f t="shared" si="5"/>
        <v>1</v>
      </c>
      <c r="T51">
        <v>2</v>
      </c>
      <c r="U51">
        <v>50</v>
      </c>
      <c r="V51" t="s">
        <v>81</v>
      </c>
      <c r="W51">
        <v>4665248.591</v>
      </c>
      <c r="X51">
        <v>360139.821</v>
      </c>
      <c r="Y51">
        <v>-0.185</v>
      </c>
      <c r="Z51" t="s">
        <v>82</v>
      </c>
      <c r="AA51">
        <v>50</v>
      </c>
    </row>
    <row r="52" spans="1:27" hidden="1" x14ac:dyDescent="0.25">
      <c r="A52" t="s">
        <v>74</v>
      </c>
      <c r="B52">
        <v>20</v>
      </c>
      <c r="C52" t="s">
        <v>75</v>
      </c>
      <c r="D52">
        <v>2019</v>
      </c>
      <c r="E52">
        <f t="shared" si="10"/>
        <v>19</v>
      </c>
      <c r="F52">
        <f t="shared" si="15"/>
        <v>51</v>
      </c>
      <c r="G52" t="s">
        <v>17</v>
      </c>
      <c r="H52" t="str">
        <f t="shared" si="13"/>
        <v>06</v>
      </c>
      <c r="I52" t="str">
        <f t="shared" si="14"/>
        <v>a</v>
      </c>
      <c r="J52" t="str">
        <f t="shared" si="12"/>
        <v>Line</v>
      </c>
      <c r="K52">
        <v>4665230.5049999999</v>
      </c>
      <c r="L52">
        <v>360122.5</v>
      </c>
      <c r="M52">
        <v>1.2050000000000001</v>
      </c>
      <c r="O52" s="1"/>
      <c r="P52" s="2">
        <f t="shared" si="11"/>
        <v>60</v>
      </c>
      <c r="Q52" s="2" t="b">
        <f t="shared" si="7"/>
        <v>1</v>
      </c>
      <c r="R52" s="2">
        <f t="shared" si="4"/>
        <v>0</v>
      </c>
      <c r="S52" s="2" t="b">
        <f t="shared" si="5"/>
        <v>1</v>
      </c>
      <c r="T52">
        <v>2</v>
      </c>
      <c r="U52">
        <v>51</v>
      </c>
      <c r="V52" t="s">
        <v>81</v>
      </c>
      <c r="W52">
        <v>4665253.9680000003</v>
      </c>
      <c r="X52">
        <v>360126.35499999998</v>
      </c>
      <c r="Y52">
        <v>0.439</v>
      </c>
      <c r="Z52" t="s">
        <v>82</v>
      </c>
      <c r="AA52">
        <v>51</v>
      </c>
    </row>
    <row r="53" spans="1:27" hidden="1" x14ac:dyDescent="0.25">
      <c r="A53" t="s">
        <v>74</v>
      </c>
      <c r="B53">
        <v>20</v>
      </c>
      <c r="C53" t="s">
        <v>75</v>
      </c>
      <c r="D53">
        <v>2019</v>
      </c>
      <c r="E53">
        <f t="shared" si="10"/>
        <v>20</v>
      </c>
      <c r="F53">
        <f t="shared" si="15"/>
        <v>52</v>
      </c>
      <c r="G53" t="s">
        <v>7</v>
      </c>
      <c r="H53" t="str">
        <f t="shared" si="13"/>
        <v>02</v>
      </c>
      <c r="I53" t="str">
        <f t="shared" si="14"/>
        <v>a</v>
      </c>
      <c r="J53" t="str">
        <f t="shared" si="12"/>
        <v>Line</v>
      </c>
      <c r="K53">
        <v>4665230.0120000001</v>
      </c>
      <c r="L53">
        <v>360120.43900000001</v>
      </c>
      <c r="M53">
        <v>1.204</v>
      </c>
      <c r="O53" s="1"/>
      <c r="P53" s="2">
        <f t="shared" si="11"/>
        <v>61</v>
      </c>
      <c r="Q53" s="2" t="b">
        <f t="shared" si="7"/>
        <v>1</v>
      </c>
      <c r="R53" s="2">
        <f t="shared" si="4"/>
        <v>0</v>
      </c>
      <c r="S53" s="2" t="b">
        <f t="shared" si="5"/>
        <v>1</v>
      </c>
      <c r="T53">
        <v>3</v>
      </c>
      <c r="U53">
        <v>52</v>
      </c>
      <c r="V53" t="s">
        <v>19</v>
      </c>
      <c r="W53">
        <v>4665253.8439999996</v>
      </c>
      <c r="X53">
        <v>360127.57400000002</v>
      </c>
      <c r="Y53">
        <v>0.64400000000000002</v>
      </c>
      <c r="AA53">
        <v>52</v>
      </c>
    </row>
    <row r="54" spans="1:27" hidden="1" x14ac:dyDescent="0.25">
      <c r="A54" t="s">
        <v>74</v>
      </c>
      <c r="B54">
        <v>20</v>
      </c>
      <c r="C54" t="s">
        <v>75</v>
      </c>
      <c r="D54">
        <v>2019</v>
      </c>
      <c r="E54">
        <f t="shared" si="10"/>
        <v>20</v>
      </c>
      <c r="F54">
        <f t="shared" si="15"/>
        <v>53</v>
      </c>
      <c r="G54" t="s">
        <v>7</v>
      </c>
      <c r="H54" t="str">
        <f t="shared" si="13"/>
        <v>02</v>
      </c>
      <c r="I54" t="str">
        <f t="shared" si="14"/>
        <v>a</v>
      </c>
      <c r="J54" t="str">
        <f t="shared" si="12"/>
        <v>Line</v>
      </c>
      <c r="K54">
        <v>4665229.6140000001</v>
      </c>
      <c r="L54">
        <v>360117.85499999998</v>
      </c>
      <c r="M54">
        <v>1.107</v>
      </c>
      <c r="O54" s="1"/>
      <c r="P54" s="2">
        <f t="shared" si="11"/>
        <v>62</v>
      </c>
      <c r="Q54" s="2" t="b">
        <f t="shared" si="7"/>
        <v>1</v>
      </c>
      <c r="R54" s="2">
        <f t="shared" si="4"/>
        <v>0</v>
      </c>
      <c r="S54" s="2" t="b">
        <f t="shared" si="5"/>
        <v>1</v>
      </c>
      <c r="T54">
        <v>3</v>
      </c>
      <c r="U54">
        <v>53</v>
      </c>
      <c r="V54" t="s">
        <v>19</v>
      </c>
      <c r="W54">
        <v>4665253.8380000005</v>
      </c>
      <c r="X54">
        <v>360135.554</v>
      </c>
      <c r="Y54">
        <v>0.56899999999999995</v>
      </c>
      <c r="AA54">
        <v>53</v>
      </c>
    </row>
    <row r="55" spans="1:27" hidden="1" x14ac:dyDescent="0.25">
      <c r="A55" t="s">
        <v>74</v>
      </c>
      <c r="B55">
        <v>20</v>
      </c>
      <c r="C55" t="s">
        <v>75</v>
      </c>
      <c r="D55">
        <v>2019</v>
      </c>
      <c r="E55">
        <f t="shared" si="10"/>
        <v>21</v>
      </c>
      <c r="F55">
        <f t="shared" si="15"/>
        <v>54</v>
      </c>
      <c r="G55" t="s">
        <v>19</v>
      </c>
      <c r="H55" t="str">
        <f t="shared" si="13"/>
        <v>01</v>
      </c>
      <c r="I55" t="str">
        <f t="shared" si="14"/>
        <v>a</v>
      </c>
      <c r="J55" t="str">
        <f t="shared" si="12"/>
        <v>Line</v>
      </c>
      <c r="K55">
        <v>4665229.3909999998</v>
      </c>
      <c r="L55">
        <v>360116.43099999998</v>
      </c>
      <c r="M55">
        <v>1.0349999999999999</v>
      </c>
      <c r="N55" t="s">
        <v>21</v>
      </c>
      <c r="O55" s="1"/>
      <c r="P55" s="2">
        <f t="shared" si="11"/>
        <v>63</v>
      </c>
      <c r="Q55" s="2" t="b">
        <f t="shared" si="7"/>
        <v>1</v>
      </c>
      <c r="R55" s="2" t="str">
        <f t="shared" si="4"/>
        <v>not flowering</v>
      </c>
      <c r="S55" s="2" t="b">
        <f t="shared" si="5"/>
        <v>1</v>
      </c>
      <c r="T55">
        <v>4</v>
      </c>
      <c r="U55">
        <v>54</v>
      </c>
      <c r="V55" t="s">
        <v>7</v>
      </c>
      <c r="W55">
        <v>4665251.8109999998</v>
      </c>
      <c r="X55">
        <v>360134.33600000001</v>
      </c>
      <c r="Y55">
        <v>1.127</v>
      </c>
      <c r="Z55" t="s">
        <v>6</v>
      </c>
      <c r="AA55">
        <v>54</v>
      </c>
    </row>
    <row r="56" spans="1:27" hidden="1" x14ac:dyDescent="0.25">
      <c r="A56" t="s">
        <v>74</v>
      </c>
      <c r="B56">
        <v>20</v>
      </c>
      <c r="C56" t="s">
        <v>75</v>
      </c>
      <c r="D56">
        <v>2019</v>
      </c>
      <c r="E56">
        <f t="shared" si="10"/>
        <v>21</v>
      </c>
      <c r="F56">
        <f t="shared" ref="F56:F120" si="16">1+F55</f>
        <v>55</v>
      </c>
      <c r="G56" t="s">
        <v>19</v>
      </c>
      <c r="H56" t="str">
        <f t="shared" si="13"/>
        <v>01</v>
      </c>
      <c r="I56" t="str">
        <f t="shared" si="14"/>
        <v>a</v>
      </c>
      <c r="J56" t="str">
        <f t="shared" si="12"/>
        <v>Line</v>
      </c>
      <c r="K56">
        <v>4665221.4160000002</v>
      </c>
      <c r="L56">
        <v>360115.78700000001</v>
      </c>
      <c r="M56">
        <v>1.0269999999999999</v>
      </c>
      <c r="O56" s="1"/>
      <c r="P56" s="2">
        <f t="shared" si="11"/>
        <v>64</v>
      </c>
      <c r="Q56" s="2" t="b">
        <f t="shared" si="7"/>
        <v>1</v>
      </c>
      <c r="R56" s="2">
        <f t="shared" si="4"/>
        <v>0</v>
      </c>
      <c r="S56" s="2" t="b">
        <f t="shared" si="5"/>
        <v>1</v>
      </c>
      <c r="T56">
        <v>4</v>
      </c>
      <c r="U56">
        <v>55</v>
      </c>
      <c r="V56" t="s">
        <v>17</v>
      </c>
      <c r="W56">
        <v>4665250.8159999996</v>
      </c>
      <c r="X56">
        <v>360133.86099999998</v>
      </c>
      <c r="Y56">
        <v>1.161</v>
      </c>
      <c r="AA56">
        <v>55</v>
      </c>
    </row>
    <row r="57" spans="1:27" hidden="1" x14ac:dyDescent="0.25">
      <c r="A57" t="s">
        <v>74</v>
      </c>
      <c r="B57">
        <v>20</v>
      </c>
      <c r="C57" t="s">
        <v>75</v>
      </c>
      <c r="D57">
        <v>2019</v>
      </c>
      <c r="E57">
        <f t="shared" si="10"/>
        <v>22</v>
      </c>
      <c r="F57">
        <f t="shared" si="16"/>
        <v>56</v>
      </c>
      <c r="G57" t="s">
        <v>17</v>
      </c>
      <c r="H57" t="str">
        <f t="shared" si="13"/>
        <v>06</v>
      </c>
      <c r="I57" t="str">
        <f t="shared" si="14"/>
        <v>a</v>
      </c>
      <c r="J57" t="str">
        <f t="shared" si="12"/>
        <v>Line</v>
      </c>
      <c r="K57">
        <v>4665220.7450000001</v>
      </c>
      <c r="L57">
        <v>360117.71</v>
      </c>
      <c r="M57">
        <v>1.1970000000000001</v>
      </c>
      <c r="O57" s="1"/>
      <c r="P57" s="2">
        <f t="shared" si="11"/>
        <v>65</v>
      </c>
      <c r="Q57" s="2" t="b">
        <f t="shared" si="7"/>
        <v>1</v>
      </c>
      <c r="R57" s="2">
        <f t="shared" si="4"/>
        <v>0</v>
      </c>
      <c r="S57" s="2" t="b">
        <f t="shared" si="5"/>
        <v>1</v>
      </c>
      <c r="T57">
        <v>4</v>
      </c>
      <c r="U57">
        <v>56</v>
      </c>
      <c r="V57" t="s">
        <v>17</v>
      </c>
      <c r="W57">
        <v>4665241.466</v>
      </c>
      <c r="X57">
        <v>360130.842</v>
      </c>
      <c r="Y57">
        <v>1.2470000000000001</v>
      </c>
      <c r="AA57">
        <v>56</v>
      </c>
    </row>
    <row r="58" spans="1:27" hidden="1" x14ac:dyDescent="0.25">
      <c r="A58" t="s">
        <v>74</v>
      </c>
      <c r="B58">
        <v>20</v>
      </c>
      <c r="C58" t="s">
        <v>75</v>
      </c>
      <c r="D58">
        <v>2019</v>
      </c>
      <c r="E58">
        <f t="shared" si="10"/>
        <v>22</v>
      </c>
      <c r="F58">
        <f t="shared" si="16"/>
        <v>57</v>
      </c>
      <c r="G58" t="s">
        <v>17</v>
      </c>
      <c r="H58" t="str">
        <f t="shared" ref="H58:H75" si="17">LEFT(G58,2)</f>
        <v>06</v>
      </c>
      <c r="I58" t="str">
        <f t="shared" ref="I58:I75" si="18">RIGHT(G58,LEN(G58)-LEN(H58))</f>
        <v>a</v>
      </c>
      <c r="J58" t="str">
        <f t="shared" si="12"/>
        <v>Line</v>
      </c>
      <c r="K58">
        <v>4665216.5350000001</v>
      </c>
      <c r="L58">
        <v>360126.65700000001</v>
      </c>
      <c r="M58">
        <v>1.1499999999999999</v>
      </c>
      <c r="O58" s="1"/>
      <c r="P58" s="2">
        <f t="shared" si="11"/>
        <v>66</v>
      </c>
      <c r="Q58" s="2" t="b">
        <f t="shared" si="7"/>
        <v>1</v>
      </c>
      <c r="R58" s="2">
        <f t="shared" si="4"/>
        <v>0</v>
      </c>
      <c r="S58" s="2" t="b">
        <f t="shared" si="5"/>
        <v>1</v>
      </c>
      <c r="T58">
        <v>4</v>
      </c>
      <c r="U58">
        <v>57</v>
      </c>
      <c r="V58" t="s">
        <v>5</v>
      </c>
      <c r="W58">
        <v>4665239.3849999998</v>
      </c>
      <c r="X58">
        <v>360130.076</v>
      </c>
      <c r="Y58">
        <v>1.246</v>
      </c>
      <c r="AA58">
        <v>57</v>
      </c>
    </row>
    <row r="59" spans="1:27" hidden="1" x14ac:dyDescent="0.25">
      <c r="A59" t="s">
        <v>74</v>
      </c>
      <c r="B59">
        <v>20</v>
      </c>
      <c r="C59" t="s">
        <v>75</v>
      </c>
      <c r="D59">
        <v>2019</v>
      </c>
      <c r="E59">
        <f t="shared" si="10"/>
        <v>23</v>
      </c>
      <c r="F59">
        <f t="shared" si="16"/>
        <v>58</v>
      </c>
      <c r="G59" t="s">
        <v>7</v>
      </c>
      <c r="H59" t="str">
        <f t="shared" si="17"/>
        <v>02</v>
      </c>
      <c r="I59" t="str">
        <f t="shared" si="18"/>
        <v>a</v>
      </c>
      <c r="J59" t="str">
        <f t="shared" si="12"/>
        <v>Line</v>
      </c>
      <c r="K59">
        <v>4665215.4000000004</v>
      </c>
      <c r="L59">
        <v>360128.27399999998</v>
      </c>
      <c r="M59">
        <v>1.0860000000000001</v>
      </c>
      <c r="O59" s="1"/>
      <c r="P59" s="2">
        <f t="shared" si="11"/>
        <v>67</v>
      </c>
      <c r="Q59" s="2" t="b">
        <f t="shared" si="7"/>
        <v>1</v>
      </c>
      <c r="R59" s="2">
        <f t="shared" si="4"/>
        <v>0</v>
      </c>
      <c r="S59" s="2" t="b">
        <f t="shared" si="5"/>
        <v>1</v>
      </c>
      <c r="T59">
        <v>4</v>
      </c>
      <c r="U59">
        <v>58</v>
      </c>
      <c r="V59" t="s">
        <v>5</v>
      </c>
      <c r="W59">
        <v>4665233.4110000003</v>
      </c>
      <c r="X59">
        <v>360129.01699999999</v>
      </c>
      <c r="Y59">
        <v>1.242</v>
      </c>
      <c r="Z59" t="s">
        <v>20</v>
      </c>
      <c r="AA59">
        <v>58</v>
      </c>
    </row>
    <row r="60" spans="1:27" hidden="1" x14ac:dyDescent="0.25">
      <c r="A60" t="s">
        <v>74</v>
      </c>
      <c r="B60">
        <v>20</v>
      </c>
      <c r="C60" t="s">
        <v>75</v>
      </c>
      <c r="D60">
        <v>2019</v>
      </c>
      <c r="E60">
        <f t="shared" si="10"/>
        <v>23</v>
      </c>
      <c r="F60">
        <f t="shared" si="16"/>
        <v>59</v>
      </c>
      <c r="G60" t="s">
        <v>7</v>
      </c>
      <c r="H60" t="str">
        <f t="shared" si="17"/>
        <v>02</v>
      </c>
      <c r="I60" t="str">
        <f t="shared" si="18"/>
        <v>a</v>
      </c>
      <c r="J60" t="str">
        <f t="shared" si="12"/>
        <v>Line</v>
      </c>
      <c r="K60">
        <v>4665206.68</v>
      </c>
      <c r="L60">
        <v>360109.663</v>
      </c>
      <c r="M60">
        <v>1.1719999999999999</v>
      </c>
      <c r="O60" s="1"/>
      <c r="P60" s="2">
        <f t="shared" si="11"/>
        <v>68</v>
      </c>
      <c r="Q60" s="2" t="b">
        <f t="shared" si="7"/>
        <v>1</v>
      </c>
      <c r="R60" s="2">
        <f t="shared" si="4"/>
        <v>0</v>
      </c>
      <c r="S60" s="2" t="b">
        <f t="shared" si="5"/>
        <v>1</v>
      </c>
      <c r="T60" t="s">
        <v>83</v>
      </c>
      <c r="U60">
        <v>59</v>
      </c>
      <c r="V60" t="s">
        <v>17</v>
      </c>
      <c r="W60">
        <v>4665231.3020000001</v>
      </c>
      <c r="X60">
        <v>360128.47899999999</v>
      </c>
      <c r="Y60">
        <v>1.1950000000000001</v>
      </c>
      <c r="AA60">
        <v>59</v>
      </c>
    </row>
    <row r="61" spans="1:27" hidden="1" x14ac:dyDescent="0.25">
      <c r="A61" t="s">
        <v>74</v>
      </c>
      <c r="B61">
        <v>20</v>
      </c>
      <c r="C61" t="s">
        <v>75</v>
      </c>
      <c r="D61">
        <v>2019</v>
      </c>
      <c r="E61">
        <f t="shared" si="10"/>
        <v>24</v>
      </c>
      <c r="F61">
        <f t="shared" si="16"/>
        <v>60</v>
      </c>
      <c r="G61" t="s">
        <v>17</v>
      </c>
      <c r="H61" t="str">
        <f t="shared" si="17"/>
        <v>06</v>
      </c>
      <c r="I61" t="str">
        <f t="shared" si="18"/>
        <v>a</v>
      </c>
      <c r="J61" t="str">
        <f t="shared" si="12"/>
        <v>Line</v>
      </c>
      <c r="K61">
        <v>4665206.0839999998</v>
      </c>
      <c r="L61">
        <v>360107.47200000001</v>
      </c>
      <c r="M61">
        <v>1.2130000000000001</v>
      </c>
      <c r="O61" s="1"/>
      <c r="P61" s="2">
        <f t="shared" si="11"/>
        <v>69</v>
      </c>
      <c r="Q61" s="2" t="b">
        <f t="shared" si="7"/>
        <v>1</v>
      </c>
      <c r="R61" s="2">
        <f t="shared" si="4"/>
        <v>0</v>
      </c>
      <c r="S61" s="2" t="b">
        <f t="shared" si="5"/>
        <v>1</v>
      </c>
      <c r="T61">
        <v>5</v>
      </c>
      <c r="U61">
        <v>60</v>
      </c>
      <c r="V61" t="s">
        <v>17</v>
      </c>
      <c r="W61">
        <v>4665230.5049999999</v>
      </c>
      <c r="X61">
        <v>360122.5</v>
      </c>
      <c r="Y61">
        <v>1.2050000000000001</v>
      </c>
      <c r="AA61">
        <v>60</v>
      </c>
    </row>
    <row r="62" spans="1:27" hidden="1" x14ac:dyDescent="0.25">
      <c r="A62" t="s">
        <v>74</v>
      </c>
      <c r="B62">
        <v>20</v>
      </c>
      <c r="C62" t="s">
        <v>75</v>
      </c>
      <c r="D62">
        <v>2019</v>
      </c>
      <c r="E62">
        <f t="shared" si="10"/>
        <v>24</v>
      </c>
      <c r="F62">
        <f t="shared" si="16"/>
        <v>61</v>
      </c>
      <c r="G62" t="s">
        <v>17</v>
      </c>
      <c r="H62" t="str">
        <f t="shared" si="17"/>
        <v>06</v>
      </c>
      <c r="I62" t="str">
        <f t="shared" si="18"/>
        <v>a</v>
      </c>
      <c r="J62" t="str">
        <f t="shared" si="12"/>
        <v>Line</v>
      </c>
      <c r="K62">
        <v>4665202.4929999998</v>
      </c>
      <c r="L62">
        <v>360099.34600000002</v>
      </c>
      <c r="M62">
        <v>1.3049999999999999</v>
      </c>
      <c r="O62" s="1"/>
      <c r="P62" s="2">
        <f t="shared" si="11"/>
        <v>70</v>
      </c>
      <c r="Q62" s="2" t="b">
        <f t="shared" si="7"/>
        <v>1</v>
      </c>
      <c r="R62" s="2">
        <f t="shared" si="4"/>
        <v>0</v>
      </c>
      <c r="S62" s="2" t="b">
        <f t="shared" si="5"/>
        <v>1</v>
      </c>
      <c r="T62">
        <v>5</v>
      </c>
      <c r="U62">
        <v>61</v>
      </c>
      <c r="V62" t="s">
        <v>7</v>
      </c>
      <c r="W62">
        <v>4665230.0120000001</v>
      </c>
      <c r="X62">
        <v>360120.43900000001</v>
      </c>
      <c r="Y62">
        <v>1.204</v>
      </c>
      <c r="AA62">
        <v>61</v>
      </c>
    </row>
    <row r="63" spans="1:27" hidden="1" x14ac:dyDescent="0.25">
      <c r="A63" t="s">
        <v>74</v>
      </c>
      <c r="B63">
        <v>20</v>
      </c>
      <c r="C63" t="s">
        <v>75</v>
      </c>
      <c r="D63">
        <v>2019</v>
      </c>
      <c r="E63">
        <f t="shared" si="10"/>
        <v>25</v>
      </c>
      <c r="F63">
        <f t="shared" si="16"/>
        <v>62</v>
      </c>
      <c r="G63" t="s">
        <v>18</v>
      </c>
      <c r="H63" t="str">
        <f t="shared" si="17"/>
        <v>05</v>
      </c>
      <c r="I63" t="str">
        <f t="shared" si="18"/>
        <v>a</v>
      </c>
      <c r="J63" t="str">
        <f t="shared" si="12"/>
        <v>MU</v>
      </c>
      <c r="K63">
        <v>4665202.0269999998</v>
      </c>
      <c r="L63">
        <v>360097.299</v>
      </c>
      <c r="M63">
        <v>1.3280000000000001</v>
      </c>
      <c r="N63" t="s">
        <v>6</v>
      </c>
      <c r="O63" s="1"/>
      <c r="P63" s="2">
        <f t="shared" si="11"/>
        <v>71</v>
      </c>
      <c r="Q63" s="2" t="b">
        <f t="shared" si="7"/>
        <v>1</v>
      </c>
      <c r="R63" s="2" t="str">
        <f t="shared" si="4"/>
        <v>1 mu</v>
      </c>
      <c r="S63" s="2" t="b">
        <f t="shared" si="5"/>
        <v>1</v>
      </c>
      <c r="T63">
        <v>5</v>
      </c>
      <c r="U63">
        <v>62</v>
      </c>
      <c r="V63" t="s">
        <v>7</v>
      </c>
      <c r="W63">
        <v>4665229.6140000001</v>
      </c>
      <c r="X63">
        <v>360117.85499999998</v>
      </c>
      <c r="Y63">
        <v>1.107</v>
      </c>
      <c r="AA63">
        <v>62</v>
      </c>
    </row>
    <row r="64" spans="1:27" hidden="1" x14ac:dyDescent="0.25">
      <c r="A64" t="s">
        <v>74</v>
      </c>
      <c r="B64">
        <v>20</v>
      </c>
      <c r="C64" t="s">
        <v>75</v>
      </c>
      <c r="D64">
        <v>2019</v>
      </c>
      <c r="E64">
        <f t="shared" si="10"/>
        <v>26</v>
      </c>
      <c r="F64">
        <f t="shared" si="16"/>
        <v>63</v>
      </c>
      <c r="G64" t="s">
        <v>4</v>
      </c>
      <c r="H64" t="str">
        <f t="shared" si="17"/>
        <v>03</v>
      </c>
      <c r="I64" t="str">
        <f t="shared" si="18"/>
        <v>a</v>
      </c>
      <c r="J64" t="str">
        <f t="shared" si="12"/>
        <v>MU</v>
      </c>
      <c r="K64">
        <v>4665200.8779999996</v>
      </c>
      <c r="L64">
        <v>360095.48700000002</v>
      </c>
      <c r="M64">
        <v>1.353</v>
      </c>
      <c r="N64" t="s">
        <v>6</v>
      </c>
      <c r="O64" s="1"/>
      <c r="P64" s="2">
        <f t="shared" si="11"/>
        <v>72</v>
      </c>
      <c r="Q64" s="2" t="b">
        <f t="shared" si="7"/>
        <v>1</v>
      </c>
      <c r="R64" s="2" t="str">
        <f t="shared" si="4"/>
        <v>1 mu</v>
      </c>
      <c r="S64" s="2" t="b">
        <f t="shared" si="5"/>
        <v>1</v>
      </c>
      <c r="T64" t="s">
        <v>84</v>
      </c>
      <c r="U64">
        <v>63</v>
      </c>
      <c r="V64" t="s">
        <v>19</v>
      </c>
      <c r="W64">
        <v>4665229.3909999998</v>
      </c>
      <c r="X64">
        <v>360116.43099999998</v>
      </c>
      <c r="Y64">
        <v>1.0349999999999999</v>
      </c>
      <c r="Z64" t="s">
        <v>21</v>
      </c>
      <c r="AA64">
        <v>63</v>
      </c>
    </row>
    <row r="65" spans="1:27" hidden="1" x14ac:dyDescent="0.25">
      <c r="A65" t="s">
        <v>74</v>
      </c>
      <c r="B65">
        <v>20</v>
      </c>
      <c r="C65" t="s">
        <v>75</v>
      </c>
      <c r="D65">
        <v>2019</v>
      </c>
      <c r="E65">
        <f t="shared" ref="E65:E94" si="19">IF(G65=G64,E64,E64+1)</f>
        <v>27</v>
      </c>
      <c r="F65">
        <f t="shared" si="16"/>
        <v>64</v>
      </c>
      <c r="G65" t="s">
        <v>22</v>
      </c>
      <c r="H65" t="str">
        <f t="shared" si="17"/>
        <v>12</v>
      </c>
      <c r="I65" t="str">
        <f t="shared" si="18"/>
        <v>a</v>
      </c>
      <c r="J65" t="str">
        <f t="shared" si="12"/>
        <v>MU</v>
      </c>
      <c r="K65">
        <v>4665199.0599999996</v>
      </c>
      <c r="L65">
        <v>360094.359</v>
      </c>
      <c r="M65">
        <v>1.2649999999999999</v>
      </c>
      <c r="O65" s="1"/>
      <c r="P65" s="2">
        <f t="shared" si="11"/>
        <v>73</v>
      </c>
      <c r="Q65" s="2" t="b">
        <f t="shared" si="7"/>
        <v>1</v>
      </c>
      <c r="R65" s="2">
        <f t="shared" si="4"/>
        <v>0</v>
      </c>
      <c r="S65" s="2" t="b">
        <f t="shared" si="5"/>
        <v>1</v>
      </c>
      <c r="T65" t="s">
        <v>85</v>
      </c>
      <c r="U65">
        <v>64</v>
      </c>
      <c r="V65" t="s">
        <v>19</v>
      </c>
      <c r="W65">
        <v>4665221.4160000002</v>
      </c>
      <c r="X65">
        <v>360115.78700000001</v>
      </c>
      <c r="Y65">
        <v>1.0269999999999999</v>
      </c>
      <c r="AA65">
        <v>64</v>
      </c>
    </row>
    <row r="66" spans="1:27" hidden="1" x14ac:dyDescent="0.25">
      <c r="A66" t="s">
        <v>74</v>
      </c>
      <c r="B66">
        <v>20</v>
      </c>
      <c r="C66" t="s">
        <v>75</v>
      </c>
      <c r="D66">
        <v>2019</v>
      </c>
      <c r="E66">
        <f t="shared" si="19"/>
        <v>28</v>
      </c>
      <c r="F66">
        <f t="shared" si="16"/>
        <v>65</v>
      </c>
      <c r="G66" t="s">
        <v>7</v>
      </c>
      <c r="H66" t="str">
        <f t="shared" si="17"/>
        <v>02</v>
      </c>
      <c r="I66" t="str">
        <f t="shared" si="18"/>
        <v>a</v>
      </c>
      <c r="J66" t="str">
        <f t="shared" si="12"/>
        <v>Line</v>
      </c>
      <c r="K66">
        <v>4665092.7980000004</v>
      </c>
      <c r="L66">
        <v>360175.701</v>
      </c>
      <c r="M66">
        <v>1.2170000000000001</v>
      </c>
      <c r="N66" t="s">
        <v>23</v>
      </c>
      <c r="O66" s="1"/>
      <c r="P66" s="2">
        <f t="shared" si="11"/>
        <v>74</v>
      </c>
      <c r="Q66" s="2" t="b">
        <f t="shared" si="7"/>
        <v>1</v>
      </c>
      <c r="R66" s="2" t="str">
        <f t="shared" si="4"/>
        <v>new location transects along ditch, flowering</v>
      </c>
      <c r="S66" s="2" t="b">
        <f t="shared" si="5"/>
        <v>1</v>
      </c>
      <c r="T66">
        <v>7</v>
      </c>
      <c r="U66">
        <v>65</v>
      </c>
      <c r="V66" t="s">
        <v>17</v>
      </c>
      <c r="W66">
        <v>4665220.7450000001</v>
      </c>
      <c r="X66">
        <v>360117.71</v>
      </c>
      <c r="Y66">
        <v>1.1970000000000001</v>
      </c>
      <c r="AA66">
        <v>65</v>
      </c>
    </row>
    <row r="67" spans="1:27" hidden="1" x14ac:dyDescent="0.25">
      <c r="A67" t="s">
        <v>74</v>
      </c>
      <c r="B67">
        <v>20</v>
      </c>
      <c r="C67" t="s">
        <v>75</v>
      </c>
      <c r="D67">
        <v>2019</v>
      </c>
      <c r="E67">
        <f t="shared" si="19"/>
        <v>28</v>
      </c>
      <c r="F67">
        <f t="shared" si="16"/>
        <v>66</v>
      </c>
      <c r="G67" t="s">
        <v>7</v>
      </c>
      <c r="H67" t="str">
        <f t="shared" si="17"/>
        <v>02</v>
      </c>
      <c r="I67" t="str">
        <f t="shared" si="18"/>
        <v>a</v>
      </c>
      <c r="J67" t="str">
        <f t="shared" si="12"/>
        <v>Line</v>
      </c>
      <c r="K67">
        <v>4665095.7</v>
      </c>
      <c r="L67">
        <v>360180.815</v>
      </c>
      <c r="M67">
        <v>1.1879999999999999</v>
      </c>
      <c r="N67" t="s">
        <v>23</v>
      </c>
      <c r="O67" s="1"/>
      <c r="P67" s="2">
        <f t="shared" ref="P67:P130" si="20">VLOOKUP(K67,W$1:AA$264,5,FALSE)</f>
        <v>75</v>
      </c>
      <c r="Q67" s="2" t="b">
        <f t="shared" si="7"/>
        <v>1</v>
      </c>
      <c r="R67" s="2" t="str">
        <f t="shared" ref="R67:R130" si="21">VLOOKUP(P67,U$1:Z$264,6)</f>
        <v>new location transects along ditch, flowering</v>
      </c>
      <c r="S67" s="2" t="b">
        <f t="shared" ref="S67:S105" si="22">IF(N67=R67,TRUE,FALSE)</f>
        <v>1</v>
      </c>
      <c r="T67" t="s">
        <v>86</v>
      </c>
      <c r="U67">
        <v>66</v>
      </c>
      <c r="V67" t="s">
        <v>17</v>
      </c>
      <c r="W67">
        <v>4665216.5350000001</v>
      </c>
      <c r="X67">
        <v>360126.65700000001</v>
      </c>
      <c r="Y67">
        <v>1.1499999999999999</v>
      </c>
      <c r="AA67">
        <v>66</v>
      </c>
    </row>
    <row r="68" spans="1:27" hidden="1" x14ac:dyDescent="0.25">
      <c r="A68" t="s">
        <v>74</v>
      </c>
      <c r="B68">
        <v>20</v>
      </c>
      <c r="C68" t="s">
        <v>75</v>
      </c>
      <c r="D68">
        <v>2019</v>
      </c>
      <c r="E68">
        <f t="shared" si="19"/>
        <v>29</v>
      </c>
      <c r="F68">
        <f t="shared" si="16"/>
        <v>67</v>
      </c>
      <c r="G68" t="s">
        <v>22</v>
      </c>
      <c r="H68" t="str">
        <f t="shared" si="17"/>
        <v>12</v>
      </c>
      <c r="I68" t="str">
        <f t="shared" si="18"/>
        <v>a</v>
      </c>
      <c r="J68" t="str">
        <f t="shared" si="12"/>
        <v>Line</v>
      </c>
      <c r="K68">
        <v>4665096.8509999998</v>
      </c>
      <c r="L68">
        <v>360182.61200000002</v>
      </c>
      <c r="M68">
        <v>1.145</v>
      </c>
      <c r="O68" s="1"/>
      <c r="P68" s="2">
        <f t="shared" si="20"/>
        <v>76</v>
      </c>
      <c r="Q68" s="2" t="b">
        <f t="shared" ref="Q68:Q131" si="23">IF(P68=(P67+1),TRUE, FALSE)</f>
        <v>1</v>
      </c>
      <c r="R68" s="2">
        <f t="shared" si="21"/>
        <v>0</v>
      </c>
      <c r="S68" s="2" t="b">
        <f t="shared" si="22"/>
        <v>1</v>
      </c>
      <c r="T68">
        <v>8</v>
      </c>
      <c r="U68">
        <v>67</v>
      </c>
      <c r="V68" t="s">
        <v>7</v>
      </c>
      <c r="W68">
        <v>4665215.4000000004</v>
      </c>
      <c r="X68">
        <v>360128.27399999998</v>
      </c>
      <c r="Y68">
        <v>1.0860000000000001</v>
      </c>
      <c r="AA68">
        <v>67</v>
      </c>
    </row>
    <row r="69" spans="1:27" hidden="1" x14ac:dyDescent="0.25">
      <c r="A69" t="s">
        <v>74</v>
      </c>
      <c r="B69">
        <v>20</v>
      </c>
      <c r="C69" t="s">
        <v>75</v>
      </c>
      <c r="D69">
        <v>2019</v>
      </c>
      <c r="E69">
        <f t="shared" si="19"/>
        <v>29</v>
      </c>
      <c r="F69">
        <f t="shared" si="16"/>
        <v>68</v>
      </c>
      <c r="G69" t="s">
        <v>22</v>
      </c>
      <c r="H69" t="str">
        <f t="shared" si="17"/>
        <v>12</v>
      </c>
      <c r="I69" t="str">
        <f t="shared" si="18"/>
        <v>a</v>
      </c>
      <c r="J69" t="str">
        <f t="shared" si="12"/>
        <v>Line</v>
      </c>
      <c r="K69">
        <v>4665101.0470000003</v>
      </c>
      <c r="L69">
        <v>360191.91200000001</v>
      </c>
      <c r="M69">
        <v>0.98099999999999998</v>
      </c>
      <c r="N69" t="s">
        <v>24</v>
      </c>
      <c r="O69" s="1"/>
      <c r="P69" s="2">
        <f t="shared" si="20"/>
        <v>77</v>
      </c>
      <c r="Q69" s="2" t="b">
        <f t="shared" si="23"/>
        <v>1</v>
      </c>
      <c r="R69" s="2" t="str">
        <f t="shared" si="21"/>
        <v>phrag present, fresh water running through?</v>
      </c>
      <c r="S69" s="2" t="b">
        <f t="shared" si="22"/>
        <v>1</v>
      </c>
      <c r="T69">
        <v>8</v>
      </c>
      <c r="U69">
        <v>68</v>
      </c>
      <c r="V69" t="s">
        <v>7</v>
      </c>
      <c r="W69">
        <v>4665206.68</v>
      </c>
      <c r="X69">
        <v>360109.663</v>
      </c>
      <c r="Y69">
        <v>1.1719999999999999</v>
      </c>
      <c r="AA69">
        <v>68</v>
      </c>
    </row>
    <row r="70" spans="1:27" x14ac:dyDescent="0.25">
      <c r="A70" t="s">
        <v>74</v>
      </c>
      <c r="B70">
        <v>20</v>
      </c>
      <c r="C70" t="s">
        <v>75</v>
      </c>
      <c r="D70">
        <v>2019</v>
      </c>
      <c r="E70">
        <f t="shared" si="19"/>
        <v>30</v>
      </c>
      <c r="F70">
        <f t="shared" si="16"/>
        <v>69</v>
      </c>
      <c r="G70" t="s">
        <v>25</v>
      </c>
      <c r="H70" t="str">
        <f t="shared" si="17"/>
        <v>23</v>
      </c>
      <c r="I70" t="str">
        <f t="shared" si="18"/>
        <v>jnr</v>
      </c>
      <c r="J70" t="s">
        <v>76</v>
      </c>
      <c r="K70">
        <v>4665109.1529999999</v>
      </c>
      <c r="L70">
        <v>360188.94199999998</v>
      </c>
      <c r="M70">
        <v>0.64600000000000002</v>
      </c>
      <c r="O70" s="1"/>
      <c r="P70" s="2">
        <f t="shared" si="20"/>
        <v>78</v>
      </c>
      <c r="Q70" s="2" t="b">
        <f t="shared" si="23"/>
        <v>1</v>
      </c>
      <c r="R70" s="2">
        <f t="shared" si="21"/>
        <v>0</v>
      </c>
      <c r="S70" s="2" t="b">
        <f t="shared" si="22"/>
        <v>1</v>
      </c>
      <c r="T70">
        <v>8</v>
      </c>
      <c r="U70">
        <v>69</v>
      </c>
      <c r="V70" t="s">
        <v>17</v>
      </c>
      <c r="W70">
        <v>4665206.0839999998</v>
      </c>
      <c r="X70">
        <v>360107.47200000001</v>
      </c>
      <c r="Y70">
        <v>1.2130000000000001</v>
      </c>
      <c r="AA70">
        <v>69</v>
      </c>
    </row>
    <row r="71" spans="1:27" x14ac:dyDescent="0.25">
      <c r="A71" t="s">
        <v>74</v>
      </c>
      <c r="B71">
        <v>20</v>
      </c>
      <c r="C71" t="s">
        <v>75</v>
      </c>
      <c r="D71">
        <v>2019</v>
      </c>
      <c r="E71">
        <f t="shared" si="19"/>
        <v>30</v>
      </c>
      <c r="F71">
        <f t="shared" si="16"/>
        <v>70</v>
      </c>
      <c r="G71" t="s">
        <v>25</v>
      </c>
      <c r="H71" t="str">
        <f t="shared" si="17"/>
        <v>23</v>
      </c>
      <c r="I71" t="str">
        <f t="shared" si="18"/>
        <v>jnr</v>
      </c>
      <c r="J71" t="s">
        <v>76</v>
      </c>
      <c r="K71">
        <v>4665109.6569999997</v>
      </c>
      <c r="L71">
        <v>360188.73499999999</v>
      </c>
      <c r="M71">
        <v>1.018</v>
      </c>
      <c r="O71" s="1"/>
      <c r="P71" s="2">
        <f t="shared" si="20"/>
        <v>79</v>
      </c>
      <c r="Q71" s="2" t="b">
        <f t="shared" si="23"/>
        <v>1</v>
      </c>
      <c r="R71" s="2">
        <f t="shared" si="21"/>
        <v>0</v>
      </c>
      <c r="S71" s="2" t="b">
        <f t="shared" si="22"/>
        <v>1</v>
      </c>
      <c r="T71">
        <v>8</v>
      </c>
      <c r="U71">
        <v>70</v>
      </c>
      <c r="V71" t="s">
        <v>17</v>
      </c>
      <c r="W71">
        <v>4665202.4929999998</v>
      </c>
      <c r="X71">
        <v>360099.34600000002</v>
      </c>
      <c r="Y71">
        <v>1.3049999999999999</v>
      </c>
      <c r="AA71">
        <v>70</v>
      </c>
    </row>
    <row r="72" spans="1:27" x14ac:dyDescent="0.25">
      <c r="A72" t="s">
        <v>74</v>
      </c>
      <c r="B72">
        <v>20</v>
      </c>
      <c r="C72" t="s">
        <v>75</v>
      </c>
      <c r="D72">
        <v>2019</v>
      </c>
      <c r="E72">
        <f t="shared" si="19"/>
        <v>30</v>
      </c>
      <c r="F72">
        <f t="shared" si="16"/>
        <v>71</v>
      </c>
      <c r="G72" t="s">
        <v>25</v>
      </c>
      <c r="H72" t="str">
        <f t="shared" si="17"/>
        <v>23</v>
      </c>
      <c r="I72" t="str">
        <f t="shared" si="18"/>
        <v>jnr</v>
      </c>
      <c r="J72" t="s">
        <v>76</v>
      </c>
      <c r="K72">
        <v>4665108.13</v>
      </c>
      <c r="L72">
        <v>360188.58600000001</v>
      </c>
      <c r="M72">
        <v>0.96499999999999997</v>
      </c>
      <c r="O72" s="1"/>
      <c r="P72" s="2">
        <f t="shared" si="20"/>
        <v>80</v>
      </c>
      <c r="Q72" s="2" t="b">
        <f t="shared" si="23"/>
        <v>1</v>
      </c>
      <c r="R72" s="2">
        <f t="shared" si="21"/>
        <v>0</v>
      </c>
      <c r="S72" s="2" t="b">
        <f t="shared" si="22"/>
        <v>1</v>
      </c>
      <c r="T72">
        <v>8</v>
      </c>
      <c r="U72">
        <v>71</v>
      </c>
      <c r="V72" t="s">
        <v>18</v>
      </c>
      <c r="W72">
        <v>4665202.0269999998</v>
      </c>
      <c r="X72">
        <v>360097.299</v>
      </c>
      <c r="Y72">
        <v>1.3280000000000001</v>
      </c>
      <c r="Z72" t="s">
        <v>6</v>
      </c>
      <c r="AA72">
        <v>71</v>
      </c>
    </row>
    <row r="73" spans="1:27" x14ac:dyDescent="0.25">
      <c r="A73" t="s">
        <v>74</v>
      </c>
      <c r="B73">
        <v>20</v>
      </c>
      <c r="C73" t="s">
        <v>75</v>
      </c>
      <c r="D73">
        <v>2019</v>
      </c>
      <c r="E73">
        <f t="shared" si="19"/>
        <v>30</v>
      </c>
      <c r="F73">
        <f t="shared" si="16"/>
        <v>72</v>
      </c>
      <c r="G73" t="s">
        <v>25</v>
      </c>
      <c r="H73" t="str">
        <f t="shared" si="17"/>
        <v>23</v>
      </c>
      <c r="I73" t="str">
        <f t="shared" si="18"/>
        <v>jnr</v>
      </c>
      <c r="J73" t="s">
        <v>76</v>
      </c>
      <c r="K73">
        <v>4665106.95</v>
      </c>
      <c r="L73">
        <v>360188.97</v>
      </c>
      <c r="M73">
        <v>0.96199999999999997</v>
      </c>
      <c r="O73" s="1"/>
      <c r="P73" s="2">
        <f t="shared" si="20"/>
        <v>81</v>
      </c>
      <c r="Q73" s="2" t="b">
        <f t="shared" si="23"/>
        <v>1</v>
      </c>
      <c r="R73" s="2">
        <f t="shared" si="21"/>
        <v>0</v>
      </c>
      <c r="S73" s="2" t="b">
        <f t="shared" si="22"/>
        <v>1</v>
      </c>
      <c r="T73">
        <v>8</v>
      </c>
      <c r="U73">
        <v>72</v>
      </c>
      <c r="V73" t="s">
        <v>4</v>
      </c>
      <c r="W73">
        <v>4665200.8779999996</v>
      </c>
      <c r="X73">
        <v>360095.48700000002</v>
      </c>
      <c r="Y73">
        <v>1.353</v>
      </c>
      <c r="Z73" t="s">
        <v>6</v>
      </c>
      <c r="AA73">
        <v>72</v>
      </c>
    </row>
    <row r="74" spans="1:27" x14ac:dyDescent="0.25">
      <c r="A74" t="s">
        <v>74</v>
      </c>
      <c r="B74">
        <v>20</v>
      </c>
      <c r="C74" t="s">
        <v>75</v>
      </c>
      <c r="D74">
        <v>2019</v>
      </c>
      <c r="E74">
        <f t="shared" si="19"/>
        <v>30</v>
      </c>
      <c r="F74">
        <f t="shared" si="16"/>
        <v>73</v>
      </c>
      <c r="G74" t="s">
        <v>25</v>
      </c>
      <c r="H74" t="str">
        <f t="shared" si="17"/>
        <v>23</v>
      </c>
      <c r="I74" t="str">
        <f t="shared" si="18"/>
        <v>jnr</v>
      </c>
      <c r="J74" t="s">
        <v>76</v>
      </c>
      <c r="K74">
        <v>4665106.2850000001</v>
      </c>
      <c r="L74">
        <v>360188.74300000002</v>
      </c>
      <c r="M74">
        <v>0.88300000000000001</v>
      </c>
      <c r="O74" s="1"/>
      <c r="P74" s="2">
        <f t="shared" si="20"/>
        <v>82</v>
      </c>
      <c r="Q74" s="2" t="b">
        <f t="shared" si="23"/>
        <v>1</v>
      </c>
      <c r="R74" s="2">
        <f t="shared" si="21"/>
        <v>0</v>
      </c>
      <c r="S74" s="2" t="b">
        <f t="shared" si="22"/>
        <v>1</v>
      </c>
      <c r="T74">
        <v>8</v>
      </c>
      <c r="U74">
        <v>73</v>
      </c>
      <c r="V74" t="s">
        <v>22</v>
      </c>
      <c r="W74">
        <v>4665199.0599999996</v>
      </c>
      <c r="X74">
        <v>360094.359</v>
      </c>
      <c r="Y74">
        <v>1.2649999999999999</v>
      </c>
      <c r="AA74">
        <v>73</v>
      </c>
    </row>
    <row r="75" spans="1:27" x14ac:dyDescent="0.25">
      <c r="A75" t="s">
        <v>74</v>
      </c>
      <c r="B75">
        <v>20</v>
      </c>
      <c r="C75" t="s">
        <v>75</v>
      </c>
      <c r="D75">
        <v>2019</v>
      </c>
      <c r="E75">
        <f t="shared" si="19"/>
        <v>30</v>
      </c>
      <c r="F75">
        <f t="shared" si="16"/>
        <v>74</v>
      </c>
      <c r="G75" t="s">
        <v>25</v>
      </c>
      <c r="H75" t="str">
        <f t="shared" si="17"/>
        <v>23</v>
      </c>
      <c r="I75" t="str">
        <f t="shared" si="18"/>
        <v>jnr</v>
      </c>
      <c r="J75" t="s">
        <v>76</v>
      </c>
      <c r="K75">
        <v>4665105.5310000004</v>
      </c>
      <c r="L75">
        <v>360189.565</v>
      </c>
      <c r="M75">
        <v>0.97699999999999998</v>
      </c>
      <c r="O75" s="1"/>
      <c r="P75" s="2">
        <f t="shared" si="20"/>
        <v>83</v>
      </c>
      <c r="Q75" s="2" t="b">
        <f t="shared" si="23"/>
        <v>1</v>
      </c>
      <c r="R75" s="2">
        <f t="shared" si="21"/>
        <v>0</v>
      </c>
      <c r="S75" s="2" t="b">
        <f t="shared" si="22"/>
        <v>1</v>
      </c>
      <c r="T75">
        <v>9</v>
      </c>
      <c r="U75">
        <v>74</v>
      </c>
      <c r="V75" t="s">
        <v>7</v>
      </c>
      <c r="W75">
        <v>4665092.7980000004</v>
      </c>
      <c r="X75">
        <v>360175.701</v>
      </c>
      <c r="Y75">
        <v>1.2170000000000001</v>
      </c>
      <c r="Z75" t="s">
        <v>23</v>
      </c>
      <c r="AA75">
        <v>74</v>
      </c>
    </row>
    <row r="76" spans="1:27" x14ac:dyDescent="0.25">
      <c r="A76" t="s">
        <v>74</v>
      </c>
      <c r="B76">
        <v>20</v>
      </c>
      <c r="C76" t="s">
        <v>75</v>
      </c>
      <c r="D76">
        <v>2019</v>
      </c>
      <c r="E76">
        <f t="shared" si="19"/>
        <v>30</v>
      </c>
      <c r="F76">
        <f t="shared" si="16"/>
        <v>75</v>
      </c>
      <c r="G76" t="s">
        <v>25</v>
      </c>
      <c r="H76" t="str">
        <f t="shared" ref="H76:H121" si="24">LEFT(G76,2)</f>
        <v>23</v>
      </c>
      <c r="I76" t="str">
        <f t="shared" ref="I76:I121" si="25">RIGHT(G76,LEN(G76)-LEN(H76))</f>
        <v>jnr</v>
      </c>
      <c r="J76" t="s">
        <v>76</v>
      </c>
      <c r="K76">
        <v>4665103.8990000002</v>
      </c>
      <c r="L76">
        <v>360190.446</v>
      </c>
      <c r="M76">
        <v>0.60399999999999998</v>
      </c>
      <c r="O76" s="1"/>
      <c r="P76" s="2">
        <f t="shared" si="20"/>
        <v>85</v>
      </c>
      <c r="Q76" s="2" t="b">
        <f t="shared" si="23"/>
        <v>0</v>
      </c>
      <c r="R76" s="2">
        <f t="shared" si="21"/>
        <v>0</v>
      </c>
      <c r="S76" s="2" t="b">
        <f t="shared" si="22"/>
        <v>1</v>
      </c>
      <c r="T76">
        <v>9</v>
      </c>
      <c r="U76">
        <v>75</v>
      </c>
      <c r="V76" t="s">
        <v>7</v>
      </c>
      <c r="W76">
        <v>4665095.7</v>
      </c>
      <c r="X76">
        <v>360180.815</v>
      </c>
      <c r="Y76">
        <v>1.1879999999999999</v>
      </c>
      <c r="Z76" t="s">
        <v>23</v>
      </c>
      <c r="AA76">
        <v>75</v>
      </c>
    </row>
    <row r="77" spans="1:27" x14ac:dyDescent="0.25">
      <c r="A77" t="s">
        <v>74</v>
      </c>
      <c r="B77">
        <v>20</v>
      </c>
      <c r="C77" t="s">
        <v>75</v>
      </c>
      <c r="D77">
        <v>2019</v>
      </c>
      <c r="E77">
        <f t="shared" si="19"/>
        <v>30</v>
      </c>
      <c r="F77">
        <f t="shared" si="16"/>
        <v>76</v>
      </c>
      <c r="G77" t="s">
        <v>25</v>
      </c>
      <c r="H77" t="str">
        <f t="shared" si="24"/>
        <v>23</v>
      </c>
      <c r="I77" t="str">
        <f t="shared" si="25"/>
        <v>jnr</v>
      </c>
      <c r="J77" t="s">
        <v>76</v>
      </c>
      <c r="K77">
        <v>4665102.3480000002</v>
      </c>
      <c r="L77">
        <v>360190.95199999999</v>
      </c>
      <c r="M77">
        <v>1.0109999999999999</v>
      </c>
      <c r="O77" s="1"/>
      <c r="P77" s="2">
        <f t="shared" si="20"/>
        <v>86</v>
      </c>
      <c r="Q77" s="2" t="b">
        <f t="shared" si="23"/>
        <v>1</v>
      </c>
      <c r="R77" s="2">
        <f t="shared" si="21"/>
        <v>0</v>
      </c>
      <c r="S77" s="2" t="b">
        <f t="shared" si="22"/>
        <v>1</v>
      </c>
      <c r="T77">
        <v>9</v>
      </c>
      <c r="U77">
        <v>76</v>
      </c>
      <c r="V77" t="s">
        <v>22</v>
      </c>
      <c r="W77">
        <v>4665096.8509999998</v>
      </c>
      <c r="X77">
        <v>360182.61200000002</v>
      </c>
      <c r="Y77">
        <v>1.145</v>
      </c>
      <c r="AA77">
        <v>76</v>
      </c>
    </row>
    <row r="78" spans="1:27" x14ac:dyDescent="0.25">
      <c r="A78" t="s">
        <v>74</v>
      </c>
      <c r="B78">
        <v>20</v>
      </c>
      <c r="C78" t="s">
        <v>75</v>
      </c>
      <c r="D78">
        <v>2019</v>
      </c>
      <c r="E78">
        <f t="shared" si="19"/>
        <v>30</v>
      </c>
      <c r="F78">
        <f t="shared" si="16"/>
        <v>77</v>
      </c>
      <c r="G78" t="s">
        <v>25</v>
      </c>
      <c r="H78" t="str">
        <f t="shared" si="24"/>
        <v>23</v>
      </c>
      <c r="I78" t="str">
        <f t="shared" si="25"/>
        <v>jnr</v>
      </c>
      <c r="J78" t="s">
        <v>76</v>
      </c>
      <c r="K78">
        <v>4665103.2079999996</v>
      </c>
      <c r="L78">
        <v>360191.46600000001</v>
      </c>
      <c r="M78">
        <v>0.27400000000000002</v>
      </c>
      <c r="O78" s="1"/>
      <c r="P78" s="2">
        <f t="shared" si="20"/>
        <v>87</v>
      </c>
      <c r="Q78" s="2" t="b">
        <f t="shared" si="23"/>
        <v>1</v>
      </c>
      <c r="R78" s="2">
        <f t="shared" si="21"/>
        <v>0</v>
      </c>
      <c r="S78" s="2" t="b">
        <f t="shared" si="22"/>
        <v>1</v>
      </c>
      <c r="T78">
        <v>9</v>
      </c>
      <c r="U78">
        <v>77</v>
      </c>
      <c r="V78" t="s">
        <v>22</v>
      </c>
      <c r="W78">
        <v>4665101.0470000003</v>
      </c>
      <c r="X78">
        <v>360191.91200000001</v>
      </c>
      <c r="Y78">
        <v>0.98099999999999998</v>
      </c>
      <c r="Z78" t="s">
        <v>24</v>
      </c>
      <c r="AA78">
        <v>77</v>
      </c>
    </row>
    <row r="79" spans="1:27" x14ac:dyDescent="0.25">
      <c r="A79" t="s">
        <v>74</v>
      </c>
      <c r="B79">
        <v>20</v>
      </c>
      <c r="C79" t="s">
        <v>75</v>
      </c>
      <c r="D79">
        <v>2019</v>
      </c>
      <c r="E79">
        <f t="shared" si="19"/>
        <v>30</v>
      </c>
      <c r="F79">
        <f t="shared" si="16"/>
        <v>78</v>
      </c>
      <c r="G79" t="s">
        <v>25</v>
      </c>
      <c r="H79" t="str">
        <f t="shared" si="24"/>
        <v>23</v>
      </c>
      <c r="I79" t="str">
        <f t="shared" si="25"/>
        <v>jnr</v>
      </c>
      <c r="J79" t="s">
        <v>76</v>
      </c>
      <c r="K79">
        <v>4665102.5549999997</v>
      </c>
      <c r="L79">
        <v>360192.12199999997</v>
      </c>
      <c r="M79">
        <v>0.67400000000000004</v>
      </c>
      <c r="O79" s="1"/>
      <c r="P79" s="2">
        <f t="shared" si="20"/>
        <v>88</v>
      </c>
      <c r="Q79" s="2" t="b">
        <f t="shared" si="23"/>
        <v>1</v>
      </c>
      <c r="R79" s="2">
        <f t="shared" si="21"/>
        <v>0</v>
      </c>
      <c r="S79" s="2" t="b">
        <f t="shared" si="22"/>
        <v>1</v>
      </c>
      <c r="T79">
        <v>9</v>
      </c>
      <c r="U79">
        <v>78</v>
      </c>
      <c r="V79" t="s">
        <v>25</v>
      </c>
      <c r="W79">
        <v>4665109.1529999999</v>
      </c>
      <c r="X79">
        <v>360188.94199999998</v>
      </c>
      <c r="Y79">
        <v>0.64600000000000002</v>
      </c>
      <c r="AA79">
        <v>78</v>
      </c>
    </row>
    <row r="80" spans="1:27" x14ac:dyDescent="0.25">
      <c r="A80" t="s">
        <v>74</v>
      </c>
      <c r="B80">
        <v>20</v>
      </c>
      <c r="C80" t="s">
        <v>75</v>
      </c>
      <c r="D80">
        <v>2019</v>
      </c>
      <c r="E80">
        <f t="shared" si="19"/>
        <v>30</v>
      </c>
      <c r="F80">
        <f t="shared" si="16"/>
        <v>79</v>
      </c>
      <c r="G80" t="s">
        <v>25</v>
      </c>
      <c r="H80" t="str">
        <f t="shared" si="24"/>
        <v>23</v>
      </c>
      <c r="I80" t="str">
        <f t="shared" si="25"/>
        <v>jnr</v>
      </c>
      <c r="J80" t="s">
        <v>76</v>
      </c>
      <c r="K80">
        <v>4665101.466</v>
      </c>
      <c r="L80">
        <v>360193.17200000002</v>
      </c>
      <c r="M80">
        <v>0.57499999999999996</v>
      </c>
      <c r="O80" s="1"/>
      <c r="P80" s="2">
        <f t="shared" si="20"/>
        <v>89</v>
      </c>
      <c r="Q80" s="2" t="b">
        <f t="shared" si="23"/>
        <v>1</v>
      </c>
      <c r="R80" s="2">
        <f t="shared" si="21"/>
        <v>0</v>
      </c>
      <c r="S80" s="2" t="b">
        <f t="shared" si="22"/>
        <v>1</v>
      </c>
      <c r="T80">
        <v>9</v>
      </c>
      <c r="U80">
        <v>79</v>
      </c>
      <c r="V80" t="s">
        <v>25</v>
      </c>
      <c r="W80">
        <v>4665109.6569999997</v>
      </c>
      <c r="X80">
        <v>360188.73499999999</v>
      </c>
      <c r="Y80">
        <v>1.018</v>
      </c>
      <c r="AA80">
        <v>79</v>
      </c>
    </row>
    <row r="81" spans="1:27" x14ac:dyDescent="0.25">
      <c r="A81" t="s">
        <v>74</v>
      </c>
      <c r="B81">
        <v>20</v>
      </c>
      <c r="C81" t="s">
        <v>75</v>
      </c>
      <c r="D81">
        <v>2019</v>
      </c>
      <c r="E81">
        <f t="shared" si="19"/>
        <v>30</v>
      </c>
      <c r="F81">
        <f t="shared" si="16"/>
        <v>80</v>
      </c>
      <c r="G81" t="s">
        <v>25</v>
      </c>
      <c r="H81" t="str">
        <f t="shared" si="24"/>
        <v>23</v>
      </c>
      <c r="I81" t="str">
        <f t="shared" si="25"/>
        <v>jnr</v>
      </c>
      <c r="J81" t="s">
        <v>76</v>
      </c>
      <c r="K81">
        <v>4665102.1459999997</v>
      </c>
      <c r="L81">
        <v>360193.03200000001</v>
      </c>
      <c r="M81">
        <v>0.108</v>
      </c>
      <c r="O81" s="1"/>
      <c r="P81" s="2">
        <f t="shared" si="20"/>
        <v>90</v>
      </c>
      <c r="Q81" s="2" t="b">
        <f t="shared" si="23"/>
        <v>1</v>
      </c>
      <c r="R81" s="2">
        <f t="shared" si="21"/>
        <v>0</v>
      </c>
      <c r="S81" s="2" t="b">
        <f t="shared" si="22"/>
        <v>1</v>
      </c>
      <c r="T81">
        <v>9</v>
      </c>
      <c r="U81">
        <v>80</v>
      </c>
      <c r="V81" t="s">
        <v>25</v>
      </c>
      <c r="W81">
        <v>4665108.13</v>
      </c>
      <c r="X81">
        <v>360188.58600000001</v>
      </c>
      <c r="Y81">
        <v>0.96499999999999997</v>
      </c>
      <c r="AA81">
        <v>80</v>
      </c>
    </row>
    <row r="82" spans="1:27" x14ac:dyDescent="0.25">
      <c r="A82" t="s">
        <v>74</v>
      </c>
      <c r="B82">
        <v>20</v>
      </c>
      <c r="C82" t="s">
        <v>75</v>
      </c>
      <c r="D82">
        <v>2019</v>
      </c>
      <c r="E82">
        <f t="shared" si="19"/>
        <v>30</v>
      </c>
      <c r="F82">
        <f t="shared" si="16"/>
        <v>81</v>
      </c>
      <c r="G82" t="s">
        <v>25</v>
      </c>
      <c r="H82" t="str">
        <f t="shared" si="24"/>
        <v>23</v>
      </c>
      <c r="I82" t="str">
        <f t="shared" si="25"/>
        <v>jnr</v>
      </c>
      <c r="J82" t="s">
        <v>76</v>
      </c>
      <c r="K82">
        <v>4665102.4460000005</v>
      </c>
      <c r="L82">
        <v>360193.70600000001</v>
      </c>
      <c r="M82">
        <v>0.51300000000000001</v>
      </c>
      <c r="O82" s="1"/>
      <c r="P82" s="2">
        <f t="shared" si="20"/>
        <v>91</v>
      </c>
      <c r="Q82" s="2" t="b">
        <f t="shared" si="23"/>
        <v>1</v>
      </c>
      <c r="R82" s="2">
        <f t="shared" si="21"/>
        <v>0</v>
      </c>
      <c r="S82" s="2" t="b">
        <f t="shared" si="22"/>
        <v>1</v>
      </c>
      <c r="T82">
        <v>9</v>
      </c>
      <c r="U82">
        <v>81</v>
      </c>
      <c r="V82" t="s">
        <v>25</v>
      </c>
      <c r="W82">
        <v>4665106.95</v>
      </c>
      <c r="X82">
        <v>360188.97</v>
      </c>
      <c r="Y82">
        <v>0.96199999999999997</v>
      </c>
      <c r="AA82">
        <v>81</v>
      </c>
    </row>
    <row r="83" spans="1:27" x14ac:dyDescent="0.25">
      <c r="A83" t="s">
        <v>74</v>
      </c>
      <c r="B83">
        <v>20</v>
      </c>
      <c r="C83" t="s">
        <v>75</v>
      </c>
      <c r="D83">
        <v>2019</v>
      </c>
      <c r="E83">
        <f t="shared" si="19"/>
        <v>30</v>
      </c>
      <c r="F83">
        <f t="shared" si="16"/>
        <v>82</v>
      </c>
      <c r="G83" t="s">
        <v>25</v>
      </c>
      <c r="H83" t="str">
        <f t="shared" si="24"/>
        <v>23</v>
      </c>
      <c r="I83" t="str">
        <f t="shared" si="25"/>
        <v>jnr</v>
      </c>
      <c r="J83" t="s">
        <v>76</v>
      </c>
      <c r="K83">
        <v>4665103.5329999998</v>
      </c>
      <c r="L83">
        <v>360192.44199999998</v>
      </c>
      <c r="M83">
        <v>0.60099999999999998</v>
      </c>
      <c r="O83" s="1"/>
      <c r="P83" s="2">
        <f t="shared" si="20"/>
        <v>92</v>
      </c>
      <c r="Q83" s="2" t="b">
        <f t="shared" si="23"/>
        <v>1</v>
      </c>
      <c r="R83" s="2">
        <f t="shared" si="21"/>
        <v>0</v>
      </c>
      <c r="S83" s="2" t="b">
        <f t="shared" si="22"/>
        <v>1</v>
      </c>
      <c r="T83">
        <v>9</v>
      </c>
      <c r="U83">
        <v>82</v>
      </c>
      <c r="V83" t="s">
        <v>25</v>
      </c>
      <c r="W83">
        <v>4665106.2850000001</v>
      </c>
      <c r="X83">
        <v>360188.74300000002</v>
      </c>
      <c r="Y83">
        <v>0.88300000000000001</v>
      </c>
      <c r="AA83">
        <v>82</v>
      </c>
    </row>
    <row r="84" spans="1:27" x14ac:dyDescent="0.25">
      <c r="A84" t="s">
        <v>74</v>
      </c>
      <c r="B84">
        <v>20</v>
      </c>
      <c r="C84" t="s">
        <v>75</v>
      </c>
      <c r="D84">
        <v>2019</v>
      </c>
      <c r="E84">
        <f t="shared" si="19"/>
        <v>30</v>
      </c>
      <c r="F84">
        <f t="shared" si="16"/>
        <v>83</v>
      </c>
      <c r="G84" t="s">
        <v>25</v>
      </c>
      <c r="H84" t="str">
        <f t="shared" si="24"/>
        <v>23</v>
      </c>
      <c r="I84" t="str">
        <f t="shared" si="25"/>
        <v>jnr</v>
      </c>
      <c r="J84" t="s">
        <v>76</v>
      </c>
      <c r="K84">
        <v>4665103.3250000002</v>
      </c>
      <c r="L84">
        <v>360191.60499999998</v>
      </c>
      <c r="M84">
        <v>0.50600000000000001</v>
      </c>
      <c r="O84" s="1"/>
      <c r="P84" s="2">
        <f t="shared" si="20"/>
        <v>93</v>
      </c>
      <c r="Q84" s="2" t="b">
        <f t="shared" si="23"/>
        <v>1</v>
      </c>
      <c r="R84" s="2">
        <f t="shared" si="21"/>
        <v>0</v>
      </c>
      <c r="S84" s="2" t="b">
        <f t="shared" si="22"/>
        <v>1</v>
      </c>
      <c r="T84">
        <v>9</v>
      </c>
      <c r="U84">
        <v>83</v>
      </c>
      <c r="V84" t="s">
        <v>25</v>
      </c>
      <c r="W84">
        <v>4665105.5310000004</v>
      </c>
      <c r="X84">
        <v>360189.565</v>
      </c>
      <c r="Y84">
        <v>0.97699999999999998</v>
      </c>
      <c r="AA84">
        <v>83</v>
      </c>
    </row>
    <row r="85" spans="1:27" x14ac:dyDescent="0.25">
      <c r="A85" t="s">
        <v>74</v>
      </c>
      <c r="B85">
        <v>20</v>
      </c>
      <c r="C85" t="s">
        <v>75</v>
      </c>
      <c r="D85">
        <v>2019</v>
      </c>
      <c r="E85">
        <f t="shared" si="19"/>
        <v>30</v>
      </c>
      <c r="F85">
        <f t="shared" si="16"/>
        <v>84</v>
      </c>
      <c r="G85" t="s">
        <v>25</v>
      </c>
      <c r="H85" t="str">
        <f t="shared" si="24"/>
        <v>23</v>
      </c>
      <c r="I85" t="str">
        <f t="shared" si="25"/>
        <v>jnr</v>
      </c>
      <c r="J85" t="s">
        <v>76</v>
      </c>
      <c r="K85">
        <v>4665105.3820000002</v>
      </c>
      <c r="L85">
        <v>360190.408</v>
      </c>
      <c r="M85">
        <v>0.81799999999999995</v>
      </c>
      <c r="O85" s="1"/>
      <c r="P85" s="2">
        <f t="shared" si="20"/>
        <v>94</v>
      </c>
      <c r="Q85" s="2" t="b">
        <f t="shared" si="23"/>
        <v>1</v>
      </c>
      <c r="R85" s="2">
        <f t="shared" si="21"/>
        <v>0</v>
      </c>
      <c r="S85" s="2" t="b">
        <f t="shared" si="22"/>
        <v>1</v>
      </c>
      <c r="T85">
        <v>9</v>
      </c>
      <c r="U85">
        <v>84</v>
      </c>
      <c r="V85" t="s">
        <v>25</v>
      </c>
      <c r="W85">
        <v>4665106.2659999998</v>
      </c>
      <c r="X85">
        <v>360189.95799999998</v>
      </c>
      <c r="Y85">
        <v>0.59</v>
      </c>
      <c r="AA85">
        <v>84</v>
      </c>
    </row>
    <row r="86" spans="1:27" x14ac:dyDescent="0.25">
      <c r="A86" t="s">
        <v>74</v>
      </c>
      <c r="B86">
        <v>20</v>
      </c>
      <c r="C86" t="s">
        <v>75</v>
      </c>
      <c r="D86">
        <v>2019</v>
      </c>
      <c r="E86">
        <f t="shared" si="19"/>
        <v>30</v>
      </c>
      <c r="F86">
        <f t="shared" si="16"/>
        <v>85</v>
      </c>
      <c r="G86" t="s">
        <v>25</v>
      </c>
      <c r="H86" t="str">
        <f t="shared" si="24"/>
        <v>23</v>
      </c>
      <c r="I86" t="str">
        <f t="shared" si="25"/>
        <v>jnr</v>
      </c>
      <c r="J86" t="s">
        <v>76</v>
      </c>
      <c r="K86">
        <v>4665106.8210000005</v>
      </c>
      <c r="L86">
        <v>360189.58199999999</v>
      </c>
      <c r="M86">
        <v>0.82299999999999995</v>
      </c>
      <c r="O86" s="1"/>
      <c r="P86" s="2">
        <f t="shared" si="20"/>
        <v>95</v>
      </c>
      <c r="Q86" s="2" t="b">
        <f t="shared" si="23"/>
        <v>1</v>
      </c>
      <c r="R86" s="2">
        <f t="shared" si="21"/>
        <v>0</v>
      </c>
      <c r="S86" s="2" t="b">
        <f t="shared" si="22"/>
        <v>1</v>
      </c>
      <c r="T86">
        <v>9</v>
      </c>
      <c r="U86">
        <v>85</v>
      </c>
      <c r="V86" t="s">
        <v>25</v>
      </c>
      <c r="W86">
        <v>4665103.8990000002</v>
      </c>
      <c r="X86">
        <v>360190.446</v>
      </c>
      <c r="Y86">
        <v>0.60399999999999998</v>
      </c>
      <c r="AA86">
        <v>85</v>
      </c>
    </row>
    <row r="87" spans="1:27" x14ac:dyDescent="0.25">
      <c r="A87" t="s">
        <v>74</v>
      </c>
      <c r="B87">
        <v>20</v>
      </c>
      <c r="C87" t="s">
        <v>75</v>
      </c>
      <c r="D87">
        <v>2019</v>
      </c>
      <c r="E87">
        <f t="shared" si="19"/>
        <v>30</v>
      </c>
      <c r="F87">
        <f t="shared" si="16"/>
        <v>86</v>
      </c>
      <c r="G87" t="s">
        <v>25</v>
      </c>
      <c r="H87" t="str">
        <f t="shared" si="24"/>
        <v>23</v>
      </c>
      <c r="I87" t="str">
        <f t="shared" si="25"/>
        <v>jnr</v>
      </c>
      <c r="J87" t="s">
        <v>76</v>
      </c>
      <c r="K87">
        <v>4665108.51</v>
      </c>
      <c r="L87">
        <v>360189.08899999998</v>
      </c>
      <c r="M87">
        <v>0.91</v>
      </c>
      <c r="O87" s="1"/>
      <c r="P87" s="2">
        <f t="shared" si="20"/>
        <v>96</v>
      </c>
      <c r="Q87" s="2" t="b">
        <f t="shared" si="23"/>
        <v>1</v>
      </c>
      <c r="R87" s="2">
        <f t="shared" si="21"/>
        <v>0</v>
      </c>
      <c r="S87" s="2" t="b">
        <f t="shared" si="22"/>
        <v>1</v>
      </c>
      <c r="T87">
        <v>9</v>
      </c>
      <c r="U87">
        <v>86</v>
      </c>
      <c r="V87" t="s">
        <v>25</v>
      </c>
      <c r="W87">
        <v>4665102.3480000002</v>
      </c>
      <c r="X87">
        <v>360190.95199999999</v>
      </c>
      <c r="Y87">
        <v>1.0109999999999999</v>
      </c>
      <c r="AA87">
        <v>86</v>
      </c>
    </row>
    <row r="88" spans="1:27" x14ac:dyDescent="0.25">
      <c r="A88" t="s">
        <v>74</v>
      </c>
      <c r="B88">
        <v>20</v>
      </c>
      <c r="C88" t="s">
        <v>75</v>
      </c>
      <c r="D88">
        <v>2019</v>
      </c>
      <c r="E88">
        <f t="shared" si="19"/>
        <v>30</v>
      </c>
      <c r="F88">
        <f t="shared" si="16"/>
        <v>87</v>
      </c>
      <c r="G88" t="s">
        <v>25</v>
      </c>
      <c r="H88" t="str">
        <f t="shared" si="24"/>
        <v>23</v>
      </c>
      <c r="I88" t="str">
        <f t="shared" si="25"/>
        <v>jnr</v>
      </c>
      <c r="J88" t="s">
        <v>76</v>
      </c>
      <c r="K88">
        <v>4665109.6969999997</v>
      </c>
      <c r="L88">
        <v>360189.20500000002</v>
      </c>
      <c r="M88">
        <v>1.0660000000000001</v>
      </c>
      <c r="O88" s="1"/>
      <c r="P88" s="2">
        <f t="shared" si="20"/>
        <v>97</v>
      </c>
      <c r="Q88" s="2" t="b">
        <f t="shared" si="23"/>
        <v>1</v>
      </c>
      <c r="R88" s="2">
        <f t="shared" si="21"/>
        <v>0</v>
      </c>
      <c r="S88" s="2" t="b">
        <f t="shared" si="22"/>
        <v>1</v>
      </c>
      <c r="T88">
        <v>9</v>
      </c>
      <c r="U88">
        <v>87</v>
      </c>
      <c r="V88" t="s">
        <v>25</v>
      </c>
      <c r="W88">
        <v>4665103.2079999996</v>
      </c>
      <c r="X88">
        <v>360191.46600000001</v>
      </c>
      <c r="Y88">
        <v>0.27400000000000002</v>
      </c>
      <c r="AA88">
        <v>87</v>
      </c>
    </row>
    <row r="89" spans="1:27" hidden="1" x14ac:dyDescent="0.25">
      <c r="A89" t="s">
        <v>74</v>
      </c>
      <c r="B89">
        <v>20</v>
      </c>
      <c r="C89" t="s">
        <v>75</v>
      </c>
      <c r="D89">
        <v>2019</v>
      </c>
      <c r="E89">
        <f t="shared" si="19"/>
        <v>31</v>
      </c>
      <c r="F89">
        <f t="shared" si="16"/>
        <v>88</v>
      </c>
      <c r="G89" t="s">
        <v>19</v>
      </c>
      <c r="H89" t="str">
        <f t="shared" si="24"/>
        <v>01</v>
      </c>
      <c r="I89" t="str">
        <f t="shared" si="25"/>
        <v>a</v>
      </c>
      <c r="J89" t="str">
        <f>IF(OR((E89=E90),(E89=E88)),"Line","MU")</f>
        <v>Line</v>
      </c>
      <c r="K89">
        <v>4665103.7769999998</v>
      </c>
      <c r="L89">
        <v>360194.41700000002</v>
      </c>
      <c r="M89">
        <v>0.997</v>
      </c>
      <c r="O89" s="1"/>
      <c r="P89" s="2">
        <f t="shared" si="20"/>
        <v>98</v>
      </c>
      <c r="Q89" s="2" t="b">
        <f t="shared" si="23"/>
        <v>1</v>
      </c>
      <c r="R89" s="2">
        <f t="shared" si="21"/>
        <v>0</v>
      </c>
      <c r="S89" s="2" t="b">
        <f t="shared" si="22"/>
        <v>1</v>
      </c>
      <c r="T89">
        <v>9</v>
      </c>
      <c r="U89">
        <v>88</v>
      </c>
      <c r="V89" t="s">
        <v>25</v>
      </c>
      <c r="W89">
        <v>4665102.5549999997</v>
      </c>
      <c r="X89">
        <v>360192.12199999997</v>
      </c>
      <c r="Y89">
        <v>0.67400000000000004</v>
      </c>
      <c r="AA89">
        <v>88</v>
      </c>
    </row>
    <row r="90" spans="1:27" hidden="1" x14ac:dyDescent="0.25">
      <c r="A90" t="s">
        <v>74</v>
      </c>
      <c r="B90">
        <v>20</v>
      </c>
      <c r="C90" t="s">
        <v>75</v>
      </c>
      <c r="D90">
        <v>2019</v>
      </c>
      <c r="E90">
        <f t="shared" si="19"/>
        <v>31</v>
      </c>
      <c r="F90">
        <f t="shared" si="16"/>
        <v>89</v>
      </c>
      <c r="G90" t="s">
        <v>19</v>
      </c>
      <c r="H90" t="str">
        <f t="shared" si="24"/>
        <v>01</v>
      </c>
      <c r="I90" t="str">
        <f t="shared" si="25"/>
        <v>a</v>
      </c>
      <c r="J90" t="str">
        <f>IF(OR((E90=E91),(E90=E89)),"Line","MU")</f>
        <v>Line</v>
      </c>
      <c r="K90">
        <v>4665104.9280000003</v>
      </c>
      <c r="L90">
        <v>360197.261</v>
      </c>
      <c r="M90">
        <v>0.97799999999999998</v>
      </c>
      <c r="O90" s="1"/>
      <c r="P90" s="2">
        <f t="shared" si="20"/>
        <v>99</v>
      </c>
      <c r="Q90" s="2" t="b">
        <f t="shared" si="23"/>
        <v>1</v>
      </c>
      <c r="R90" s="2">
        <f t="shared" si="21"/>
        <v>0</v>
      </c>
      <c r="S90" s="2" t="b">
        <f t="shared" si="22"/>
        <v>1</v>
      </c>
      <c r="T90">
        <v>9</v>
      </c>
      <c r="U90">
        <v>89</v>
      </c>
      <c r="V90" t="s">
        <v>25</v>
      </c>
      <c r="W90">
        <v>4665101.466</v>
      </c>
      <c r="X90">
        <v>360193.17200000002</v>
      </c>
      <c r="Y90">
        <v>0.57499999999999996</v>
      </c>
      <c r="AA90">
        <v>89</v>
      </c>
    </row>
    <row r="91" spans="1:27" hidden="1" x14ac:dyDescent="0.25">
      <c r="A91" t="s">
        <v>74</v>
      </c>
      <c r="B91">
        <v>20</v>
      </c>
      <c r="C91" t="s">
        <v>75</v>
      </c>
      <c r="D91">
        <v>2019</v>
      </c>
      <c r="E91">
        <f t="shared" si="19"/>
        <v>32</v>
      </c>
      <c r="F91">
        <f t="shared" si="16"/>
        <v>90</v>
      </c>
      <c r="G91" t="s">
        <v>10</v>
      </c>
      <c r="H91" t="str">
        <f t="shared" si="24"/>
        <v>13</v>
      </c>
      <c r="I91" t="str">
        <f t="shared" si="25"/>
        <v>a</v>
      </c>
      <c r="J91" t="str">
        <f>IF(OR((E91=E92),(E91=E90)),"Line","MU")</f>
        <v>Line</v>
      </c>
      <c r="K91">
        <v>4665105.8619999997</v>
      </c>
      <c r="L91">
        <v>360197.65100000001</v>
      </c>
      <c r="M91">
        <v>1.048</v>
      </c>
      <c r="O91" s="1"/>
      <c r="P91" s="2">
        <f t="shared" si="20"/>
        <v>100</v>
      </c>
      <c r="Q91" s="2" t="b">
        <f t="shared" si="23"/>
        <v>1</v>
      </c>
      <c r="R91" s="2">
        <f t="shared" si="21"/>
        <v>0</v>
      </c>
      <c r="S91" s="2" t="b">
        <f t="shared" si="22"/>
        <v>1</v>
      </c>
      <c r="T91">
        <v>9</v>
      </c>
      <c r="U91">
        <v>90</v>
      </c>
      <c r="V91" t="s">
        <v>25</v>
      </c>
      <c r="W91">
        <v>4665102.1459999997</v>
      </c>
      <c r="X91">
        <v>360193.03200000001</v>
      </c>
      <c r="Y91">
        <v>0.108</v>
      </c>
      <c r="AA91">
        <v>90</v>
      </c>
    </row>
    <row r="92" spans="1:27" hidden="1" x14ac:dyDescent="0.25">
      <c r="A92" t="s">
        <v>74</v>
      </c>
      <c r="B92">
        <v>20</v>
      </c>
      <c r="C92" t="s">
        <v>75</v>
      </c>
      <c r="D92">
        <v>2019</v>
      </c>
      <c r="E92">
        <f t="shared" si="19"/>
        <v>32</v>
      </c>
      <c r="F92">
        <f t="shared" si="16"/>
        <v>91</v>
      </c>
      <c r="G92" t="s">
        <v>10</v>
      </c>
      <c r="H92" t="str">
        <f t="shared" si="24"/>
        <v>13</v>
      </c>
      <c r="I92" t="str">
        <f t="shared" si="25"/>
        <v>a</v>
      </c>
      <c r="J92" t="str">
        <f>IF(OR((E92=E93),(E92=E91)),"Line","MU")</f>
        <v>Line</v>
      </c>
      <c r="K92">
        <v>4665114.6220000004</v>
      </c>
      <c r="L92">
        <v>360211.913</v>
      </c>
      <c r="M92">
        <v>0.94499999999999995</v>
      </c>
      <c r="O92" s="1"/>
      <c r="P92" s="2">
        <f t="shared" si="20"/>
        <v>101</v>
      </c>
      <c r="Q92" s="2" t="b">
        <f t="shared" si="23"/>
        <v>1</v>
      </c>
      <c r="R92" s="2">
        <f t="shared" si="21"/>
        <v>0</v>
      </c>
      <c r="S92" s="2" t="b">
        <f t="shared" si="22"/>
        <v>1</v>
      </c>
      <c r="T92">
        <v>9</v>
      </c>
      <c r="U92">
        <v>91</v>
      </c>
      <c r="V92" t="s">
        <v>25</v>
      </c>
      <c r="W92">
        <v>4665102.4460000005</v>
      </c>
      <c r="X92">
        <v>360193.70600000001</v>
      </c>
      <c r="Y92">
        <v>0.51300000000000001</v>
      </c>
      <c r="AA92">
        <v>91</v>
      </c>
    </row>
    <row r="93" spans="1:27" hidden="1" x14ac:dyDescent="0.25">
      <c r="A93" t="s">
        <v>74</v>
      </c>
      <c r="B93">
        <v>20</v>
      </c>
      <c r="C93" t="s">
        <v>75</v>
      </c>
      <c r="D93">
        <v>2019</v>
      </c>
      <c r="E93">
        <f t="shared" si="19"/>
        <v>32</v>
      </c>
      <c r="F93">
        <f t="shared" si="16"/>
        <v>92</v>
      </c>
      <c r="G93" t="s">
        <v>10</v>
      </c>
      <c r="H93" t="str">
        <f t="shared" si="24"/>
        <v>13</v>
      </c>
      <c r="I93" t="str">
        <f t="shared" si="25"/>
        <v>a</v>
      </c>
      <c r="J93" t="str">
        <f>IF(OR((E93=E95),(E93=E92)),"Line","MU")</f>
        <v>Line</v>
      </c>
      <c r="K93">
        <v>4665120.5039999997</v>
      </c>
      <c r="L93">
        <v>360222.51699999999</v>
      </c>
      <c r="M93">
        <v>1.1319999999999999</v>
      </c>
      <c r="O93" s="1"/>
      <c r="P93" s="2">
        <f t="shared" si="20"/>
        <v>102</v>
      </c>
      <c r="Q93" s="2" t="b">
        <f t="shared" si="23"/>
        <v>1</v>
      </c>
      <c r="R93" s="2">
        <f t="shared" si="21"/>
        <v>0</v>
      </c>
      <c r="S93" s="2" t="b">
        <f t="shared" si="22"/>
        <v>1</v>
      </c>
      <c r="T93">
        <v>9</v>
      </c>
      <c r="U93">
        <v>92</v>
      </c>
      <c r="V93" t="s">
        <v>25</v>
      </c>
      <c r="W93">
        <v>4665103.5329999998</v>
      </c>
      <c r="X93">
        <v>360192.44199999998</v>
      </c>
      <c r="Y93">
        <v>0.60099999999999998</v>
      </c>
      <c r="AA93">
        <v>92</v>
      </c>
    </row>
    <row r="94" spans="1:27" hidden="1" x14ac:dyDescent="0.25">
      <c r="A94" t="s">
        <v>74</v>
      </c>
      <c r="B94">
        <v>20</v>
      </c>
      <c r="C94" t="s">
        <v>75</v>
      </c>
      <c r="D94">
        <v>2019</v>
      </c>
      <c r="E94">
        <f t="shared" si="19"/>
        <v>33</v>
      </c>
      <c r="F94">
        <f>1+F93</f>
        <v>93</v>
      </c>
      <c r="G94" t="s">
        <v>27</v>
      </c>
      <c r="H94" t="str">
        <f t="shared" si="24"/>
        <v>21</v>
      </c>
      <c r="I94" t="str">
        <f t="shared" si="25"/>
        <v>ejn</v>
      </c>
      <c r="J94" t="s">
        <v>77</v>
      </c>
      <c r="K94">
        <v>4665112.6469999999</v>
      </c>
      <c r="L94">
        <v>360214.48700000002</v>
      </c>
      <c r="M94">
        <v>0.54800000000000004</v>
      </c>
      <c r="O94" s="1"/>
      <c r="P94" s="2">
        <f t="shared" si="20"/>
        <v>104</v>
      </c>
      <c r="Q94" s="2" t="b">
        <f t="shared" si="23"/>
        <v>0</v>
      </c>
      <c r="R94" s="2">
        <f t="shared" si="21"/>
        <v>0</v>
      </c>
      <c r="S94" s="2" t="b">
        <f t="shared" si="22"/>
        <v>1</v>
      </c>
      <c r="T94">
        <v>9</v>
      </c>
      <c r="U94">
        <v>93</v>
      </c>
      <c r="V94" t="s">
        <v>25</v>
      </c>
      <c r="W94">
        <v>4665103.3250000002</v>
      </c>
      <c r="X94">
        <v>360191.60499999998</v>
      </c>
      <c r="Y94">
        <v>0.50600000000000001</v>
      </c>
      <c r="AA94">
        <v>93</v>
      </c>
    </row>
    <row r="95" spans="1:27" x14ac:dyDescent="0.25">
      <c r="A95" t="s">
        <v>74</v>
      </c>
      <c r="B95">
        <v>20</v>
      </c>
      <c r="C95" t="s">
        <v>75</v>
      </c>
      <c r="D95">
        <v>2019</v>
      </c>
      <c r="E95">
        <f>IF(G95=G93,E93,E93+1)</f>
        <v>33</v>
      </c>
      <c r="F95">
        <f t="shared" si="16"/>
        <v>94</v>
      </c>
      <c r="G95" t="s">
        <v>26</v>
      </c>
      <c r="H95" t="str">
        <f t="shared" si="24"/>
        <v>21</v>
      </c>
      <c r="I95" t="str">
        <f t="shared" si="25"/>
        <v>jn</v>
      </c>
      <c r="J95" t="s">
        <v>76</v>
      </c>
      <c r="K95">
        <v>4665118.1610000003</v>
      </c>
      <c r="L95">
        <v>360223.87400000001</v>
      </c>
      <c r="M95">
        <v>0.71399999999999997</v>
      </c>
      <c r="O95" s="1"/>
      <c r="P95" s="2">
        <f t="shared" si="20"/>
        <v>103</v>
      </c>
      <c r="Q95" s="2" t="b">
        <f t="shared" si="23"/>
        <v>0</v>
      </c>
      <c r="R95" s="2">
        <f t="shared" si="21"/>
        <v>0</v>
      </c>
      <c r="S95" s="2" t="b">
        <f t="shared" si="22"/>
        <v>1</v>
      </c>
      <c r="T95">
        <v>9</v>
      </c>
      <c r="U95">
        <v>94</v>
      </c>
      <c r="V95" t="s">
        <v>25</v>
      </c>
      <c r="W95">
        <v>4665105.3820000002</v>
      </c>
      <c r="X95">
        <v>360190.408</v>
      </c>
      <c r="Y95">
        <v>0.81799999999999995</v>
      </c>
      <c r="AA95">
        <v>94</v>
      </c>
    </row>
    <row r="96" spans="1:27" x14ac:dyDescent="0.25">
      <c r="A96" t="s">
        <v>74</v>
      </c>
      <c r="B96">
        <v>20</v>
      </c>
      <c r="C96" t="s">
        <v>75</v>
      </c>
      <c r="D96">
        <v>2019</v>
      </c>
      <c r="E96">
        <f t="shared" ref="E96:E127" si="26">IF(G96=G95,E95,E95+1)</f>
        <v>33</v>
      </c>
      <c r="F96">
        <f t="shared" si="16"/>
        <v>95</v>
      </c>
      <c r="G96" t="s">
        <v>26</v>
      </c>
      <c r="H96" t="str">
        <f t="shared" si="24"/>
        <v>21</v>
      </c>
      <c r="I96" t="str">
        <f t="shared" si="25"/>
        <v>jn</v>
      </c>
      <c r="J96" t="s">
        <v>76</v>
      </c>
      <c r="K96">
        <v>4665112.6469999999</v>
      </c>
      <c r="L96">
        <v>360214.48700000002</v>
      </c>
      <c r="M96">
        <v>0.54800000000000004</v>
      </c>
      <c r="O96" s="1"/>
      <c r="P96" s="2">
        <f t="shared" si="20"/>
        <v>104</v>
      </c>
      <c r="Q96" s="2" t="b">
        <f t="shared" si="23"/>
        <v>1</v>
      </c>
      <c r="R96" s="2">
        <f t="shared" si="21"/>
        <v>0</v>
      </c>
      <c r="S96" s="2" t="b">
        <f t="shared" si="22"/>
        <v>1</v>
      </c>
      <c r="T96">
        <v>9</v>
      </c>
      <c r="U96">
        <v>95</v>
      </c>
      <c r="V96" t="s">
        <v>25</v>
      </c>
      <c r="W96">
        <v>4665106.8210000005</v>
      </c>
      <c r="X96">
        <v>360189.58199999999</v>
      </c>
      <c r="Y96">
        <v>0.82299999999999995</v>
      </c>
      <c r="AA96">
        <v>95</v>
      </c>
    </row>
    <row r="97" spans="1:27" x14ac:dyDescent="0.25">
      <c r="A97" t="s">
        <v>74</v>
      </c>
      <c r="B97">
        <v>20</v>
      </c>
      <c r="C97" t="s">
        <v>75</v>
      </c>
      <c r="D97">
        <v>2019</v>
      </c>
      <c r="E97">
        <f t="shared" si="26"/>
        <v>33</v>
      </c>
      <c r="F97">
        <f t="shared" si="16"/>
        <v>96</v>
      </c>
      <c r="G97" t="s">
        <v>26</v>
      </c>
      <c r="H97" t="str">
        <f t="shared" si="24"/>
        <v>21</v>
      </c>
      <c r="I97" t="str">
        <f t="shared" si="25"/>
        <v>jn</v>
      </c>
      <c r="J97" t="s">
        <v>76</v>
      </c>
      <c r="K97">
        <v>4665103.8530000001</v>
      </c>
      <c r="L97">
        <v>360197.88900000002</v>
      </c>
      <c r="M97">
        <v>0.71</v>
      </c>
      <c r="O97" s="1"/>
      <c r="P97" s="2">
        <f t="shared" si="20"/>
        <v>105</v>
      </c>
      <c r="Q97" s="2" t="b">
        <f t="shared" si="23"/>
        <v>1</v>
      </c>
      <c r="R97" s="2">
        <f t="shared" si="21"/>
        <v>0</v>
      </c>
      <c r="S97" s="2" t="b">
        <f t="shared" si="22"/>
        <v>1</v>
      </c>
      <c r="T97">
        <v>9</v>
      </c>
      <c r="U97">
        <v>96</v>
      </c>
      <c r="V97" t="s">
        <v>25</v>
      </c>
      <c r="W97">
        <v>4665108.51</v>
      </c>
      <c r="X97">
        <v>360189.08899999998</v>
      </c>
      <c r="Y97">
        <v>0.91</v>
      </c>
      <c r="AA97">
        <v>96</v>
      </c>
    </row>
    <row r="98" spans="1:27" x14ac:dyDescent="0.25">
      <c r="A98" t="s">
        <v>74</v>
      </c>
      <c r="B98">
        <v>20</v>
      </c>
      <c r="C98" t="s">
        <v>75</v>
      </c>
      <c r="D98">
        <v>2019</v>
      </c>
      <c r="E98">
        <f t="shared" si="26"/>
        <v>33</v>
      </c>
      <c r="F98">
        <f t="shared" si="16"/>
        <v>97</v>
      </c>
      <c r="G98" t="s">
        <v>26</v>
      </c>
      <c r="H98" t="str">
        <f t="shared" si="24"/>
        <v>21</v>
      </c>
      <c r="I98" t="str">
        <f t="shared" si="25"/>
        <v>jn</v>
      </c>
      <c r="J98" t="s">
        <v>76</v>
      </c>
      <c r="K98">
        <v>4665102.6370000001</v>
      </c>
      <c r="L98">
        <v>360198.63</v>
      </c>
      <c r="M98">
        <v>0.95599999999999996</v>
      </c>
      <c r="O98" s="1"/>
      <c r="P98" s="2">
        <f t="shared" si="20"/>
        <v>106</v>
      </c>
      <c r="Q98" s="2" t="b">
        <f t="shared" si="23"/>
        <v>1</v>
      </c>
      <c r="R98" s="2">
        <f t="shared" si="21"/>
        <v>0</v>
      </c>
      <c r="S98" s="2" t="b">
        <f t="shared" si="22"/>
        <v>1</v>
      </c>
      <c r="T98">
        <v>9</v>
      </c>
      <c r="U98">
        <v>97</v>
      </c>
      <c r="V98" t="s">
        <v>25</v>
      </c>
      <c r="W98">
        <v>4665109.6969999997</v>
      </c>
      <c r="X98">
        <v>360189.20500000002</v>
      </c>
      <c r="Y98">
        <v>1.0660000000000001</v>
      </c>
      <c r="AA98">
        <v>97</v>
      </c>
    </row>
    <row r="99" spans="1:27" x14ac:dyDescent="0.25">
      <c r="A99" t="s">
        <v>74</v>
      </c>
      <c r="B99">
        <v>20</v>
      </c>
      <c r="C99" t="s">
        <v>75</v>
      </c>
      <c r="D99">
        <v>2019</v>
      </c>
      <c r="E99">
        <f t="shared" si="26"/>
        <v>33</v>
      </c>
      <c r="F99">
        <f t="shared" si="16"/>
        <v>98</v>
      </c>
      <c r="G99" t="s">
        <v>26</v>
      </c>
      <c r="H99" t="str">
        <f t="shared" si="24"/>
        <v>21</v>
      </c>
      <c r="I99" t="str">
        <f t="shared" si="25"/>
        <v>jn</v>
      </c>
      <c r="J99" t="s">
        <v>76</v>
      </c>
      <c r="K99">
        <v>4665111.2759999996</v>
      </c>
      <c r="L99">
        <v>360213.94400000002</v>
      </c>
      <c r="M99">
        <v>0.6</v>
      </c>
      <c r="O99" s="1"/>
      <c r="P99" s="2">
        <f t="shared" si="20"/>
        <v>107</v>
      </c>
      <c r="Q99" s="2" t="b">
        <f t="shared" si="23"/>
        <v>1</v>
      </c>
      <c r="R99" s="2">
        <f t="shared" si="21"/>
        <v>0</v>
      </c>
      <c r="S99" s="2" t="b">
        <f t="shared" si="22"/>
        <v>1</v>
      </c>
      <c r="T99">
        <v>10</v>
      </c>
      <c r="U99">
        <v>98</v>
      </c>
      <c r="V99" t="s">
        <v>19</v>
      </c>
      <c r="W99">
        <v>4665103.7769999998</v>
      </c>
      <c r="X99">
        <v>360194.41700000002</v>
      </c>
      <c r="Y99">
        <v>0.997</v>
      </c>
      <c r="AA99">
        <v>98</v>
      </c>
    </row>
    <row r="100" spans="1:27" x14ac:dyDescent="0.25">
      <c r="A100" t="s">
        <v>74</v>
      </c>
      <c r="B100">
        <v>20</v>
      </c>
      <c r="C100" t="s">
        <v>75</v>
      </c>
      <c r="D100">
        <v>2019</v>
      </c>
      <c r="E100">
        <f t="shared" si="26"/>
        <v>33</v>
      </c>
      <c r="F100">
        <f t="shared" si="16"/>
        <v>99</v>
      </c>
      <c r="G100" t="s">
        <v>26</v>
      </c>
      <c r="H100" t="str">
        <f t="shared" si="24"/>
        <v>21</v>
      </c>
      <c r="I100" t="str">
        <f t="shared" si="25"/>
        <v>jn</v>
      </c>
      <c r="J100" t="s">
        <v>76</v>
      </c>
      <c r="K100">
        <v>4665115.9040000001</v>
      </c>
      <c r="L100">
        <v>360224.01199999999</v>
      </c>
      <c r="M100">
        <v>0.92500000000000004</v>
      </c>
      <c r="O100" s="1"/>
      <c r="P100" s="2">
        <f t="shared" si="20"/>
        <v>108</v>
      </c>
      <c r="Q100" s="2" t="b">
        <f t="shared" si="23"/>
        <v>1</v>
      </c>
      <c r="R100" s="2">
        <f t="shared" si="21"/>
        <v>0</v>
      </c>
      <c r="S100" s="2" t="b">
        <f t="shared" si="22"/>
        <v>1</v>
      </c>
      <c r="T100">
        <v>10</v>
      </c>
      <c r="U100">
        <v>99</v>
      </c>
      <c r="V100" t="s">
        <v>19</v>
      </c>
      <c r="W100">
        <v>4665104.9280000003</v>
      </c>
      <c r="X100">
        <v>360197.261</v>
      </c>
      <c r="Y100">
        <v>0.97799999999999998</v>
      </c>
      <c r="AA100">
        <v>99</v>
      </c>
    </row>
    <row r="101" spans="1:27" hidden="1" x14ac:dyDescent="0.25">
      <c r="A101" t="s">
        <v>74</v>
      </c>
      <c r="B101">
        <v>20</v>
      </c>
      <c r="C101" t="s">
        <v>75</v>
      </c>
      <c r="D101">
        <v>2019</v>
      </c>
      <c r="E101">
        <f t="shared" si="26"/>
        <v>34</v>
      </c>
      <c r="F101">
        <f t="shared" si="16"/>
        <v>100</v>
      </c>
      <c r="G101" t="s">
        <v>10</v>
      </c>
      <c r="H101" t="str">
        <f t="shared" si="24"/>
        <v>13</v>
      </c>
      <c r="I101" t="str">
        <f t="shared" si="25"/>
        <v>a</v>
      </c>
      <c r="J101" t="str">
        <f t="shared" ref="J101:J119" si="27">IF(OR((E101=E102),(E101=E100)),"Line","MU")</f>
        <v>Line</v>
      </c>
      <c r="K101">
        <v>4665114.5760000004</v>
      </c>
      <c r="L101">
        <v>360224.86700000003</v>
      </c>
      <c r="M101">
        <v>1.1220000000000001</v>
      </c>
      <c r="O101" s="1"/>
      <c r="P101" s="2">
        <f t="shared" si="20"/>
        <v>109</v>
      </c>
      <c r="Q101" s="2" t="b">
        <f t="shared" si="23"/>
        <v>1</v>
      </c>
      <c r="R101" s="2">
        <f t="shared" si="21"/>
        <v>0</v>
      </c>
      <c r="S101" s="2" t="b">
        <f t="shared" si="22"/>
        <v>1</v>
      </c>
      <c r="T101">
        <v>10</v>
      </c>
      <c r="U101">
        <v>100</v>
      </c>
      <c r="V101" t="s">
        <v>10</v>
      </c>
      <c r="W101">
        <v>4665105.8619999997</v>
      </c>
      <c r="X101">
        <v>360197.65100000001</v>
      </c>
      <c r="Y101">
        <v>1.048</v>
      </c>
      <c r="AA101">
        <v>100</v>
      </c>
    </row>
    <row r="102" spans="1:27" hidden="1" x14ac:dyDescent="0.25">
      <c r="A102" t="s">
        <v>74</v>
      </c>
      <c r="B102">
        <v>20</v>
      </c>
      <c r="C102" t="s">
        <v>75</v>
      </c>
      <c r="D102">
        <v>2019</v>
      </c>
      <c r="E102">
        <f t="shared" si="26"/>
        <v>34</v>
      </c>
      <c r="F102">
        <f t="shared" si="16"/>
        <v>101</v>
      </c>
      <c r="G102" t="s">
        <v>10</v>
      </c>
      <c r="H102" t="str">
        <f t="shared" si="24"/>
        <v>13</v>
      </c>
      <c r="I102" t="str">
        <f t="shared" si="25"/>
        <v>a</v>
      </c>
      <c r="J102" t="str">
        <f t="shared" si="27"/>
        <v>Line</v>
      </c>
      <c r="K102">
        <v>4665108.5580000002</v>
      </c>
      <c r="L102">
        <v>360215.33299999998</v>
      </c>
      <c r="M102">
        <v>1.194</v>
      </c>
      <c r="O102" s="1"/>
      <c r="P102" s="2">
        <f t="shared" si="20"/>
        <v>110</v>
      </c>
      <c r="Q102" s="2" t="b">
        <f t="shared" si="23"/>
        <v>1</v>
      </c>
      <c r="R102" s="2">
        <f t="shared" si="21"/>
        <v>0</v>
      </c>
      <c r="S102" s="2" t="b">
        <f t="shared" si="22"/>
        <v>1</v>
      </c>
      <c r="T102">
        <v>10</v>
      </c>
      <c r="U102">
        <v>101</v>
      </c>
      <c r="V102" t="s">
        <v>10</v>
      </c>
      <c r="W102">
        <v>4665114.6220000004</v>
      </c>
      <c r="X102">
        <v>360211.913</v>
      </c>
      <c r="Y102">
        <v>0.94499999999999995</v>
      </c>
      <c r="AA102">
        <v>101</v>
      </c>
    </row>
    <row r="103" spans="1:27" hidden="1" x14ac:dyDescent="0.25">
      <c r="A103" t="s">
        <v>74</v>
      </c>
      <c r="B103">
        <v>20</v>
      </c>
      <c r="C103" t="s">
        <v>75</v>
      </c>
      <c r="D103">
        <v>2019</v>
      </c>
      <c r="E103">
        <f t="shared" si="26"/>
        <v>34</v>
      </c>
      <c r="F103">
        <f t="shared" si="16"/>
        <v>102</v>
      </c>
      <c r="G103" t="s">
        <v>10</v>
      </c>
      <c r="H103" t="str">
        <f t="shared" si="24"/>
        <v>13</v>
      </c>
      <c r="I103" t="str">
        <f t="shared" si="25"/>
        <v>a</v>
      </c>
      <c r="J103" t="str">
        <f t="shared" si="27"/>
        <v>Line</v>
      </c>
      <c r="K103">
        <v>4665100.25</v>
      </c>
      <c r="L103">
        <v>360200.18900000001</v>
      </c>
      <c r="M103">
        <v>1.228</v>
      </c>
      <c r="O103" s="1"/>
      <c r="P103" s="2">
        <f t="shared" si="20"/>
        <v>111</v>
      </c>
      <c r="Q103" s="2" t="b">
        <f t="shared" si="23"/>
        <v>1</v>
      </c>
      <c r="R103" s="2">
        <f t="shared" si="21"/>
        <v>0</v>
      </c>
      <c r="S103" s="2" t="b">
        <f t="shared" si="22"/>
        <v>1</v>
      </c>
      <c r="T103">
        <v>10</v>
      </c>
      <c r="U103">
        <v>102</v>
      </c>
      <c r="V103" t="s">
        <v>10</v>
      </c>
      <c r="W103">
        <v>4665120.5039999997</v>
      </c>
      <c r="X103">
        <v>360222.51699999999</v>
      </c>
      <c r="Y103">
        <v>1.1319999999999999</v>
      </c>
      <c r="AA103">
        <v>102</v>
      </c>
    </row>
    <row r="104" spans="1:27" hidden="1" x14ac:dyDescent="0.25">
      <c r="A104" t="s">
        <v>74</v>
      </c>
      <c r="B104">
        <v>20</v>
      </c>
      <c r="C104" t="s">
        <v>75</v>
      </c>
      <c r="D104">
        <v>2019</v>
      </c>
      <c r="E104">
        <f t="shared" si="26"/>
        <v>35</v>
      </c>
      <c r="F104">
        <f t="shared" si="16"/>
        <v>103</v>
      </c>
      <c r="G104" t="s">
        <v>17</v>
      </c>
      <c r="H104" t="str">
        <f t="shared" si="24"/>
        <v>06</v>
      </c>
      <c r="I104" t="str">
        <f t="shared" si="25"/>
        <v>a</v>
      </c>
      <c r="J104" t="str">
        <f t="shared" si="27"/>
        <v>Line</v>
      </c>
      <c r="K104">
        <v>4665099.3030000003</v>
      </c>
      <c r="L104">
        <v>360201.69</v>
      </c>
      <c r="M104">
        <v>1.24</v>
      </c>
      <c r="O104" s="1"/>
      <c r="P104" s="2">
        <f t="shared" si="20"/>
        <v>112</v>
      </c>
      <c r="Q104" s="2" t="b">
        <f t="shared" si="23"/>
        <v>1</v>
      </c>
      <c r="R104" s="2">
        <f t="shared" si="21"/>
        <v>0</v>
      </c>
      <c r="S104" s="2" t="b">
        <f t="shared" si="22"/>
        <v>1</v>
      </c>
      <c r="T104">
        <v>10</v>
      </c>
      <c r="U104">
        <v>103</v>
      </c>
      <c r="V104" t="s">
        <v>26</v>
      </c>
      <c r="W104">
        <v>4665118.1610000003</v>
      </c>
      <c r="X104">
        <v>360223.87400000001</v>
      </c>
      <c r="Y104">
        <v>0.71399999999999997</v>
      </c>
      <c r="AA104">
        <v>103</v>
      </c>
    </row>
    <row r="105" spans="1:27" hidden="1" x14ac:dyDescent="0.25">
      <c r="A105" t="s">
        <v>74</v>
      </c>
      <c r="B105">
        <v>20</v>
      </c>
      <c r="C105" t="s">
        <v>75</v>
      </c>
      <c r="D105">
        <v>2019</v>
      </c>
      <c r="E105">
        <f t="shared" si="26"/>
        <v>35</v>
      </c>
      <c r="F105">
        <f t="shared" si="16"/>
        <v>104</v>
      </c>
      <c r="G105" t="s">
        <v>17</v>
      </c>
      <c r="H105" t="str">
        <f t="shared" si="24"/>
        <v>06</v>
      </c>
      <c r="I105" t="str">
        <f t="shared" si="25"/>
        <v>a</v>
      </c>
      <c r="J105" t="str">
        <f t="shared" si="27"/>
        <v>Line</v>
      </c>
      <c r="K105">
        <v>4665099.0769999996</v>
      </c>
      <c r="L105">
        <v>360203.53700000001</v>
      </c>
      <c r="M105">
        <v>1.262</v>
      </c>
      <c r="O105" s="1"/>
      <c r="P105" s="2">
        <f t="shared" si="20"/>
        <v>113</v>
      </c>
      <c r="Q105" s="2" t="b">
        <f t="shared" si="23"/>
        <v>1</v>
      </c>
      <c r="R105" s="2">
        <f t="shared" si="21"/>
        <v>0</v>
      </c>
      <c r="S105" s="2" t="b">
        <f t="shared" si="22"/>
        <v>1</v>
      </c>
      <c r="T105">
        <v>10</v>
      </c>
      <c r="U105">
        <v>104</v>
      </c>
      <c r="V105" t="s">
        <v>27</v>
      </c>
      <c r="W105">
        <v>4665112.6469999999</v>
      </c>
      <c r="X105">
        <v>360214.48700000002</v>
      </c>
      <c r="Y105">
        <v>0.54800000000000004</v>
      </c>
      <c r="AA105">
        <v>104</v>
      </c>
    </row>
    <row r="106" spans="1:27" hidden="1" x14ac:dyDescent="0.25">
      <c r="A106" t="s">
        <v>74</v>
      </c>
      <c r="B106">
        <v>20</v>
      </c>
      <c r="C106" t="s">
        <v>75</v>
      </c>
      <c r="D106">
        <v>2019</v>
      </c>
      <c r="E106">
        <f t="shared" si="26"/>
        <v>36</v>
      </c>
      <c r="F106">
        <f t="shared" si="16"/>
        <v>105</v>
      </c>
      <c r="G106" t="s">
        <v>5</v>
      </c>
      <c r="H106" t="str">
        <f t="shared" si="24"/>
        <v>04</v>
      </c>
      <c r="I106" t="str">
        <f t="shared" si="25"/>
        <v>a</v>
      </c>
      <c r="J106" t="str">
        <f t="shared" si="27"/>
        <v>MU</v>
      </c>
      <c r="K106">
        <v>4665098.2189999996</v>
      </c>
      <c r="L106">
        <v>360205.55599999998</v>
      </c>
      <c r="M106">
        <v>1.282</v>
      </c>
      <c r="N106" t="s">
        <v>6</v>
      </c>
      <c r="O106" s="1"/>
      <c r="P106" s="2">
        <f t="shared" si="20"/>
        <v>114</v>
      </c>
      <c r="Q106" s="2" t="b">
        <f t="shared" si="23"/>
        <v>1</v>
      </c>
      <c r="R106" s="2" t="str">
        <f t="shared" si="21"/>
        <v>1 mu</v>
      </c>
      <c r="S106" s="2" t="b">
        <f t="shared" ref="S106:S137" si="28">IF(N106=R106,TRUE,FALSE)</f>
        <v>1</v>
      </c>
      <c r="T106">
        <v>10</v>
      </c>
      <c r="U106">
        <v>105</v>
      </c>
      <c r="V106" t="s">
        <v>26</v>
      </c>
      <c r="W106">
        <v>4665103.8530000001</v>
      </c>
      <c r="X106">
        <v>360197.88900000002</v>
      </c>
      <c r="Y106">
        <v>0.71</v>
      </c>
      <c r="AA106">
        <v>105</v>
      </c>
    </row>
    <row r="107" spans="1:27" hidden="1" x14ac:dyDescent="0.25">
      <c r="A107" t="s">
        <v>74</v>
      </c>
      <c r="B107">
        <v>20</v>
      </c>
      <c r="C107" t="s">
        <v>75</v>
      </c>
      <c r="D107">
        <v>2019</v>
      </c>
      <c r="E107">
        <f t="shared" si="26"/>
        <v>37</v>
      </c>
      <c r="F107">
        <f t="shared" si="16"/>
        <v>106</v>
      </c>
      <c r="G107" t="s">
        <v>4</v>
      </c>
      <c r="H107" t="str">
        <f t="shared" si="24"/>
        <v>03</v>
      </c>
      <c r="I107" t="str">
        <f t="shared" si="25"/>
        <v>a</v>
      </c>
      <c r="J107" t="str">
        <f t="shared" si="27"/>
        <v>Line</v>
      </c>
      <c r="K107">
        <v>4665097.2170000002</v>
      </c>
      <c r="L107">
        <v>360208.93800000002</v>
      </c>
      <c r="M107">
        <v>1.292</v>
      </c>
      <c r="N107" t="s">
        <v>28</v>
      </c>
      <c r="O107" s="1"/>
      <c r="P107" s="2">
        <f t="shared" si="20"/>
        <v>115</v>
      </c>
      <c r="Q107" s="2" t="b">
        <f t="shared" si="23"/>
        <v>1</v>
      </c>
      <c r="R107" s="2" t="str">
        <f t="shared" si="21"/>
        <v>salicornia and limonium</v>
      </c>
      <c r="S107" s="2" t="b">
        <f t="shared" si="28"/>
        <v>1</v>
      </c>
      <c r="T107">
        <v>10</v>
      </c>
      <c r="U107">
        <v>106</v>
      </c>
      <c r="V107" t="s">
        <v>26</v>
      </c>
      <c r="W107">
        <v>4665102.6370000001</v>
      </c>
      <c r="X107">
        <v>360198.63</v>
      </c>
      <c r="Y107">
        <v>0.95599999999999996</v>
      </c>
      <c r="AA107">
        <v>106</v>
      </c>
    </row>
    <row r="108" spans="1:27" hidden="1" x14ac:dyDescent="0.25">
      <c r="A108" t="s">
        <v>74</v>
      </c>
      <c r="B108">
        <v>20</v>
      </c>
      <c r="C108" t="s">
        <v>75</v>
      </c>
      <c r="D108">
        <v>2019</v>
      </c>
      <c r="E108">
        <f t="shared" si="26"/>
        <v>37</v>
      </c>
      <c r="F108">
        <f t="shared" si="16"/>
        <v>107</v>
      </c>
      <c r="G108" t="s">
        <v>4</v>
      </c>
      <c r="H108" t="str">
        <f t="shared" si="24"/>
        <v>03</v>
      </c>
      <c r="I108" t="str">
        <f t="shared" si="25"/>
        <v>a</v>
      </c>
      <c r="J108" t="str">
        <f t="shared" si="27"/>
        <v>Line</v>
      </c>
      <c r="K108">
        <v>4665093.2369999997</v>
      </c>
      <c r="L108">
        <v>360221.48</v>
      </c>
      <c r="M108">
        <v>1.26</v>
      </c>
      <c r="O108" s="1"/>
      <c r="P108" s="2">
        <f t="shared" si="20"/>
        <v>116</v>
      </c>
      <c r="Q108" s="2" t="b">
        <f t="shared" si="23"/>
        <v>1</v>
      </c>
      <c r="R108" s="2">
        <f t="shared" si="21"/>
        <v>0</v>
      </c>
      <c r="S108" s="2" t="b">
        <f t="shared" si="28"/>
        <v>1</v>
      </c>
      <c r="T108">
        <v>10</v>
      </c>
      <c r="U108">
        <v>107</v>
      </c>
      <c r="V108" t="s">
        <v>26</v>
      </c>
      <c r="W108">
        <v>4665111.2759999996</v>
      </c>
      <c r="X108">
        <v>360213.94400000002</v>
      </c>
      <c r="Y108">
        <v>0.6</v>
      </c>
      <c r="AA108">
        <v>107</v>
      </c>
    </row>
    <row r="109" spans="1:27" hidden="1" x14ac:dyDescent="0.25">
      <c r="A109" t="s">
        <v>74</v>
      </c>
      <c r="B109">
        <v>20</v>
      </c>
      <c r="C109" t="s">
        <v>75</v>
      </c>
      <c r="D109">
        <v>2019</v>
      </c>
      <c r="E109">
        <f t="shared" si="26"/>
        <v>38</v>
      </c>
      <c r="F109">
        <f t="shared" si="16"/>
        <v>108</v>
      </c>
      <c r="G109" t="s">
        <v>5</v>
      </c>
      <c r="H109" t="str">
        <f t="shared" si="24"/>
        <v>04</v>
      </c>
      <c r="I109" t="str">
        <f t="shared" si="25"/>
        <v>a</v>
      </c>
      <c r="J109" t="str">
        <f t="shared" si="27"/>
        <v>Line</v>
      </c>
      <c r="K109">
        <v>4665092.4939999999</v>
      </c>
      <c r="L109">
        <v>360223.51500000001</v>
      </c>
      <c r="M109">
        <v>1.276</v>
      </c>
      <c r="O109" s="1"/>
      <c r="P109" s="2">
        <f t="shared" si="20"/>
        <v>117</v>
      </c>
      <c r="Q109" s="2" t="b">
        <f t="shared" si="23"/>
        <v>1</v>
      </c>
      <c r="R109" s="2">
        <f t="shared" si="21"/>
        <v>0</v>
      </c>
      <c r="S109" s="2" t="b">
        <f t="shared" si="28"/>
        <v>1</v>
      </c>
      <c r="T109">
        <v>10</v>
      </c>
      <c r="U109">
        <v>108</v>
      </c>
      <c r="V109" t="s">
        <v>26</v>
      </c>
      <c r="W109">
        <v>4665115.9040000001</v>
      </c>
      <c r="X109">
        <v>360224.01199999999</v>
      </c>
      <c r="Y109">
        <v>0.92500000000000004</v>
      </c>
      <c r="AA109">
        <v>108</v>
      </c>
    </row>
    <row r="110" spans="1:27" hidden="1" x14ac:dyDescent="0.25">
      <c r="A110" t="s">
        <v>74</v>
      </c>
      <c r="B110">
        <v>20</v>
      </c>
      <c r="C110" t="s">
        <v>75</v>
      </c>
      <c r="D110">
        <v>2019</v>
      </c>
      <c r="E110">
        <f t="shared" si="26"/>
        <v>38</v>
      </c>
      <c r="F110">
        <f t="shared" si="16"/>
        <v>109</v>
      </c>
      <c r="G110" t="s">
        <v>5</v>
      </c>
      <c r="H110" t="str">
        <f t="shared" si="24"/>
        <v>04</v>
      </c>
      <c r="I110" t="str">
        <f t="shared" si="25"/>
        <v>a</v>
      </c>
      <c r="J110" t="str">
        <f t="shared" si="27"/>
        <v>Line</v>
      </c>
      <c r="K110">
        <v>4665091.5</v>
      </c>
      <c r="L110">
        <v>360226.10399999999</v>
      </c>
      <c r="M110">
        <v>1.226</v>
      </c>
      <c r="O110" s="1"/>
      <c r="P110" s="2">
        <f t="shared" si="20"/>
        <v>118</v>
      </c>
      <c r="Q110" s="2" t="b">
        <f t="shared" si="23"/>
        <v>1</v>
      </c>
      <c r="R110" s="2">
        <f t="shared" si="21"/>
        <v>0</v>
      </c>
      <c r="S110" s="2" t="b">
        <f t="shared" si="28"/>
        <v>1</v>
      </c>
      <c r="T110">
        <v>10</v>
      </c>
      <c r="U110">
        <v>109</v>
      </c>
      <c r="V110" t="s">
        <v>10</v>
      </c>
      <c r="W110">
        <v>4665114.5760000004</v>
      </c>
      <c r="X110">
        <v>360224.86700000003</v>
      </c>
      <c r="Y110">
        <v>1.1220000000000001</v>
      </c>
      <c r="AA110">
        <v>109</v>
      </c>
    </row>
    <row r="111" spans="1:27" hidden="1" x14ac:dyDescent="0.25">
      <c r="A111" t="s">
        <v>74</v>
      </c>
      <c r="B111">
        <v>20</v>
      </c>
      <c r="C111" t="s">
        <v>75</v>
      </c>
      <c r="D111">
        <v>2019</v>
      </c>
      <c r="E111">
        <f t="shared" si="26"/>
        <v>39</v>
      </c>
      <c r="F111">
        <f t="shared" si="16"/>
        <v>110</v>
      </c>
      <c r="G111" t="s">
        <v>7</v>
      </c>
      <c r="H111" t="str">
        <f t="shared" si="24"/>
        <v>02</v>
      </c>
      <c r="I111" t="str">
        <f t="shared" si="25"/>
        <v>a</v>
      </c>
      <c r="J111" t="str">
        <f t="shared" si="27"/>
        <v>Line</v>
      </c>
      <c r="K111">
        <v>4665090.6449999996</v>
      </c>
      <c r="L111">
        <v>360227.99900000001</v>
      </c>
      <c r="M111">
        <v>1.167</v>
      </c>
      <c r="O111" s="1"/>
      <c r="P111" s="2">
        <f t="shared" si="20"/>
        <v>119</v>
      </c>
      <c r="Q111" s="2" t="b">
        <f t="shared" si="23"/>
        <v>1</v>
      </c>
      <c r="R111" s="2">
        <f t="shared" si="21"/>
        <v>0</v>
      </c>
      <c r="S111" s="2" t="b">
        <f t="shared" si="28"/>
        <v>1</v>
      </c>
      <c r="T111">
        <v>10</v>
      </c>
      <c r="U111">
        <v>110</v>
      </c>
      <c r="V111" t="s">
        <v>10</v>
      </c>
      <c r="W111">
        <v>4665108.5580000002</v>
      </c>
      <c r="X111">
        <v>360215.33299999998</v>
      </c>
      <c r="Y111">
        <v>1.194</v>
      </c>
      <c r="AA111">
        <v>110</v>
      </c>
    </row>
    <row r="112" spans="1:27" hidden="1" x14ac:dyDescent="0.25">
      <c r="A112" t="s">
        <v>74</v>
      </c>
      <c r="B112">
        <v>20</v>
      </c>
      <c r="C112" t="s">
        <v>75</v>
      </c>
      <c r="D112">
        <v>2019</v>
      </c>
      <c r="E112">
        <f t="shared" si="26"/>
        <v>39</v>
      </c>
      <c r="F112">
        <f t="shared" si="16"/>
        <v>111</v>
      </c>
      <c r="G112" t="s">
        <v>7</v>
      </c>
      <c r="H112" t="str">
        <f t="shared" si="24"/>
        <v>02</v>
      </c>
      <c r="I112" t="str">
        <f t="shared" si="25"/>
        <v>a</v>
      </c>
      <c r="J112" t="str">
        <f t="shared" si="27"/>
        <v>Line</v>
      </c>
      <c r="K112">
        <v>4665089.47</v>
      </c>
      <c r="L112">
        <v>360231.15100000001</v>
      </c>
      <c r="M112">
        <v>1.1659999999999999</v>
      </c>
      <c r="O112" s="1"/>
      <c r="P112" s="2">
        <f t="shared" si="20"/>
        <v>120</v>
      </c>
      <c r="Q112" s="2" t="b">
        <f t="shared" si="23"/>
        <v>1</v>
      </c>
      <c r="R112" s="2">
        <f t="shared" si="21"/>
        <v>0</v>
      </c>
      <c r="S112" s="2" t="b">
        <f t="shared" si="28"/>
        <v>1</v>
      </c>
      <c r="T112">
        <v>10</v>
      </c>
      <c r="U112">
        <v>111</v>
      </c>
      <c r="V112" t="s">
        <v>10</v>
      </c>
      <c r="W112">
        <v>4665100.25</v>
      </c>
      <c r="X112">
        <v>360200.18900000001</v>
      </c>
      <c r="Y112">
        <v>1.228</v>
      </c>
      <c r="AA112">
        <v>111</v>
      </c>
    </row>
    <row r="113" spans="1:27" hidden="1" x14ac:dyDescent="0.25">
      <c r="A113" t="s">
        <v>74</v>
      </c>
      <c r="B113">
        <v>20</v>
      </c>
      <c r="C113" t="s">
        <v>75</v>
      </c>
      <c r="D113">
        <v>2019</v>
      </c>
      <c r="E113">
        <f t="shared" si="26"/>
        <v>39</v>
      </c>
      <c r="F113">
        <f t="shared" si="16"/>
        <v>112</v>
      </c>
      <c r="G113" t="s">
        <v>7</v>
      </c>
      <c r="H113" t="str">
        <f t="shared" si="24"/>
        <v>02</v>
      </c>
      <c r="I113" t="str">
        <f t="shared" si="25"/>
        <v>a</v>
      </c>
      <c r="J113" t="str">
        <f t="shared" si="27"/>
        <v>Line</v>
      </c>
      <c r="K113">
        <v>4665088.3559999997</v>
      </c>
      <c r="L113">
        <v>360229.277</v>
      </c>
      <c r="M113">
        <v>1.1499999999999999</v>
      </c>
      <c r="O113" s="1"/>
      <c r="P113" s="2">
        <f t="shared" si="20"/>
        <v>121</v>
      </c>
      <c r="Q113" s="2" t="b">
        <f t="shared" si="23"/>
        <v>1</v>
      </c>
      <c r="R113" s="2">
        <f t="shared" si="21"/>
        <v>0</v>
      </c>
      <c r="S113" s="2" t="b">
        <f t="shared" si="28"/>
        <v>1</v>
      </c>
      <c r="T113">
        <v>11</v>
      </c>
      <c r="U113">
        <v>112</v>
      </c>
      <c r="V113" t="s">
        <v>17</v>
      </c>
      <c r="W113">
        <v>4665099.3030000003</v>
      </c>
      <c r="X113">
        <v>360201.69</v>
      </c>
      <c r="Y113">
        <v>1.24</v>
      </c>
      <c r="AA113">
        <v>112</v>
      </c>
    </row>
    <row r="114" spans="1:27" hidden="1" x14ac:dyDescent="0.25">
      <c r="A114" t="s">
        <v>74</v>
      </c>
      <c r="B114">
        <v>20</v>
      </c>
      <c r="C114" t="s">
        <v>75</v>
      </c>
      <c r="D114">
        <v>2019</v>
      </c>
      <c r="E114">
        <f t="shared" si="26"/>
        <v>39</v>
      </c>
      <c r="F114">
        <f t="shared" si="16"/>
        <v>113</v>
      </c>
      <c r="G114" t="s">
        <v>7</v>
      </c>
      <c r="H114" t="str">
        <f t="shared" si="24"/>
        <v>02</v>
      </c>
      <c r="I114" t="str">
        <f t="shared" si="25"/>
        <v>a</v>
      </c>
      <c r="J114" t="str">
        <f t="shared" si="27"/>
        <v>Line</v>
      </c>
      <c r="K114">
        <v>4665087.4359999998</v>
      </c>
      <c r="L114">
        <v>360227.12900000002</v>
      </c>
      <c r="M114">
        <v>1.1779999999999999</v>
      </c>
      <c r="O114" s="1"/>
      <c r="P114" s="2">
        <f t="shared" si="20"/>
        <v>122</v>
      </c>
      <c r="Q114" s="2" t="b">
        <f t="shared" si="23"/>
        <v>1</v>
      </c>
      <c r="R114" s="2">
        <f t="shared" si="21"/>
        <v>0</v>
      </c>
      <c r="S114" s="2" t="b">
        <f t="shared" si="28"/>
        <v>1</v>
      </c>
      <c r="T114">
        <v>11</v>
      </c>
      <c r="U114">
        <v>113</v>
      </c>
      <c r="V114" t="s">
        <v>17</v>
      </c>
      <c r="W114">
        <v>4665099.0769999996</v>
      </c>
      <c r="X114">
        <v>360203.53700000001</v>
      </c>
      <c r="Y114">
        <v>1.262</v>
      </c>
      <c r="AA114">
        <v>113</v>
      </c>
    </row>
    <row r="115" spans="1:27" hidden="1" x14ac:dyDescent="0.25">
      <c r="A115" t="s">
        <v>74</v>
      </c>
      <c r="B115">
        <v>20</v>
      </c>
      <c r="C115" t="s">
        <v>75</v>
      </c>
      <c r="D115">
        <v>2019</v>
      </c>
      <c r="E115">
        <f t="shared" si="26"/>
        <v>40</v>
      </c>
      <c r="F115">
        <f t="shared" si="16"/>
        <v>114</v>
      </c>
      <c r="G115" t="s">
        <v>29</v>
      </c>
      <c r="H115" t="str">
        <f t="shared" si="24"/>
        <v>01</v>
      </c>
      <c r="I115" t="str">
        <f t="shared" si="25"/>
        <v>b</v>
      </c>
      <c r="J115" t="str">
        <f t="shared" si="27"/>
        <v>Line</v>
      </c>
      <c r="K115">
        <v>4665086.1370000001</v>
      </c>
      <c r="L115">
        <v>360225.223</v>
      </c>
      <c r="M115">
        <v>1.1299999999999999</v>
      </c>
      <c r="N115" t="s">
        <v>30</v>
      </c>
      <c r="O115" s="1"/>
      <c r="P115" s="2">
        <f t="shared" si="20"/>
        <v>123</v>
      </c>
      <c r="Q115" s="2" t="b">
        <f t="shared" si="23"/>
        <v>1</v>
      </c>
      <c r="R115" s="2" t="str">
        <f t="shared" si="21"/>
        <v>flowering, yellowing</v>
      </c>
      <c r="S115" s="2" t="b">
        <f t="shared" si="28"/>
        <v>1</v>
      </c>
      <c r="T115">
        <v>11</v>
      </c>
      <c r="U115">
        <v>114</v>
      </c>
      <c r="V115" t="s">
        <v>5</v>
      </c>
      <c r="W115">
        <v>4665098.2189999996</v>
      </c>
      <c r="X115">
        <v>360205.55599999998</v>
      </c>
      <c r="Y115">
        <v>1.282</v>
      </c>
      <c r="Z115" t="s">
        <v>6</v>
      </c>
      <c r="AA115">
        <v>114</v>
      </c>
    </row>
    <row r="116" spans="1:27" hidden="1" x14ac:dyDescent="0.25">
      <c r="A116" t="s">
        <v>74</v>
      </c>
      <c r="B116">
        <v>20</v>
      </c>
      <c r="C116" t="s">
        <v>75</v>
      </c>
      <c r="D116">
        <v>2019</v>
      </c>
      <c r="E116">
        <f t="shared" si="26"/>
        <v>40</v>
      </c>
      <c r="F116">
        <f t="shared" si="16"/>
        <v>115</v>
      </c>
      <c r="G116" t="s">
        <v>29</v>
      </c>
      <c r="H116" t="str">
        <f t="shared" si="24"/>
        <v>01</v>
      </c>
      <c r="I116" t="str">
        <f t="shared" si="25"/>
        <v>b</v>
      </c>
      <c r="J116" t="str">
        <f t="shared" si="27"/>
        <v>Line</v>
      </c>
      <c r="K116">
        <v>4665084.574</v>
      </c>
      <c r="L116">
        <v>360222.163</v>
      </c>
      <c r="M116">
        <v>1.1719999999999999</v>
      </c>
      <c r="N116" t="s">
        <v>31</v>
      </c>
      <c r="O116" s="1"/>
      <c r="P116" s="2">
        <f t="shared" si="20"/>
        <v>124</v>
      </c>
      <c r="Q116" s="2" t="b">
        <f t="shared" si="23"/>
        <v>1</v>
      </c>
      <c r="R116" s="2" t="str">
        <f t="shared" si="21"/>
        <v>channel holds water</v>
      </c>
      <c r="S116" s="2" t="b">
        <f t="shared" si="28"/>
        <v>1</v>
      </c>
      <c r="T116">
        <v>11</v>
      </c>
      <c r="U116">
        <v>115</v>
      </c>
      <c r="V116" t="s">
        <v>4</v>
      </c>
      <c r="W116">
        <v>4665097.2170000002</v>
      </c>
      <c r="X116">
        <v>360208.93800000002</v>
      </c>
      <c r="Y116">
        <v>1.292</v>
      </c>
      <c r="Z116" t="s">
        <v>28</v>
      </c>
      <c r="AA116">
        <v>115</v>
      </c>
    </row>
    <row r="117" spans="1:27" hidden="1" x14ac:dyDescent="0.25">
      <c r="A117" t="s">
        <v>74</v>
      </c>
      <c r="B117">
        <v>20</v>
      </c>
      <c r="C117" t="s">
        <v>75</v>
      </c>
      <c r="D117">
        <v>2019</v>
      </c>
      <c r="E117">
        <f t="shared" si="26"/>
        <v>41</v>
      </c>
      <c r="F117">
        <f t="shared" si="16"/>
        <v>116</v>
      </c>
      <c r="G117" t="s">
        <v>10</v>
      </c>
      <c r="H117" t="str">
        <f t="shared" si="24"/>
        <v>13</v>
      </c>
      <c r="I117" t="str">
        <f t="shared" si="25"/>
        <v>a</v>
      </c>
      <c r="J117" t="str">
        <f t="shared" si="27"/>
        <v>Line</v>
      </c>
      <c r="K117">
        <v>4665083.9840000002</v>
      </c>
      <c r="L117">
        <v>360220.17700000003</v>
      </c>
      <c r="M117">
        <v>1.22</v>
      </c>
      <c r="O117" s="1"/>
      <c r="P117" s="2">
        <f t="shared" si="20"/>
        <v>125</v>
      </c>
      <c r="Q117" s="2" t="b">
        <f t="shared" si="23"/>
        <v>1</v>
      </c>
      <c r="R117" s="2">
        <f t="shared" si="21"/>
        <v>0</v>
      </c>
      <c r="S117" s="2" t="b">
        <f t="shared" si="28"/>
        <v>1</v>
      </c>
      <c r="T117">
        <v>11</v>
      </c>
      <c r="U117">
        <v>116</v>
      </c>
      <c r="V117" t="s">
        <v>4</v>
      </c>
      <c r="W117">
        <v>4665093.2369999997</v>
      </c>
      <c r="X117">
        <v>360221.48</v>
      </c>
      <c r="Y117">
        <v>1.26</v>
      </c>
      <c r="AA117">
        <v>116</v>
      </c>
    </row>
    <row r="118" spans="1:27" hidden="1" x14ac:dyDescent="0.25">
      <c r="A118" t="s">
        <v>74</v>
      </c>
      <c r="B118">
        <v>20</v>
      </c>
      <c r="C118" t="s">
        <v>75</v>
      </c>
      <c r="D118">
        <v>2019</v>
      </c>
      <c r="E118">
        <f t="shared" si="26"/>
        <v>41</v>
      </c>
      <c r="F118">
        <f t="shared" si="16"/>
        <v>117</v>
      </c>
      <c r="G118" t="s">
        <v>10</v>
      </c>
      <c r="H118" t="str">
        <f t="shared" si="24"/>
        <v>13</v>
      </c>
      <c r="I118" t="str">
        <f t="shared" si="25"/>
        <v>a</v>
      </c>
      <c r="J118" t="str">
        <f t="shared" si="27"/>
        <v>Line</v>
      </c>
      <c r="K118">
        <v>4665077.949</v>
      </c>
      <c r="L118">
        <v>360209.78499999997</v>
      </c>
      <c r="M118">
        <v>1.226</v>
      </c>
      <c r="O118" s="1"/>
      <c r="P118" s="2">
        <f t="shared" si="20"/>
        <v>126</v>
      </c>
      <c r="Q118" s="2" t="b">
        <f t="shared" si="23"/>
        <v>1</v>
      </c>
      <c r="R118" s="2">
        <f t="shared" si="21"/>
        <v>0</v>
      </c>
      <c r="S118" s="2" t="b">
        <f t="shared" si="28"/>
        <v>1</v>
      </c>
      <c r="T118">
        <v>11</v>
      </c>
      <c r="U118">
        <v>117</v>
      </c>
      <c r="V118" t="s">
        <v>5</v>
      </c>
      <c r="W118">
        <v>4665092.4939999999</v>
      </c>
      <c r="X118">
        <v>360223.51500000001</v>
      </c>
      <c r="Y118">
        <v>1.276</v>
      </c>
      <c r="AA118">
        <v>117</v>
      </c>
    </row>
    <row r="119" spans="1:27" hidden="1" x14ac:dyDescent="0.25">
      <c r="A119" t="s">
        <v>74</v>
      </c>
      <c r="B119">
        <v>20</v>
      </c>
      <c r="C119" t="s">
        <v>75</v>
      </c>
      <c r="D119">
        <v>2019</v>
      </c>
      <c r="E119">
        <f t="shared" si="26"/>
        <v>41</v>
      </c>
      <c r="F119">
        <f t="shared" si="16"/>
        <v>118</v>
      </c>
      <c r="G119" t="s">
        <v>10</v>
      </c>
      <c r="H119" t="str">
        <f t="shared" si="24"/>
        <v>13</v>
      </c>
      <c r="I119" t="str">
        <f t="shared" si="25"/>
        <v>a</v>
      </c>
      <c r="J119" t="str">
        <f t="shared" si="27"/>
        <v>Line</v>
      </c>
      <c r="K119">
        <v>4665072.5760000004</v>
      </c>
      <c r="L119">
        <v>360201.342</v>
      </c>
      <c r="M119">
        <v>1.2070000000000001</v>
      </c>
      <c r="N119" t="s">
        <v>32</v>
      </c>
      <c r="O119" s="1"/>
      <c r="P119" s="2">
        <f t="shared" si="20"/>
        <v>127</v>
      </c>
      <c r="Q119" s="2" t="b">
        <f t="shared" si="23"/>
        <v>1</v>
      </c>
      <c r="R119" s="2" t="str">
        <f t="shared" si="21"/>
        <v>different veg on other side</v>
      </c>
      <c r="S119" s="2" t="b">
        <f t="shared" si="28"/>
        <v>1</v>
      </c>
      <c r="T119">
        <v>11</v>
      </c>
      <c r="U119">
        <v>118</v>
      </c>
      <c r="V119" t="s">
        <v>5</v>
      </c>
      <c r="W119">
        <v>4665091.5</v>
      </c>
      <c r="X119">
        <v>360226.10399999999</v>
      </c>
      <c r="Y119">
        <v>1.226</v>
      </c>
      <c r="AA119">
        <v>118</v>
      </c>
    </row>
    <row r="120" spans="1:27" x14ac:dyDescent="0.25">
      <c r="A120" t="s">
        <v>74</v>
      </c>
      <c r="B120">
        <v>20</v>
      </c>
      <c r="C120" t="s">
        <v>75</v>
      </c>
      <c r="D120">
        <v>2019</v>
      </c>
      <c r="E120">
        <f t="shared" si="26"/>
        <v>42</v>
      </c>
      <c r="F120">
        <f t="shared" si="16"/>
        <v>119</v>
      </c>
      <c r="G120" t="s">
        <v>26</v>
      </c>
      <c r="H120" t="str">
        <f t="shared" si="24"/>
        <v>21</v>
      </c>
      <c r="I120" t="str">
        <f t="shared" si="25"/>
        <v>jn</v>
      </c>
      <c r="J120" t="s">
        <v>76</v>
      </c>
      <c r="K120">
        <v>4665073.3940000003</v>
      </c>
      <c r="L120">
        <v>360205.01299999998</v>
      </c>
      <c r="M120">
        <v>1.1559999999999999</v>
      </c>
      <c r="O120" s="1"/>
      <c r="P120" s="2">
        <f t="shared" si="20"/>
        <v>128</v>
      </c>
      <c r="Q120" s="2" t="b">
        <f t="shared" si="23"/>
        <v>1</v>
      </c>
      <c r="R120" s="2">
        <f t="shared" si="21"/>
        <v>0</v>
      </c>
      <c r="S120" s="2" t="b">
        <f t="shared" si="28"/>
        <v>1</v>
      </c>
      <c r="T120">
        <v>11</v>
      </c>
      <c r="U120">
        <v>119</v>
      </c>
      <c r="V120" t="s">
        <v>7</v>
      </c>
      <c r="W120">
        <v>4665090.6449999996</v>
      </c>
      <c r="X120">
        <v>360227.99900000001</v>
      </c>
      <c r="Y120">
        <v>1.167</v>
      </c>
      <c r="AA120">
        <v>119</v>
      </c>
    </row>
    <row r="121" spans="1:27" x14ac:dyDescent="0.25">
      <c r="A121" t="s">
        <v>74</v>
      </c>
      <c r="B121">
        <v>20</v>
      </c>
      <c r="C121" t="s">
        <v>75</v>
      </c>
      <c r="D121">
        <v>2019</v>
      </c>
      <c r="E121">
        <f t="shared" si="26"/>
        <v>42</v>
      </c>
      <c r="F121">
        <f t="shared" ref="F121:F184" si="29">1+F120</f>
        <v>120</v>
      </c>
      <c r="G121" t="s">
        <v>26</v>
      </c>
      <c r="H121" t="str">
        <f t="shared" si="24"/>
        <v>21</v>
      </c>
      <c r="I121" t="str">
        <f t="shared" si="25"/>
        <v>jn</v>
      </c>
      <c r="J121" t="s">
        <v>76</v>
      </c>
      <c r="K121">
        <v>4665076.9790000003</v>
      </c>
      <c r="L121">
        <v>360211.85399999999</v>
      </c>
      <c r="M121">
        <v>1.145</v>
      </c>
      <c r="N121" t="s">
        <v>33</v>
      </c>
      <c r="O121" s="1"/>
      <c r="P121" s="2">
        <f t="shared" si="20"/>
        <v>129</v>
      </c>
      <c r="Q121" s="2" t="b">
        <f t="shared" si="23"/>
        <v>1</v>
      </c>
      <c r="R121" s="2" t="str">
        <f t="shared" si="21"/>
        <v>connect 138-139 to 125-127</v>
      </c>
      <c r="S121" s="2" t="b">
        <f t="shared" si="28"/>
        <v>1</v>
      </c>
      <c r="T121">
        <v>12</v>
      </c>
      <c r="U121">
        <v>120</v>
      </c>
      <c r="V121" t="s">
        <v>7</v>
      </c>
      <c r="W121">
        <v>4665089.47</v>
      </c>
      <c r="X121">
        <v>360231.15100000001</v>
      </c>
      <c r="Y121">
        <v>1.1659999999999999</v>
      </c>
      <c r="AA121">
        <v>120</v>
      </c>
    </row>
    <row r="122" spans="1:27" x14ac:dyDescent="0.25">
      <c r="A122" t="s">
        <v>74</v>
      </c>
      <c r="B122">
        <v>20</v>
      </c>
      <c r="C122" t="s">
        <v>75</v>
      </c>
      <c r="D122">
        <v>2019</v>
      </c>
      <c r="E122">
        <f t="shared" si="26"/>
        <v>42</v>
      </c>
      <c r="F122">
        <f t="shared" si="29"/>
        <v>121</v>
      </c>
      <c r="G122" t="s">
        <v>26</v>
      </c>
      <c r="H122" t="str">
        <f t="shared" ref="H122:H185" si="30">LEFT(G122,2)</f>
        <v>21</v>
      </c>
      <c r="I122" t="str">
        <f t="shared" ref="I122:I185" si="31">RIGHT(G122,LEN(G122)-LEN(H122))</f>
        <v>jn</v>
      </c>
      <c r="J122" t="s">
        <v>76</v>
      </c>
      <c r="K122">
        <v>4665082.5789999999</v>
      </c>
      <c r="L122">
        <v>360221.13400000002</v>
      </c>
      <c r="M122">
        <v>1.1719999999999999</v>
      </c>
      <c r="O122" s="1"/>
      <c r="P122" s="2">
        <f t="shared" si="20"/>
        <v>130</v>
      </c>
      <c r="Q122" s="2" t="b">
        <f t="shared" si="23"/>
        <v>1</v>
      </c>
      <c r="R122" s="2">
        <f t="shared" si="21"/>
        <v>0</v>
      </c>
      <c r="S122" s="2" t="b">
        <f t="shared" si="28"/>
        <v>1</v>
      </c>
      <c r="T122">
        <v>12</v>
      </c>
      <c r="U122">
        <v>121</v>
      </c>
      <c r="V122" t="s">
        <v>7</v>
      </c>
      <c r="W122">
        <v>4665088.3559999997</v>
      </c>
      <c r="X122">
        <v>360229.277</v>
      </c>
      <c r="Y122">
        <v>1.1499999999999999</v>
      </c>
      <c r="AA122">
        <v>121</v>
      </c>
    </row>
    <row r="123" spans="1:27" x14ac:dyDescent="0.25">
      <c r="A123" t="s">
        <v>74</v>
      </c>
      <c r="B123">
        <v>20</v>
      </c>
      <c r="C123" t="s">
        <v>75</v>
      </c>
      <c r="D123">
        <v>2019</v>
      </c>
      <c r="E123">
        <f t="shared" si="26"/>
        <v>42</v>
      </c>
      <c r="F123">
        <f t="shared" si="29"/>
        <v>122</v>
      </c>
      <c r="G123" t="s">
        <v>26</v>
      </c>
      <c r="H123" t="str">
        <f t="shared" si="30"/>
        <v>21</v>
      </c>
      <c r="I123" t="str">
        <f t="shared" si="31"/>
        <v>jn</v>
      </c>
      <c r="J123" t="s">
        <v>76</v>
      </c>
      <c r="K123">
        <v>4665081.8880000003</v>
      </c>
      <c r="L123">
        <v>360221.58500000002</v>
      </c>
      <c r="M123">
        <v>1.1060000000000001</v>
      </c>
      <c r="O123" s="1"/>
      <c r="P123" s="2">
        <f t="shared" si="20"/>
        <v>131</v>
      </c>
      <c r="Q123" s="2" t="b">
        <f t="shared" si="23"/>
        <v>1</v>
      </c>
      <c r="R123" s="2">
        <f t="shared" si="21"/>
        <v>0</v>
      </c>
      <c r="S123" s="2" t="b">
        <f t="shared" si="28"/>
        <v>1</v>
      </c>
      <c r="T123">
        <v>12</v>
      </c>
      <c r="U123">
        <v>122</v>
      </c>
      <c r="V123" t="s">
        <v>7</v>
      </c>
      <c r="W123">
        <v>4665087.4359999998</v>
      </c>
      <c r="X123">
        <v>360227.12900000002</v>
      </c>
      <c r="Y123">
        <v>1.1779999999999999</v>
      </c>
      <c r="AA123">
        <v>122</v>
      </c>
    </row>
    <row r="124" spans="1:27" x14ac:dyDescent="0.25">
      <c r="A124" t="s">
        <v>74</v>
      </c>
      <c r="B124">
        <v>20</v>
      </c>
      <c r="C124" t="s">
        <v>75</v>
      </c>
      <c r="D124">
        <v>2019</v>
      </c>
      <c r="E124">
        <f t="shared" si="26"/>
        <v>42</v>
      </c>
      <c r="F124">
        <f t="shared" si="29"/>
        <v>123</v>
      </c>
      <c r="G124" t="s">
        <v>26</v>
      </c>
      <c r="H124" t="str">
        <f t="shared" si="30"/>
        <v>21</v>
      </c>
      <c r="I124" t="str">
        <f t="shared" si="31"/>
        <v>jn</v>
      </c>
      <c r="J124" t="s">
        <v>76</v>
      </c>
      <c r="K124">
        <v>4665078.0029999996</v>
      </c>
      <c r="L124">
        <v>360214.53100000002</v>
      </c>
      <c r="M124">
        <v>1.1140000000000001</v>
      </c>
      <c r="O124" s="1"/>
      <c r="P124" s="2">
        <f t="shared" si="20"/>
        <v>132</v>
      </c>
      <c r="Q124" s="2" t="b">
        <f t="shared" si="23"/>
        <v>1</v>
      </c>
      <c r="R124" s="2">
        <f t="shared" si="21"/>
        <v>0</v>
      </c>
      <c r="S124" s="2" t="b">
        <f t="shared" si="28"/>
        <v>1</v>
      </c>
      <c r="T124">
        <v>12</v>
      </c>
      <c r="U124">
        <v>123</v>
      </c>
      <c r="V124" t="s">
        <v>29</v>
      </c>
      <c r="W124">
        <v>4665086.1370000001</v>
      </c>
      <c r="X124">
        <v>360225.223</v>
      </c>
      <c r="Y124">
        <v>1.1299999999999999</v>
      </c>
      <c r="Z124" t="s">
        <v>30</v>
      </c>
      <c r="AA124">
        <v>123</v>
      </c>
    </row>
    <row r="125" spans="1:27" x14ac:dyDescent="0.25">
      <c r="A125" t="s">
        <v>74</v>
      </c>
      <c r="B125">
        <v>20</v>
      </c>
      <c r="C125" t="s">
        <v>75</v>
      </c>
      <c r="D125">
        <v>2019</v>
      </c>
      <c r="E125">
        <f t="shared" si="26"/>
        <v>42</v>
      </c>
      <c r="F125">
        <f t="shared" si="29"/>
        <v>124</v>
      </c>
      <c r="G125" t="s">
        <v>26</v>
      </c>
      <c r="H125" t="str">
        <f t="shared" si="30"/>
        <v>21</v>
      </c>
      <c r="I125" t="str">
        <f t="shared" si="31"/>
        <v>jn</v>
      </c>
      <c r="J125" t="s">
        <v>76</v>
      </c>
      <c r="K125">
        <v>4665073.3229999999</v>
      </c>
      <c r="L125">
        <v>360206.73700000002</v>
      </c>
      <c r="M125">
        <v>1.1890000000000001</v>
      </c>
      <c r="O125" s="1"/>
      <c r="P125" s="2">
        <f t="shared" si="20"/>
        <v>133</v>
      </c>
      <c r="Q125" s="2" t="b">
        <f t="shared" si="23"/>
        <v>1</v>
      </c>
      <c r="R125" s="2">
        <f t="shared" si="21"/>
        <v>0</v>
      </c>
      <c r="S125" s="2" t="b">
        <f t="shared" si="28"/>
        <v>1</v>
      </c>
      <c r="T125">
        <v>12</v>
      </c>
      <c r="U125">
        <v>124</v>
      </c>
      <c r="V125" t="s">
        <v>29</v>
      </c>
      <c r="W125">
        <v>4665084.574</v>
      </c>
      <c r="X125">
        <v>360222.163</v>
      </c>
      <c r="Y125">
        <v>1.1719999999999999</v>
      </c>
      <c r="Z125" t="s">
        <v>31</v>
      </c>
      <c r="AA125">
        <v>124</v>
      </c>
    </row>
    <row r="126" spans="1:27" hidden="1" x14ac:dyDescent="0.25">
      <c r="A126" t="s">
        <v>74</v>
      </c>
      <c r="B126">
        <v>20</v>
      </c>
      <c r="C126" t="s">
        <v>75</v>
      </c>
      <c r="D126">
        <v>2019</v>
      </c>
      <c r="E126">
        <f t="shared" si="26"/>
        <v>43</v>
      </c>
      <c r="F126">
        <f t="shared" si="29"/>
        <v>125</v>
      </c>
      <c r="G126" t="s">
        <v>5</v>
      </c>
      <c r="H126" t="str">
        <f t="shared" si="30"/>
        <v>04</v>
      </c>
      <c r="I126" t="str">
        <f t="shared" si="31"/>
        <v>a</v>
      </c>
      <c r="J126" t="str">
        <f t="shared" ref="J126:J150" si="32">IF(OR((E126=E127),(E126=E125)),"Line","MU")</f>
        <v>Line</v>
      </c>
      <c r="K126">
        <v>4665073.2750000004</v>
      </c>
      <c r="L126">
        <v>360207.85200000001</v>
      </c>
      <c r="M126">
        <v>1.2210000000000001</v>
      </c>
      <c r="O126" s="1"/>
      <c r="P126" s="2">
        <f t="shared" si="20"/>
        <v>134</v>
      </c>
      <c r="Q126" s="2" t="b">
        <f t="shared" si="23"/>
        <v>1</v>
      </c>
      <c r="R126" s="2">
        <f t="shared" si="21"/>
        <v>0</v>
      </c>
      <c r="S126" s="2" t="b">
        <f t="shared" si="28"/>
        <v>1</v>
      </c>
      <c r="T126">
        <v>12</v>
      </c>
      <c r="U126">
        <v>125</v>
      </c>
      <c r="V126" t="s">
        <v>10</v>
      </c>
      <c r="W126">
        <v>4665083.9840000002</v>
      </c>
      <c r="X126">
        <v>360220.17700000003</v>
      </c>
      <c r="Y126">
        <v>1.22</v>
      </c>
      <c r="AA126">
        <v>125</v>
      </c>
    </row>
    <row r="127" spans="1:27" hidden="1" x14ac:dyDescent="0.25">
      <c r="A127" t="s">
        <v>74</v>
      </c>
      <c r="B127">
        <v>20</v>
      </c>
      <c r="C127" t="s">
        <v>75</v>
      </c>
      <c r="D127">
        <v>2019</v>
      </c>
      <c r="E127">
        <f t="shared" si="26"/>
        <v>43</v>
      </c>
      <c r="F127">
        <f t="shared" si="29"/>
        <v>126</v>
      </c>
      <c r="G127" t="s">
        <v>5</v>
      </c>
      <c r="H127" t="str">
        <f t="shared" si="30"/>
        <v>04</v>
      </c>
      <c r="I127" t="str">
        <f t="shared" si="31"/>
        <v>a</v>
      </c>
      <c r="J127" t="str">
        <f t="shared" si="32"/>
        <v>Line</v>
      </c>
      <c r="K127">
        <v>4665075.9579999996</v>
      </c>
      <c r="L127">
        <v>360213.408</v>
      </c>
      <c r="M127">
        <v>1.19</v>
      </c>
      <c r="O127" s="1"/>
      <c r="P127" s="2">
        <f t="shared" si="20"/>
        <v>135</v>
      </c>
      <c r="Q127" s="2" t="b">
        <f t="shared" si="23"/>
        <v>1</v>
      </c>
      <c r="R127" s="2">
        <f t="shared" si="21"/>
        <v>0</v>
      </c>
      <c r="S127" s="2" t="b">
        <f t="shared" si="28"/>
        <v>1</v>
      </c>
      <c r="T127">
        <v>12</v>
      </c>
      <c r="U127">
        <v>126</v>
      </c>
      <c r="V127" t="s">
        <v>10</v>
      </c>
      <c r="W127">
        <v>4665077.949</v>
      </c>
      <c r="X127">
        <v>360209.78499999997</v>
      </c>
      <c r="Y127">
        <v>1.226</v>
      </c>
      <c r="AA127">
        <v>126</v>
      </c>
    </row>
    <row r="128" spans="1:27" hidden="1" x14ac:dyDescent="0.25">
      <c r="A128" t="s">
        <v>74</v>
      </c>
      <c r="B128">
        <v>20</v>
      </c>
      <c r="C128" t="s">
        <v>75</v>
      </c>
      <c r="D128">
        <v>2019</v>
      </c>
      <c r="E128">
        <f t="shared" ref="E128:E159" si="33">IF(G128=G127,E127,E127+1)</f>
        <v>44</v>
      </c>
      <c r="F128">
        <f t="shared" si="29"/>
        <v>127</v>
      </c>
      <c r="G128" t="s">
        <v>10</v>
      </c>
      <c r="H128" t="str">
        <f t="shared" si="30"/>
        <v>13</v>
      </c>
      <c r="I128" t="str">
        <f t="shared" si="31"/>
        <v>a</v>
      </c>
      <c r="J128" t="str">
        <f t="shared" si="32"/>
        <v>Line</v>
      </c>
      <c r="K128">
        <v>4665077.0269999998</v>
      </c>
      <c r="L128">
        <v>360215.16700000002</v>
      </c>
      <c r="M128">
        <v>1.169</v>
      </c>
      <c r="O128" s="1"/>
      <c r="P128" s="2">
        <f t="shared" si="20"/>
        <v>136</v>
      </c>
      <c r="Q128" s="2" t="b">
        <f t="shared" si="23"/>
        <v>1</v>
      </c>
      <c r="R128" s="2">
        <f t="shared" si="21"/>
        <v>0</v>
      </c>
      <c r="S128" s="2" t="b">
        <f t="shared" si="28"/>
        <v>1</v>
      </c>
      <c r="T128">
        <v>12</v>
      </c>
      <c r="U128">
        <v>127</v>
      </c>
      <c r="V128" t="s">
        <v>10</v>
      </c>
      <c r="W128">
        <v>4665072.5760000004</v>
      </c>
      <c r="X128">
        <v>360201.342</v>
      </c>
      <c r="Y128">
        <v>1.2070000000000001</v>
      </c>
      <c r="Z128" t="s">
        <v>32</v>
      </c>
      <c r="AA128">
        <v>127</v>
      </c>
    </row>
    <row r="129" spans="1:27" hidden="1" x14ac:dyDescent="0.25">
      <c r="A129" t="s">
        <v>74</v>
      </c>
      <c r="B129">
        <v>20</v>
      </c>
      <c r="C129" t="s">
        <v>75</v>
      </c>
      <c r="D129">
        <v>2019</v>
      </c>
      <c r="E129">
        <f t="shared" si="33"/>
        <v>44</v>
      </c>
      <c r="F129">
        <f t="shared" si="29"/>
        <v>128</v>
      </c>
      <c r="G129" t="s">
        <v>10</v>
      </c>
      <c r="H129" t="str">
        <f t="shared" si="30"/>
        <v>13</v>
      </c>
      <c r="I129" t="str">
        <f t="shared" si="31"/>
        <v>a</v>
      </c>
      <c r="J129" t="str">
        <f t="shared" si="32"/>
        <v>Line</v>
      </c>
      <c r="K129">
        <v>4665079.9539999999</v>
      </c>
      <c r="L129">
        <v>360223.18400000001</v>
      </c>
      <c r="M129">
        <v>1.1879999999999999</v>
      </c>
      <c r="O129" s="1"/>
      <c r="P129" s="2">
        <f t="shared" si="20"/>
        <v>137</v>
      </c>
      <c r="Q129" s="2" t="b">
        <f t="shared" si="23"/>
        <v>1</v>
      </c>
      <c r="R129" s="2">
        <f t="shared" si="21"/>
        <v>0</v>
      </c>
      <c r="S129" s="2" t="b">
        <f t="shared" si="28"/>
        <v>1</v>
      </c>
      <c r="T129">
        <v>12</v>
      </c>
      <c r="U129">
        <v>128</v>
      </c>
      <c r="V129" t="s">
        <v>26</v>
      </c>
      <c r="W129">
        <v>4665073.3940000003</v>
      </c>
      <c r="X129">
        <v>360205.01299999998</v>
      </c>
      <c r="Y129">
        <v>1.1559999999999999</v>
      </c>
      <c r="AA129">
        <v>128</v>
      </c>
    </row>
    <row r="130" spans="1:27" hidden="1" x14ac:dyDescent="0.25">
      <c r="A130" t="s">
        <v>74</v>
      </c>
      <c r="B130">
        <v>20</v>
      </c>
      <c r="C130" t="s">
        <v>75</v>
      </c>
      <c r="D130">
        <v>2019</v>
      </c>
      <c r="E130">
        <f t="shared" si="33"/>
        <v>45</v>
      </c>
      <c r="F130">
        <f t="shared" si="29"/>
        <v>129</v>
      </c>
      <c r="G130" t="s">
        <v>17</v>
      </c>
      <c r="H130" t="str">
        <f t="shared" si="30"/>
        <v>06</v>
      </c>
      <c r="I130" t="str">
        <f t="shared" si="31"/>
        <v>a</v>
      </c>
      <c r="J130" t="str">
        <f t="shared" si="32"/>
        <v>Line</v>
      </c>
      <c r="K130">
        <v>4665080.3770000003</v>
      </c>
      <c r="L130">
        <v>360224.14</v>
      </c>
      <c r="M130">
        <v>1.212</v>
      </c>
      <c r="O130" s="1"/>
      <c r="P130" s="2">
        <f t="shared" si="20"/>
        <v>138</v>
      </c>
      <c r="Q130" s="2" t="b">
        <f t="shared" si="23"/>
        <v>1</v>
      </c>
      <c r="R130" s="2">
        <f t="shared" si="21"/>
        <v>0</v>
      </c>
      <c r="S130" s="2" t="b">
        <f t="shared" si="28"/>
        <v>1</v>
      </c>
      <c r="T130">
        <v>12</v>
      </c>
      <c r="U130">
        <v>129</v>
      </c>
      <c r="V130" t="s">
        <v>26</v>
      </c>
      <c r="W130">
        <v>4665076.9790000003</v>
      </c>
      <c r="X130">
        <v>360211.85399999999</v>
      </c>
      <c r="Y130">
        <v>1.145</v>
      </c>
      <c r="Z130" t="s">
        <v>33</v>
      </c>
      <c r="AA130">
        <v>129</v>
      </c>
    </row>
    <row r="131" spans="1:27" hidden="1" x14ac:dyDescent="0.25">
      <c r="A131" t="s">
        <v>74</v>
      </c>
      <c r="B131">
        <v>20</v>
      </c>
      <c r="C131" t="s">
        <v>75</v>
      </c>
      <c r="D131">
        <v>2019</v>
      </c>
      <c r="E131">
        <f t="shared" si="33"/>
        <v>45</v>
      </c>
      <c r="F131">
        <f t="shared" si="29"/>
        <v>130</v>
      </c>
      <c r="G131" t="s">
        <v>17</v>
      </c>
      <c r="H131" t="str">
        <f t="shared" si="30"/>
        <v>06</v>
      </c>
      <c r="I131" t="str">
        <f t="shared" si="31"/>
        <v>a</v>
      </c>
      <c r="J131" t="str">
        <f t="shared" si="32"/>
        <v>Line</v>
      </c>
      <c r="K131">
        <v>4665085.3760000002</v>
      </c>
      <c r="L131">
        <v>360233.30699999997</v>
      </c>
      <c r="M131">
        <v>1.1419999999999999</v>
      </c>
      <c r="O131" s="1"/>
      <c r="P131" s="2">
        <f t="shared" ref="P131:P194" si="34">VLOOKUP(K131,W$1:AA$264,5,FALSE)</f>
        <v>139</v>
      </c>
      <c r="Q131" s="2" t="b">
        <f t="shared" si="23"/>
        <v>1</v>
      </c>
      <c r="R131" s="2">
        <f t="shared" ref="R131:R194" si="35">VLOOKUP(P131,U$1:Z$264,6)</f>
        <v>0</v>
      </c>
      <c r="S131" s="2" t="b">
        <f t="shared" si="28"/>
        <v>1</v>
      </c>
      <c r="T131">
        <v>12</v>
      </c>
      <c r="U131">
        <v>130</v>
      </c>
      <c r="V131" t="s">
        <v>26</v>
      </c>
      <c r="W131">
        <v>4665082.5789999999</v>
      </c>
      <c r="X131">
        <v>360221.13400000002</v>
      </c>
      <c r="Y131">
        <v>1.1719999999999999</v>
      </c>
      <c r="AA131">
        <v>130</v>
      </c>
    </row>
    <row r="132" spans="1:27" hidden="1" x14ac:dyDescent="0.25">
      <c r="A132" t="s">
        <v>74</v>
      </c>
      <c r="B132">
        <v>20</v>
      </c>
      <c r="C132" t="s">
        <v>75</v>
      </c>
      <c r="D132">
        <v>2019</v>
      </c>
      <c r="E132">
        <f t="shared" si="33"/>
        <v>46</v>
      </c>
      <c r="F132">
        <f t="shared" si="29"/>
        <v>131</v>
      </c>
      <c r="G132" t="s">
        <v>34</v>
      </c>
      <c r="H132" t="str">
        <f t="shared" si="30"/>
        <v>09</v>
      </c>
      <c r="I132" t="str">
        <f t="shared" si="31"/>
        <v>a</v>
      </c>
      <c r="J132" t="str">
        <f t="shared" si="32"/>
        <v>Line</v>
      </c>
      <c r="K132">
        <v>4665086.3480000002</v>
      </c>
      <c r="L132">
        <v>360234.90700000001</v>
      </c>
      <c r="M132">
        <v>1.1499999999999999</v>
      </c>
      <c r="O132" s="1"/>
      <c r="P132" s="2">
        <f t="shared" si="34"/>
        <v>140</v>
      </c>
      <c r="Q132" s="2" t="b">
        <f t="shared" ref="Q132:Q195" si="36">IF(P132=(P131+1),TRUE, FALSE)</f>
        <v>1</v>
      </c>
      <c r="R132" s="2">
        <f t="shared" si="35"/>
        <v>0</v>
      </c>
      <c r="S132" s="2" t="b">
        <f t="shared" si="28"/>
        <v>1</v>
      </c>
      <c r="T132">
        <v>12</v>
      </c>
      <c r="U132">
        <v>131</v>
      </c>
      <c r="V132" t="s">
        <v>26</v>
      </c>
      <c r="W132">
        <v>4665081.8880000003</v>
      </c>
      <c r="X132">
        <v>360221.58500000002</v>
      </c>
      <c r="Y132">
        <v>1.1060000000000001</v>
      </c>
      <c r="AA132">
        <v>131</v>
      </c>
    </row>
    <row r="133" spans="1:27" hidden="1" x14ac:dyDescent="0.25">
      <c r="A133" t="s">
        <v>74</v>
      </c>
      <c r="B133">
        <v>20</v>
      </c>
      <c r="C133" t="s">
        <v>75</v>
      </c>
      <c r="D133">
        <v>2019</v>
      </c>
      <c r="E133">
        <f t="shared" si="33"/>
        <v>46</v>
      </c>
      <c r="F133">
        <f t="shared" si="29"/>
        <v>132</v>
      </c>
      <c r="G133" t="s">
        <v>34</v>
      </c>
      <c r="H133" t="str">
        <f t="shared" si="30"/>
        <v>09</v>
      </c>
      <c r="I133" t="str">
        <f t="shared" si="31"/>
        <v>a</v>
      </c>
      <c r="J133" t="str">
        <f t="shared" si="32"/>
        <v>Line</v>
      </c>
      <c r="K133">
        <v>4665090.1960000005</v>
      </c>
      <c r="L133">
        <v>360241.28100000002</v>
      </c>
      <c r="M133">
        <v>1.1779999999999999</v>
      </c>
      <c r="O133" s="1"/>
      <c r="P133" s="2">
        <f t="shared" si="34"/>
        <v>141</v>
      </c>
      <c r="Q133" s="2" t="b">
        <f t="shared" si="36"/>
        <v>1</v>
      </c>
      <c r="R133" s="2">
        <f t="shared" si="35"/>
        <v>0</v>
      </c>
      <c r="S133" s="2" t="b">
        <f t="shared" si="28"/>
        <v>1</v>
      </c>
      <c r="T133">
        <v>12</v>
      </c>
      <c r="U133">
        <v>132</v>
      </c>
      <c r="V133" t="s">
        <v>26</v>
      </c>
      <c r="W133">
        <v>4665078.0029999996</v>
      </c>
      <c r="X133">
        <v>360214.53100000002</v>
      </c>
      <c r="Y133">
        <v>1.1140000000000001</v>
      </c>
      <c r="AA133">
        <v>132</v>
      </c>
    </row>
    <row r="134" spans="1:27" hidden="1" x14ac:dyDescent="0.25">
      <c r="A134" t="s">
        <v>74</v>
      </c>
      <c r="B134">
        <v>20</v>
      </c>
      <c r="C134" t="s">
        <v>75</v>
      </c>
      <c r="D134">
        <v>2019</v>
      </c>
      <c r="E134">
        <f t="shared" si="33"/>
        <v>47</v>
      </c>
      <c r="F134">
        <f t="shared" si="29"/>
        <v>133</v>
      </c>
      <c r="G134" t="s">
        <v>17</v>
      </c>
      <c r="H134" t="str">
        <f t="shared" si="30"/>
        <v>06</v>
      </c>
      <c r="I134" t="str">
        <f t="shared" si="31"/>
        <v>a</v>
      </c>
      <c r="J134" t="str">
        <f t="shared" si="32"/>
        <v>Line</v>
      </c>
      <c r="K134">
        <v>4665091.4230000004</v>
      </c>
      <c r="L134">
        <v>360242.995</v>
      </c>
      <c r="M134">
        <v>1.1359999999999999</v>
      </c>
      <c r="O134" s="1"/>
      <c r="P134" s="2">
        <f t="shared" si="34"/>
        <v>142</v>
      </c>
      <c r="Q134" s="2" t="b">
        <f t="shared" si="36"/>
        <v>1</v>
      </c>
      <c r="R134" s="2">
        <f t="shared" si="35"/>
        <v>0</v>
      </c>
      <c r="S134" s="2" t="b">
        <f t="shared" si="28"/>
        <v>1</v>
      </c>
      <c r="T134">
        <v>12</v>
      </c>
      <c r="U134">
        <v>133</v>
      </c>
      <c r="V134" t="s">
        <v>26</v>
      </c>
      <c r="W134">
        <v>4665073.3229999999</v>
      </c>
      <c r="X134">
        <v>360206.73700000002</v>
      </c>
      <c r="Y134">
        <v>1.1890000000000001</v>
      </c>
      <c r="AA134">
        <v>133</v>
      </c>
    </row>
    <row r="135" spans="1:27" hidden="1" x14ac:dyDescent="0.25">
      <c r="A135" t="s">
        <v>74</v>
      </c>
      <c r="B135">
        <v>20</v>
      </c>
      <c r="C135" t="s">
        <v>75</v>
      </c>
      <c r="D135">
        <v>2019</v>
      </c>
      <c r="E135">
        <f t="shared" si="33"/>
        <v>47</v>
      </c>
      <c r="F135">
        <f t="shared" si="29"/>
        <v>134</v>
      </c>
      <c r="G135" t="s">
        <v>17</v>
      </c>
      <c r="H135" t="str">
        <f t="shared" si="30"/>
        <v>06</v>
      </c>
      <c r="I135" t="str">
        <f t="shared" si="31"/>
        <v>a</v>
      </c>
      <c r="J135" t="str">
        <f t="shared" si="32"/>
        <v>Line</v>
      </c>
      <c r="K135">
        <v>4665093.9380000001</v>
      </c>
      <c r="L135">
        <v>360248.74900000001</v>
      </c>
      <c r="M135">
        <v>1.202</v>
      </c>
      <c r="O135" s="1"/>
      <c r="P135" s="2">
        <f t="shared" si="34"/>
        <v>143</v>
      </c>
      <c r="Q135" s="2" t="b">
        <f t="shared" si="36"/>
        <v>1</v>
      </c>
      <c r="R135" s="2">
        <f t="shared" si="35"/>
        <v>0</v>
      </c>
      <c r="S135" s="2" t="b">
        <f t="shared" si="28"/>
        <v>1</v>
      </c>
      <c r="T135">
        <v>13</v>
      </c>
      <c r="U135">
        <v>134</v>
      </c>
      <c r="V135" t="s">
        <v>5</v>
      </c>
      <c r="W135">
        <v>4665073.2750000004</v>
      </c>
      <c r="X135">
        <v>360207.85200000001</v>
      </c>
      <c r="Y135">
        <v>1.2210000000000001</v>
      </c>
      <c r="AA135">
        <v>134</v>
      </c>
    </row>
    <row r="136" spans="1:27" hidden="1" x14ac:dyDescent="0.25">
      <c r="A136" t="s">
        <v>74</v>
      </c>
      <c r="B136">
        <v>20</v>
      </c>
      <c r="C136" t="s">
        <v>75</v>
      </c>
      <c r="D136">
        <v>2019</v>
      </c>
      <c r="E136">
        <f t="shared" si="33"/>
        <v>48</v>
      </c>
      <c r="F136">
        <f t="shared" si="29"/>
        <v>135</v>
      </c>
      <c r="G136" t="s">
        <v>35</v>
      </c>
      <c r="H136" t="str">
        <f t="shared" si="30"/>
        <v>06</v>
      </c>
      <c r="I136" t="str">
        <f t="shared" si="31"/>
        <v>b</v>
      </c>
      <c r="J136" t="str">
        <f t="shared" si="32"/>
        <v>MU</v>
      </c>
      <c r="K136">
        <v>4665095.0810000002</v>
      </c>
      <c r="L136">
        <v>360250.658</v>
      </c>
      <c r="M136">
        <v>1.1739999999999999</v>
      </c>
      <c r="N136" t="s">
        <v>36</v>
      </c>
      <c r="O136" s="1"/>
      <c r="P136" s="2">
        <f t="shared" si="34"/>
        <v>144</v>
      </c>
      <c r="Q136" s="2" t="b">
        <f t="shared" si="36"/>
        <v>1</v>
      </c>
      <c r="R136" s="2" t="str">
        <f t="shared" si="35"/>
        <v>browning / end of season? 1 mu</v>
      </c>
      <c r="S136" s="2" t="b">
        <f t="shared" si="28"/>
        <v>1</v>
      </c>
      <c r="T136">
        <v>13</v>
      </c>
      <c r="U136">
        <v>135</v>
      </c>
      <c r="V136" t="s">
        <v>5</v>
      </c>
      <c r="W136">
        <v>4665075.9579999996</v>
      </c>
      <c r="X136">
        <v>360213.408</v>
      </c>
      <c r="Y136">
        <v>1.19</v>
      </c>
      <c r="AA136">
        <v>135</v>
      </c>
    </row>
    <row r="137" spans="1:27" hidden="1" x14ac:dyDescent="0.25">
      <c r="A137" t="s">
        <v>74</v>
      </c>
      <c r="B137">
        <v>20</v>
      </c>
      <c r="C137" t="s">
        <v>75</v>
      </c>
      <c r="D137">
        <v>2019</v>
      </c>
      <c r="E137">
        <f t="shared" si="33"/>
        <v>49</v>
      </c>
      <c r="F137">
        <f t="shared" si="29"/>
        <v>136</v>
      </c>
      <c r="G137" t="s">
        <v>17</v>
      </c>
      <c r="H137" t="str">
        <f t="shared" si="30"/>
        <v>06</v>
      </c>
      <c r="I137" t="str">
        <f t="shared" si="31"/>
        <v>a</v>
      </c>
      <c r="J137" t="str">
        <f t="shared" si="32"/>
        <v>Line</v>
      </c>
      <c r="K137">
        <v>4665096.0310000004</v>
      </c>
      <c r="L137">
        <v>360252.64299999998</v>
      </c>
      <c r="M137">
        <v>1.1870000000000001</v>
      </c>
      <c r="O137" s="1"/>
      <c r="P137" s="2">
        <f t="shared" si="34"/>
        <v>145</v>
      </c>
      <c r="Q137" s="2" t="b">
        <f t="shared" si="36"/>
        <v>1</v>
      </c>
      <c r="R137" s="2">
        <f t="shared" si="35"/>
        <v>0</v>
      </c>
      <c r="S137" s="2" t="b">
        <f t="shared" si="28"/>
        <v>1</v>
      </c>
      <c r="T137">
        <v>13</v>
      </c>
      <c r="U137">
        <v>136</v>
      </c>
      <c r="V137" t="s">
        <v>10</v>
      </c>
      <c r="W137">
        <v>4665077.0269999998</v>
      </c>
      <c r="X137">
        <v>360215.16700000002</v>
      </c>
      <c r="Y137">
        <v>1.169</v>
      </c>
      <c r="AA137">
        <v>136</v>
      </c>
    </row>
    <row r="138" spans="1:27" hidden="1" x14ac:dyDescent="0.25">
      <c r="A138" t="s">
        <v>74</v>
      </c>
      <c r="B138">
        <v>20</v>
      </c>
      <c r="C138" t="s">
        <v>75</v>
      </c>
      <c r="D138">
        <v>2019</v>
      </c>
      <c r="E138">
        <f t="shared" si="33"/>
        <v>49</v>
      </c>
      <c r="F138">
        <f t="shared" si="29"/>
        <v>137</v>
      </c>
      <c r="G138" t="s">
        <v>17</v>
      </c>
      <c r="H138" t="str">
        <f t="shared" si="30"/>
        <v>06</v>
      </c>
      <c r="I138" t="str">
        <f t="shared" si="31"/>
        <v>a</v>
      </c>
      <c r="J138" t="str">
        <f t="shared" si="32"/>
        <v>Line</v>
      </c>
      <c r="K138">
        <v>4665096.93</v>
      </c>
      <c r="L138">
        <v>360253.82900000003</v>
      </c>
      <c r="M138">
        <v>1.2</v>
      </c>
      <c r="O138" s="1"/>
      <c r="P138" s="2">
        <f t="shared" si="34"/>
        <v>146</v>
      </c>
      <c r="Q138" s="2" t="b">
        <f t="shared" si="36"/>
        <v>1</v>
      </c>
      <c r="R138" s="2">
        <f t="shared" si="35"/>
        <v>0</v>
      </c>
      <c r="S138" s="2" t="b">
        <f t="shared" ref="S138:S169" si="37">IF(N138=R138,TRUE,FALSE)</f>
        <v>1</v>
      </c>
      <c r="T138">
        <v>13</v>
      </c>
      <c r="U138">
        <v>137</v>
      </c>
      <c r="V138" t="s">
        <v>10</v>
      </c>
      <c r="W138">
        <v>4665079.9539999999</v>
      </c>
      <c r="X138">
        <v>360223.18400000001</v>
      </c>
      <c r="Y138">
        <v>1.1879999999999999</v>
      </c>
      <c r="AA138">
        <v>137</v>
      </c>
    </row>
    <row r="139" spans="1:27" hidden="1" x14ac:dyDescent="0.25">
      <c r="A139" t="s">
        <v>74</v>
      </c>
      <c r="B139">
        <v>20</v>
      </c>
      <c r="C139" t="s">
        <v>75</v>
      </c>
      <c r="D139">
        <v>2019</v>
      </c>
      <c r="E139">
        <f t="shared" si="33"/>
        <v>50</v>
      </c>
      <c r="F139">
        <f t="shared" si="29"/>
        <v>138</v>
      </c>
      <c r="G139" t="s">
        <v>37</v>
      </c>
      <c r="H139" t="str">
        <f t="shared" si="30"/>
        <v>06</v>
      </c>
      <c r="I139" t="str">
        <f t="shared" si="31"/>
        <v>af</v>
      </c>
      <c r="J139" t="str">
        <f t="shared" si="32"/>
        <v>MU</v>
      </c>
      <c r="K139">
        <v>4665097.9309999999</v>
      </c>
      <c r="L139">
        <v>360255.77299999999</v>
      </c>
      <c r="M139">
        <v>1.149</v>
      </c>
      <c r="O139" s="1"/>
      <c r="P139" s="2">
        <f t="shared" si="34"/>
        <v>147</v>
      </c>
      <c r="Q139" s="2" t="b">
        <f t="shared" si="36"/>
        <v>1</v>
      </c>
      <c r="R139" s="2">
        <f t="shared" si="35"/>
        <v>0</v>
      </c>
      <c r="S139" s="2" t="b">
        <f t="shared" si="37"/>
        <v>1</v>
      </c>
      <c r="T139">
        <v>13</v>
      </c>
      <c r="U139">
        <v>138</v>
      </c>
      <c r="V139" t="s">
        <v>17</v>
      </c>
      <c r="W139">
        <v>4665080.3770000003</v>
      </c>
      <c r="X139">
        <v>360224.14</v>
      </c>
      <c r="Y139">
        <v>1.212</v>
      </c>
      <c r="AA139">
        <v>138</v>
      </c>
    </row>
    <row r="140" spans="1:27" hidden="1" x14ac:dyDescent="0.25">
      <c r="A140" t="s">
        <v>74</v>
      </c>
      <c r="B140">
        <v>20</v>
      </c>
      <c r="C140" t="s">
        <v>75</v>
      </c>
      <c r="D140">
        <v>2019</v>
      </c>
      <c r="E140">
        <f t="shared" si="33"/>
        <v>51</v>
      </c>
      <c r="F140">
        <f t="shared" si="29"/>
        <v>139</v>
      </c>
      <c r="G140" t="s">
        <v>17</v>
      </c>
      <c r="H140" t="str">
        <f t="shared" si="30"/>
        <v>06</v>
      </c>
      <c r="I140" t="str">
        <f t="shared" si="31"/>
        <v>a</v>
      </c>
      <c r="J140" t="str">
        <f t="shared" si="32"/>
        <v>Line</v>
      </c>
      <c r="K140">
        <v>4665099.0290000001</v>
      </c>
      <c r="L140">
        <v>360257.45799999998</v>
      </c>
      <c r="M140">
        <v>1.167</v>
      </c>
      <c r="N140" t="s">
        <v>38</v>
      </c>
      <c r="O140" s="1"/>
      <c r="P140" s="2">
        <f t="shared" si="34"/>
        <v>148</v>
      </c>
      <c r="Q140" s="2" t="b">
        <f t="shared" si="36"/>
        <v>1</v>
      </c>
      <c r="R140" s="2" t="str">
        <f t="shared" si="35"/>
        <v>some dead juncus at 148-149</v>
      </c>
      <c r="S140" s="2" t="b">
        <f t="shared" si="37"/>
        <v>1</v>
      </c>
      <c r="T140">
        <v>13</v>
      </c>
      <c r="U140">
        <v>139</v>
      </c>
      <c r="V140" t="s">
        <v>17</v>
      </c>
      <c r="W140">
        <v>4665085.3760000002</v>
      </c>
      <c r="X140">
        <v>360233.30699999997</v>
      </c>
      <c r="Y140">
        <v>1.1419999999999999</v>
      </c>
      <c r="AA140">
        <v>139</v>
      </c>
    </row>
    <row r="141" spans="1:27" hidden="1" x14ac:dyDescent="0.25">
      <c r="A141" t="s">
        <v>74</v>
      </c>
      <c r="B141">
        <v>20</v>
      </c>
      <c r="C141" t="s">
        <v>75</v>
      </c>
      <c r="D141">
        <v>2019</v>
      </c>
      <c r="E141">
        <f t="shared" si="33"/>
        <v>51</v>
      </c>
      <c r="F141">
        <f t="shared" si="29"/>
        <v>140</v>
      </c>
      <c r="G141" t="s">
        <v>17</v>
      </c>
      <c r="H141" t="str">
        <f t="shared" si="30"/>
        <v>06</v>
      </c>
      <c r="I141" t="str">
        <f t="shared" si="31"/>
        <v>a</v>
      </c>
      <c r="J141" t="str">
        <f t="shared" si="32"/>
        <v>Line</v>
      </c>
      <c r="K141">
        <v>4665103.6409999998</v>
      </c>
      <c r="L141">
        <v>360265.99</v>
      </c>
      <c r="M141">
        <v>1.137</v>
      </c>
      <c r="N141" t="s">
        <v>38</v>
      </c>
      <c r="O141" s="1"/>
      <c r="P141" s="2">
        <f t="shared" si="34"/>
        <v>149</v>
      </c>
      <c r="Q141" s="2" t="b">
        <f t="shared" si="36"/>
        <v>1</v>
      </c>
      <c r="R141" s="2" t="str">
        <f t="shared" si="35"/>
        <v>some dead juncus at 148-149</v>
      </c>
      <c r="S141" s="2" t="b">
        <f t="shared" si="37"/>
        <v>1</v>
      </c>
      <c r="T141">
        <v>13</v>
      </c>
      <c r="U141">
        <v>140</v>
      </c>
      <c r="V141" t="s">
        <v>34</v>
      </c>
      <c r="W141">
        <v>4665086.3480000002</v>
      </c>
      <c r="X141">
        <v>360234.90700000001</v>
      </c>
      <c r="Y141">
        <v>1.1499999999999999</v>
      </c>
      <c r="AA141">
        <v>140</v>
      </c>
    </row>
    <row r="142" spans="1:27" hidden="1" x14ac:dyDescent="0.25">
      <c r="A142" t="s">
        <v>74</v>
      </c>
      <c r="B142">
        <v>20</v>
      </c>
      <c r="C142" t="s">
        <v>75</v>
      </c>
      <c r="D142">
        <v>2019</v>
      </c>
      <c r="E142">
        <f t="shared" si="33"/>
        <v>52</v>
      </c>
      <c r="F142">
        <f t="shared" si="29"/>
        <v>141</v>
      </c>
      <c r="G142" t="s">
        <v>39</v>
      </c>
      <c r="H142" t="str">
        <f t="shared" si="30"/>
        <v>08</v>
      </c>
      <c r="I142" t="str">
        <f t="shared" si="31"/>
        <v>b</v>
      </c>
      <c r="J142" t="str">
        <f t="shared" si="32"/>
        <v>Line</v>
      </c>
      <c r="K142">
        <v>4665104.5130000003</v>
      </c>
      <c r="L142">
        <v>360268.08500000002</v>
      </c>
      <c r="M142">
        <v>1.135</v>
      </c>
      <c r="O142" s="1"/>
      <c r="P142" s="2">
        <f t="shared" si="34"/>
        <v>150</v>
      </c>
      <c r="Q142" s="2" t="b">
        <f t="shared" si="36"/>
        <v>1</v>
      </c>
      <c r="R142" s="2">
        <f t="shared" si="35"/>
        <v>0</v>
      </c>
      <c r="S142" s="2" t="b">
        <f t="shared" si="37"/>
        <v>1</v>
      </c>
      <c r="T142">
        <v>13</v>
      </c>
      <c r="U142">
        <v>141</v>
      </c>
      <c r="V142" t="s">
        <v>34</v>
      </c>
      <c r="W142">
        <v>4665090.1960000005</v>
      </c>
      <c r="X142">
        <v>360241.28100000002</v>
      </c>
      <c r="Y142">
        <v>1.1779999999999999</v>
      </c>
      <c r="AA142">
        <v>141</v>
      </c>
    </row>
    <row r="143" spans="1:27" hidden="1" x14ac:dyDescent="0.25">
      <c r="A143" t="s">
        <v>74</v>
      </c>
      <c r="B143">
        <v>20</v>
      </c>
      <c r="C143" t="s">
        <v>75</v>
      </c>
      <c r="D143">
        <v>2019</v>
      </c>
      <c r="E143">
        <f t="shared" si="33"/>
        <v>52</v>
      </c>
      <c r="F143">
        <f t="shared" si="29"/>
        <v>142</v>
      </c>
      <c r="G143" t="s">
        <v>39</v>
      </c>
      <c r="H143" t="str">
        <f t="shared" si="30"/>
        <v>08</v>
      </c>
      <c r="I143" t="str">
        <f t="shared" si="31"/>
        <v>b</v>
      </c>
      <c r="J143" t="str">
        <f t="shared" si="32"/>
        <v>Line</v>
      </c>
      <c r="K143">
        <v>4665107.7819999997</v>
      </c>
      <c r="L143">
        <v>360275.05800000002</v>
      </c>
      <c r="M143">
        <v>1.157</v>
      </c>
      <c r="O143" s="1"/>
      <c r="P143" s="2">
        <f t="shared" si="34"/>
        <v>151</v>
      </c>
      <c r="Q143" s="2" t="b">
        <f t="shared" si="36"/>
        <v>1</v>
      </c>
      <c r="R143" s="2">
        <f t="shared" si="35"/>
        <v>0</v>
      </c>
      <c r="S143" s="2" t="b">
        <f t="shared" si="37"/>
        <v>1</v>
      </c>
      <c r="T143">
        <v>13</v>
      </c>
      <c r="U143">
        <v>142</v>
      </c>
      <c r="V143" t="s">
        <v>17</v>
      </c>
      <c r="W143">
        <v>4665091.4230000004</v>
      </c>
      <c r="X143">
        <v>360242.995</v>
      </c>
      <c r="Y143">
        <v>1.1359999999999999</v>
      </c>
      <c r="AA143">
        <v>142</v>
      </c>
    </row>
    <row r="144" spans="1:27" hidden="1" x14ac:dyDescent="0.25">
      <c r="A144" t="s">
        <v>74</v>
      </c>
      <c r="B144">
        <v>20</v>
      </c>
      <c r="C144" t="s">
        <v>75</v>
      </c>
      <c r="D144">
        <v>2019</v>
      </c>
      <c r="E144">
        <f t="shared" si="33"/>
        <v>53</v>
      </c>
      <c r="F144">
        <f t="shared" si="29"/>
        <v>143</v>
      </c>
      <c r="G144" t="s">
        <v>40</v>
      </c>
      <c r="H144" t="str">
        <f t="shared" si="30"/>
        <v>07</v>
      </c>
      <c r="I144" t="str">
        <f t="shared" si="31"/>
        <v>a</v>
      </c>
      <c r="J144" t="str">
        <f t="shared" si="32"/>
        <v>Line</v>
      </c>
      <c r="K144">
        <v>4665108.78</v>
      </c>
      <c r="L144">
        <v>360277.03700000001</v>
      </c>
      <c r="M144">
        <v>1.181</v>
      </c>
      <c r="N144" t="s">
        <v>41</v>
      </c>
      <c r="O144" s="1"/>
      <c r="P144" s="2">
        <f t="shared" si="34"/>
        <v>152</v>
      </c>
      <c r="Q144" s="2" t="b">
        <f t="shared" si="36"/>
        <v>1</v>
      </c>
      <c r="R144" s="2" t="str">
        <f t="shared" si="35"/>
        <v>only distichilis, healthy~60%</v>
      </c>
      <c r="S144" s="2" t="b">
        <f t="shared" si="37"/>
        <v>1</v>
      </c>
      <c r="T144">
        <v>13</v>
      </c>
      <c r="U144">
        <v>143</v>
      </c>
      <c r="V144" t="s">
        <v>17</v>
      </c>
      <c r="W144">
        <v>4665093.9380000001</v>
      </c>
      <c r="X144">
        <v>360248.74900000001</v>
      </c>
      <c r="Y144">
        <v>1.202</v>
      </c>
      <c r="AA144">
        <v>143</v>
      </c>
    </row>
    <row r="145" spans="1:27" hidden="1" x14ac:dyDescent="0.25">
      <c r="A145" t="s">
        <v>74</v>
      </c>
      <c r="B145">
        <v>20</v>
      </c>
      <c r="C145" t="s">
        <v>75</v>
      </c>
      <c r="D145">
        <v>2019</v>
      </c>
      <c r="E145">
        <f t="shared" si="33"/>
        <v>53</v>
      </c>
      <c r="F145">
        <f t="shared" si="29"/>
        <v>144</v>
      </c>
      <c r="G145" t="s">
        <v>40</v>
      </c>
      <c r="H145" t="str">
        <f t="shared" si="30"/>
        <v>07</v>
      </c>
      <c r="I145" t="str">
        <f t="shared" si="31"/>
        <v>a</v>
      </c>
      <c r="J145" t="str">
        <f t="shared" si="32"/>
        <v>Line</v>
      </c>
      <c r="K145">
        <v>4665110.017</v>
      </c>
      <c r="L145">
        <v>360279.20500000002</v>
      </c>
      <c r="M145">
        <v>1.1299999999999999</v>
      </c>
      <c r="N145" t="s">
        <v>41</v>
      </c>
      <c r="O145" s="1"/>
      <c r="P145" s="2">
        <f t="shared" si="34"/>
        <v>153</v>
      </c>
      <c r="Q145" s="2" t="b">
        <f t="shared" si="36"/>
        <v>1</v>
      </c>
      <c r="R145" s="2" t="str">
        <f t="shared" si="35"/>
        <v>only distichilis, healthy~60%</v>
      </c>
      <c r="S145" s="2" t="b">
        <f t="shared" si="37"/>
        <v>1</v>
      </c>
      <c r="T145">
        <v>13</v>
      </c>
      <c r="U145">
        <v>144</v>
      </c>
      <c r="V145" t="s">
        <v>35</v>
      </c>
      <c r="W145">
        <v>4665095.0810000002</v>
      </c>
      <c r="X145">
        <v>360250.658</v>
      </c>
      <c r="Y145">
        <v>1.1739999999999999</v>
      </c>
      <c r="Z145" t="s">
        <v>36</v>
      </c>
      <c r="AA145">
        <v>144</v>
      </c>
    </row>
    <row r="146" spans="1:27" hidden="1" x14ac:dyDescent="0.25">
      <c r="A146" t="s">
        <v>74</v>
      </c>
      <c r="B146">
        <v>20</v>
      </c>
      <c r="C146" t="s">
        <v>75</v>
      </c>
      <c r="D146">
        <v>2019</v>
      </c>
      <c r="E146">
        <f t="shared" si="33"/>
        <v>54</v>
      </c>
      <c r="F146">
        <f t="shared" si="29"/>
        <v>145</v>
      </c>
      <c r="G146" t="s">
        <v>17</v>
      </c>
      <c r="H146" t="str">
        <f t="shared" si="30"/>
        <v>06</v>
      </c>
      <c r="I146" t="str">
        <f t="shared" si="31"/>
        <v>a</v>
      </c>
      <c r="J146" t="str">
        <f t="shared" si="32"/>
        <v>Line</v>
      </c>
      <c r="K146">
        <v>4665110.9170000004</v>
      </c>
      <c r="L146">
        <v>360281.18099999998</v>
      </c>
      <c r="M146">
        <v>1.1499999999999999</v>
      </c>
      <c r="O146" s="1"/>
      <c r="P146" s="2">
        <f t="shared" si="34"/>
        <v>154</v>
      </c>
      <c r="Q146" s="2" t="b">
        <f t="shared" si="36"/>
        <v>1</v>
      </c>
      <c r="R146" s="2">
        <f t="shared" si="35"/>
        <v>0</v>
      </c>
      <c r="S146" s="2" t="b">
        <f t="shared" si="37"/>
        <v>1</v>
      </c>
      <c r="T146">
        <v>13</v>
      </c>
      <c r="U146">
        <v>145</v>
      </c>
      <c r="V146" t="s">
        <v>17</v>
      </c>
      <c r="W146">
        <v>4665096.0310000004</v>
      </c>
      <c r="X146">
        <v>360252.64299999998</v>
      </c>
      <c r="Y146">
        <v>1.1870000000000001</v>
      </c>
      <c r="AA146">
        <v>145</v>
      </c>
    </row>
    <row r="147" spans="1:27" hidden="1" x14ac:dyDescent="0.25">
      <c r="A147" t="s">
        <v>74</v>
      </c>
      <c r="B147">
        <v>20</v>
      </c>
      <c r="C147" t="s">
        <v>75</v>
      </c>
      <c r="D147">
        <v>2019</v>
      </c>
      <c r="E147">
        <f t="shared" si="33"/>
        <v>54</v>
      </c>
      <c r="F147">
        <f t="shared" si="29"/>
        <v>146</v>
      </c>
      <c r="G147" t="s">
        <v>17</v>
      </c>
      <c r="H147" t="str">
        <f t="shared" si="30"/>
        <v>06</v>
      </c>
      <c r="I147" t="str">
        <f t="shared" si="31"/>
        <v>a</v>
      </c>
      <c r="J147" t="str">
        <f t="shared" si="32"/>
        <v>Line</v>
      </c>
      <c r="K147">
        <v>4665111.6540000001</v>
      </c>
      <c r="L147">
        <v>360283.22399999999</v>
      </c>
      <c r="M147">
        <v>1.147</v>
      </c>
      <c r="O147" s="1"/>
      <c r="P147" s="2">
        <f t="shared" si="34"/>
        <v>155</v>
      </c>
      <c r="Q147" s="2" t="b">
        <f t="shared" si="36"/>
        <v>1</v>
      </c>
      <c r="R147" s="2">
        <f t="shared" si="35"/>
        <v>0</v>
      </c>
      <c r="S147" s="2" t="b">
        <f t="shared" si="37"/>
        <v>1</v>
      </c>
      <c r="T147">
        <v>13</v>
      </c>
      <c r="U147">
        <v>146</v>
      </c>
      <c r="V147" t="s">
        <v>17</v>
      </c>
      <c r="W147">
        <v>4665096.93</v>
      </c>
      <c r="X147">
        <v>360253.82900000003</v>
      </c>
      <c r="Y147">
        <v>1.2</v>
      </c>
      <c r="AA147">
        <v>146</v>
      </c>
    </row>
    <row r="148" spans="1:27" hidden="1" x14ac:dyDescent="0.25">
      <c r="A148" t="s">
        <v>74</v>
      </c>
      <c r="B148">
        <v>20</v>
      </c>
      <c r="C148" t="s">
        <v>75</v>
      </c>
      <c r="D148">
        <v>2019</v>
      </c>
      <c r="E148">
        <f t="shared" si="33"/>
        <v>55</v>
      </c>
      <c r="F148">
        <f t="shared" si="29"/>
        <v>147</v>
      </c>
      <c r="G148" t="s">
        <v>10</v>
      </c>
      <c r="H148" t="str">
        <f t="shared" si="30"/>
        <v>13</v>
      </c>
      <c r="I148" t="str">
        <f t="shared" si="31"/>
        <v>a</v>
      </c>
      <c r="J148" t="str">
        <f t="shared" si="32"/>
        <v>Line</v>
      </c>
      <c r="K148">
        <v>4665117.8770000003</v>
      </c>
      <c r="L148">
        <v>360283.00599999999</v>
      </c>
      <c r="M148">
        <v>0.79700000000000004</v>
      </c>
      <c r="N148" t="s">
        <v>42</v>
      </c>
      <c r="O148" s="1"/>
      <c r="P148" s="2">
        <f t="shared" si="34"/>
        <v>156</v>
      </c>
      <c r="Q148" s="2" t="b">
        <f t="shared" si="36"/>
        <v>1</v>
      </c>
      <c r="R148" s="2" t="str">
        <f t="shared" si="35"/>
        <v>~30% flowering</v>
      </c>
      <c r="S148" s="2" t="b">
        <f t="shared" si="37"/>
        <v>1</v>
      </c>
      <c r="T148">
        <v>13</v>
      </c>
      <c r="U148">
        <v>147</v>
      </c>
      <c r="V148" t="s">
        <v>37</v>
      </c>
      <c r="W148">
        <v>4665097.9309999999</v>
      </c>
      <c r="X148">
        <v>360255.77299999999</v>
      </c>
      <c r="Y148">
        <v>1.149</v>
      </c>
      <c r="AA148">
        <v>147</v>
      </c>
    </row>
    <row r="149" spans="1:27" hidden="1" x14ac:dyDescent="0.25">
      <c r="A149" t="s">
        <v>74</v>
      </c>
      <c r="B149">
        <v>20</v>
      </c>
      <c r="C149" t="s">
        <v>75</v>
      </c>
      <c r="D149">
        <v>2019</v>
      </c>
      <c r="E149">
        <f t="shared" si="33"/>
        <v>55</v>
      </c>
      <c r="F149">
        <f t="shared" si="29"/>
        <v>148</v>
      </c>
      <c r="G149" t="s">
        <v>10</v>
      </c>
      <c r="H149" t="str">
        <f t="shared" si="30"/>
        <v>13</v>
      </c>
      <c r="I149" t="str">
        <f t="shared" si="31"/>
        <v>a</v>
      </c>
      <c r="J149" t="str">
        <f t="shared" si="32"/>
        <v>Line</v>
      </c>
      <c r="K149">
        <v>4665113.2209999999</v>
      </c>
      <c r="L149">
        <v>360284.11</v>
      </c>
      <c r="M149">
        <v>1.1839999999999999</v>
      </c>
      <c r="N149" t="s">
        <v>42</v>
      </c>
      <c r="O149" s="1"/>
      <c r="P149" s="2">
        <f t="shared" si="34"/>
        <v>157</v>
      </c>
      <c r="Q149" s="2" t="b">
        <f t="shared" si="36"/>
        <v>1</v>
      </c>
      <c r="R149" s="2" t="str">
        <f t="shared" si="35"/>
        <v>~30% flowering</v>
      </c>
      <c r="S149" s="2" t="b">
        <f t="shared" si="37"/>
        <v>1</v>
      </c>
      <c r="T149">
        <v>13</v>
      </c>
      <c r="U149">
        <v>148</v>
      </c>
      <c r="V149" t="s">
        <v>17</v>
      </c>
      <c r="W149">
        <v>4665099.0290000001</v>
      </c>
      <c r="X149">
        <v>360257.45799999998</v>
      </c>
      <c r="Y149">
        <v>1.167</v>
      </c>
      <c r="Z149" t="s">
        <v>38</v>
      </c>
      <c r="AA149">
        <v>148</v>
      </c>
    </row>
    <row r="150" spans="1:27" hidden="1" x14ac:dyDescent="0.25">
      <c r="A150" t="s">
        <v>74</v>
      </c>
      <c r="B150">
        <v>20</v>
      </c>
      <c r="C150" t="s">
        <v>75</v>
      </c>
      <c r="D150">
        <v>2019</v>
      </c>
      <c r="E150">
        <f t="shared" si="33"/>
        <v>55</v>
      </c>
      <c r="F150">
        <f t="shared" si="29"/>
        <v>149</v>
      </c>
      <c r="G150" t="s">
        <v>10</v>
      </c>
      <c r="H150" t="str">
        <f t="shared" si="30"/>
        <v>13</v>
      </c>
      <c r="I150" t="str">
        <f t="shared" si="31"/>
        <v>a</v>
      </c>
      <c r="J150" t="str">
        <f t="shared" si="32"/>
        <v>Line</v>
      </c>
      <c r="K150">
        <v>4665109.7039999999</v>
      </c>
      <c r="L150">
        <v>360284.90500000003</v>
      </c>
      <c r="M150">
        <v>1.175</v>
      </c>
      <c r="N150" t="s">
        <v>42</v>
      </c>
      <c r="O150" s="1"/>
      <c r="P150" s="2">
        <f t="shared" si="34"/>
        <v>158</v>
      </c>
      <c r="Q150" s="2" t="b">
        <f t="shared" si="36"/>
        <v>1</v>
      </c>
      <c r="R150" s="2" t="str">
        <f t="shared" si="35"/>
        <v>~30% flowering</v>
      </c>
      <c r="S150" s="2" t="b">
        <f t="shared" si="37"/>
        <v>1</v>
      </c>
      <c r="T150">
        <v>13</v>
      </c>
      <c r="U150">
        <v>149</v>
      </c>
      <c r="V150" t="s">
        <v>17</v>
      </c>
      <c r="W150">
        <v>4665103.6409999998</v>
      </c>
      <c r="X150">
        <v>360265.99</v>
      </c>
      <c r="Y150">
        <v>1.137</v>
      </c>
      <c r="Z150" t="s">
        <v>38</v>
      </c>
      <c r="AA150">
        <v>149</v>
      </c>
    </row>
    <row r="151" spans="1:27" x14ac:dyDescent="0.25">
      <c r="A151" t="s">
        <v>74</v>
      </c>
      <c r="B151">
        <v>20</v>
      </c>
      <c r="C151" t="s">
        <v>75</v>
      </c>
      <c r="D151">
        <v>2019</v>
      </c>
      <c r="E151">
        <f t="shared" si="33"/>
        <v>56</v>
      </c>
      <c r="F151">
        <f t="shared" si="29"/>
        <v>150</v>
      </c>
      <c r="G151" t="s">
        <v>43</v>
      </c>
      <c r="H151" t="str">
        <f t="shared" si="30"/>
        <v>21</v>
      </c>
      <c r="I151" t="str">
        <f t="shared" si="31"/>
        <v>kn</v>
      </c>
      <c r="J151" t="s">
        <v>76</v>
      </c>
      <c r="K151">
        <v>4665110.1960000005</v>
      </c>
      <c r="L151">
        <v>360286.67499999999</v>
      </c>
      <c r="M151">
        <v>1.04</v>
      </c>
      <c r="O151" s="1"/>
      <c r="P151" s="2">
        <f t="shared" si="34"/>
        <v>159</v>
      </c>
      <c r="Q151" s="2" t="b">
        <f t="shared" si="36"/>
        <v>1</v>
      </c>
      <c r="R151" s="2">
        <f t="shared" si="35"/>
        <v>0</v>
      </c>
      <c r="S151" s="2" t="b">
        <f t="shared" si="37"/>
        <v>1</v>
      </c>
      <c r="T151">
        <v>13</v>
      </c>
      <c r="U151">
        <v>150</v>
      </c>
      <c r="V151" t="s">
        <v>39</v>
      </c>
      <c r="W151">
        <v>4665104.5130000003</v>
      </c>
      <c r="X151">
        <v>360268.08500000002</v>
      </c>
      <c r="Y151">
        <v>1.135</v>
      </c>
      <c r="AA151">
        <v>150</v>
      </c>
    </row>
    <row r="152" spans="1:27" x14ac:dyDescent="0.25">
      <c r="A152" t="s">
        <v>74</v>
      </c>
      <c r="B152">
        <v>20</v>
      </c>
      <c r="C152" t="s">
        <v>75</v>
      </c>
      <c r="D152">
        <v>2019</v>
      </c>
      <c r="E152">
        <f t="shared" si="33"/>
        <v>56</v>
      </c>
      <c r="F152">
        <f t="shared" si="29"/>
        <v>151</v>
      </c>
      <c r="G152" t="s">
        <v>43</v>
      </c>
      <c r="H152" t="str">
        <f t="shared" si="30"/>
        <v>21</v>
      </c>
      <c r="I152" t="str">
        <f t="shared" si="31"/>
        <v>kn</v>
      </c>
      <c r="J152" t="s">
        <v>76</v>
      </c>
      <c r="K152">
        <v>4665114.9579999996</v>
      </c>
      <c r="L152">
        <v>360285.67300000001</v>
      </c>
      <c r="M152">
        <v>0.83099999999999996</v>
      </c>
      <c r="O152" s="1"/>
      <c r="P152" s="2">
        <f t="shared" si="34"/>
        <v>160</v>
      </c>
      <c r="Q152" s="2" t="b">
        <f t="shared" si="36"/>
        <v>1</v>
      </c>
      <c r="R152" s="2">
        <f t="shared" si="35"/>
        <v>0</v>
      </c>
      <c r="S152" s="2" t="b">
        <f t="shared" si="37"/>
        <v>1</v>
      </c>
      <c r="T152">
        <v>13</v>
      </c>
      <c r="U152">
        <v>151</v>
      </c>
      <c r="V152" t="s">
        <v>39</v>
      </c>
      <c r="W152">
        <v>4665107.7819999997</v>
      </c>
      <c r="X152">
        <v>360275.05800000002</v>
      </c>
      <c r="Y152">
        <v>1.157</v>
      </c>
      <c r="AA152">
        <v>151</v>
      </c>
    </row>
    <row r="153" spans="1:27" x14ac:dyDescent="0.25">
      <c r="A153" t="s">
        <v>74</v>
      </c>
      <c r="B153">
        <v>20</v>
      </c>
      <c r="C153" t="s">
        <v>75</v>
      </c>
      <c r="D153">
        <v>2019</v>
      </c>
      <c r="E153">
        <f t="shared" si="33"/>
        <v>56</v>
      </c>
      <c r="F153">
        <f t="shared" si="29"/>
        <v>152</v>
      </c>
      <c r="G153" t="s">
        <v>43</v>
      </c>
      <c r="H153" t="str">
        <f t="shared" si="30"/>
        <v>21</v>
      </c>
      <c r="I153" t="str">
        <f t="shared" si="31"/>
        <v>kn</v>
      </c>
      <c r="J153" t="s">
        <v>76</v>
      </c>
      <c r="K153">
        <v>4665119.21</v>
      </c>
      <c r="L153">
        <v>360285.08600000001</v>
      </c>
      <c r="M153">
        <v>0.25700000000000001</v>
      </c>
      <c r="O153" s="1"/>
      <c r="P153" s="2">
        <f t="shared" si="34"/>
        <v>161</v>
      </c>
      <c r="Q153" s="2" t="b">
        <f t="shared" si="36"/>
        <v>1</v>
      </c>
      <c r="R153" s="2">
        <f t="shared" si="35"/>
        <v>0</v>
      </c>
      <c r="S153" s="2" t="b">
        <f t="shared" si="37"/>
        <v>1</v>
      </c>
      <c r="T153">
        <v>13</v>
      </c>
      <c r="U153">
        <v>152</v>
      </c>
      <c r="V153" t="s">
        <v>40</v>
      </c>
      <c r="W153">
        <v>4665108.78</v>
      </c>
      <c r="X153">
        <v>360277.03700000001</v>
      </c>
      <c r="Y153">
        <v>1.181</v>
      </c>
      <c r="Z153" t="s">
        <v>41</v>
      </c>
      <c r="AA153">
        <v>152</v>
      </c>
    </row>
    <row r="154" spans="1:27" x14ac:dyDescent="0.25">
      <c r="A154" t="s">
        <v>74</v>
      </c>
      <c r="B154">
        <v>20</v>
      </c>
      <c r="C154" t="s">
        <v>75</v>
      </c>
      <c r="D154">
        <v>2019</v>
      </c>
      <c r="E154">
        <f t="shared" si="33"/>
        <v>56</v>
      </c>
      <c r="F154">
        <f t="shared" si="29"/>
        <v>153</v>
      </c>
      <c r="G154" t="s">
        <v>43</v>
      </c>
      <c r="H154" t="str">
        <f t="shared" si="30"/>
        <v>21</v>
      </c>
      <c r="I154" t="str">
        <f t="shared" si="31"/>
        <v>kn</v>
      </c>
      <c r="J154" t="s">
        <v>76</v>
      </c>
      <c r="K154">
        <v>4665119.4800000004</v>
      </c>
      <c r="L154">
        <v>360285.73599999998</v>
      </c>
      <c r="M154">
        <v>0.33</v>
      </c>
      <c r="O154" s="1"/>
      <c r="P154" s="2">
        <f t="shared" si="34"/>
        <v>162</v>
      </c>
      <c r="Q154" s="2" t="b">
        <f t="shared" si="36"/>
        <v>1</v>
      </c>
      <c r="R154" s="2">
        <f t="shared" si="35"/>
        <v>0</v>
      </c>
      <c r="S154" s="2" t="b">
        <f t="shared" si="37"/>
        <v>1</v>
      </c>
      <c r="T154">
        <v>13</v>
      </c>
      <c r="U154">
        <v>153</v>
      </c>
      <c r="V154" t="s">
        <v>40</v>
      </c>
      <c r="W154">
        <v>4665110.017</v>
      </c>
      <c r="X154">
        <v>360279.20500000002</v>
      </c>
      <c r="Y154">
        <v>1.1299999999999999</v>
      </c>
      <c r="Z154" t="s">
        <v>41</v>
      </c>
      <c r="AA154">
        <v>153</v>
      </c>
    </row>
    <row r="155" spans="1:27" x14ac:dyDescent="0.25">
      <c r="A155" t="s">
        <v>74</v>
      </c>
      <c r="B155">
        <v>20</v>
      </c>
      <c r="C155" t="s">
        <v>75</v>
      </c>
      <c r="D155">
        <v>2019</v>
      </c>
      <c r="E155">
        <f t="shared" si="33"/>
        <v>56</v>
      </c>
      <c r="F155">
        <f t="shared" si="29"/>
        <v>154</v>
      </c>
      <c r="G155" t="s">
        <v>43</v>
      </c>
      <c r="H155" t="str">
        <f t="shared" si="30"/>
        <v>21</v>
      </c>
      <c r="I155" t="str">
        <f t="shared" si="31"/>
        <v>kn</v>
      </c>
      <c r="J155" t="s">
        <v>76</v>
      </c>
      <c r="K155">
        <v>4665114.8689999999</v>
      </c>
      <c r="L155">
        <v>360286.34299999999</v>
      </c>
      <c r="M155">
        <v>0.76100000000000001</v>
      </c>
      <c r="O155" s="1"/>
      <c r="P155" s="2">
        <f t="shared" si="34"/>
        <v>163</v>
      </c>
      <c r="Q155" s="2" t="b">
        <f t="shared" si="36"/>
        <v>1</v>
      </c>
      <c r="R155" s="2">
        <f t="shared" si="35"/>
        <v>0</v>
      </c>
      <c r="S155" s="2" t="b">
        <f t="shared" si="37"/>
        <v>1</v>
      </c>
      <c r="T155">
        <v>13</v>
      </c>
      <c r="U155">
        <v>154</v>
      </c>
      <c r="V155" t="s">
        <v>17</v>
      </c>
      <c r="W155">
        <v>4665110.9170000004</v>
      </c>
      <c r="X155">
        <v>360281.18099999998</v>
      </c>
      <c r="Y155">
        <v>1.1499999999999999</v>
      </c>
      <c r="AA155">
        <v>154</v>
      </c>
    </row>
    <row r="156" spans="1:27" x14ac:dyDescent="0.25">
      <c r="A156" t="s">
        <v>74</v>
      </c>
      <c r="B156">
        <v>20</v>
      </c>
      <c r="C156" t="s">
        <v>75</v>
      </c>
      <c r="D156">
        <v>2019</v>
      </c>
      <c r="E156">
        <f t="shared" si="33"/>
        <v>56</v>
      </c>
      <c r="F156">
        <f t="shared" si="29"/>
        <v>155</v>
      </c>
      <c r="G156" t="s">
        <v>43</v>
      </c>
      <c r="H156" t="str">
        <f t="shared" si="30"/>
        <v>21</v>
      </c>
      <c r="I156" t="str">
        <f t="shared" si="31"/>
        <v>kn</v>
      </c>
      <c r="J156" t="s">
        <v>76</v>
      </c>
      <c r="K156">
        <v>4665110.2089999998</v>
      </c>
      <c r="L156">
        <v>360287.12099999998</v>
      </c>
      <c r="M156">
        <v>1.115</v>
      </c>
      <c r="O156" s="1"/>
      <c r="P156" s="2">
        <f t="shared" si="34"/>
        <v>164</v>
      </c>
      <c r="Q156" s="2" t="b">
        <f t="shared" si="36"/>
        <v>1</v>
      </c>
      <c r="R156" s="2">
        <f t="shared" si="35"/>
        <v>0</v>
      </c>
      <c r="S156" s="2" t="b">
        <f t="shared" si="37"/>
        <v>1</v>
      </c>
      <c r="T156">
        <v>13</v>
      </c>
      <c r="U156">
        <v>155</v>
      </c>
      <c r="V156" t="s">
        <v>17</v>
      </c>
      <c r="W156">
        <v>4665111.6540000001</v>
      </c>
      <c r="X156">
        <v>360283.22399999999</v>
      </c>
      <c r="Y156">
        <v>1.147</v>
      </c>
      <c r="AA156">
        <v>155</v>
      </c>
    </row>
    <row r="157" spans="1:27" hidden="1" x14ac:dyDescent="0.25">
      <c r="A157" t="s">
        <v>74</v>
      </c>
      <c r="B157">
        <v>20</v>
      </c>
      <c r="C157" t="s">
        <v>75</v>
      </c>
      <c r="D157">
        <v>2019</v>
      </c>
      <c r="E157">
        <f t="shared" si="33"/>
        <v>57</v>
      </c>
      <c r="F157">
        <f t="shared" si="29"/>
        <v>156</v>
      </c>
      <c r="G157" t="s">
        <v>10</v>
      </c>
      <c r="H157" t="str">
        <f t="shared" si="30"/>
        <v>13</v>
      </c>
      <c r="I157" t="str">
        <f t="shared" si="31"/>
        <v>a</v>
      </c>
      <c r="J157" t="str">
        <f t="shared" ref="J157:J188" si="38">IF(OR((E157=E158),(E157=E156)),"Line","MU")</f>
        <v>Line</v>
      </c>
      <c r="K157">
        <v>4665110.6459999997</v>
      </c>
      <c r="L157">
        <v>360289.15</v>
      </c>
      <c r="M157">
        <v>1.173</v>
      </c>
      <c r="N157" t="s">
        <v>44</v>
      </c>
      <c r="O157" s="1"/>
      <c r="P157" s="2">
        <f t="shared" si="34"/>
        <v>165</v>
      </c>
      <c r="Q157" s="2" t="b">
        <f t="shared" si="36"/>
        <v>1</v>
      </c>
      <c r="R157" s="2" t="str">
        <f t="shared" si="35"/>
        <v>~40% flowering</v>
      </c>
      <c r="S157" s="2" t="b">
        <f t="shared" si="37"/>
        <v>1</v>
      </c>
      <c r="T157">
        <v>13</v>
      </c>
      <c r="U157">
        <v>156</v>
      </c>
      <c r="V157" t="s">
        <v>10</v>
      </c>
      <c r="W157">
        <v>4665117.8770000003</v>
      </c>
      <c r="X157">
        <v>360283.00599999999</v>
      </c>
      <c r="Y157">
        <v>0.79700000000000004</v>
      </c>
      <c r="Z157" t="s">
        <v>42</v>
      </c>
      <c r="AA157">
        <v>156</v>
      </c>
    </row>
    <row r="158" spans="1:27" hidden="1" x14ac:dyDescent="0.25">
      <c r="A158" t="s">
        <v>74</v>
      </c>
      <c r="B158">
        <v>20</v>
      </c>
      <c r="C158" t="s">
        <v>75</v>
      </c>
      <c r="D158">
        <v>2019</v>
      </c>
      <c r="E158">
        <f t="shared" si="33"/>
        <v>57</v>
      </c>
      <c r="F158">
        <f t="shared" si="29"/>
        <v>157</v>
      </c>
      <c r="G158" t="s">
        <v>10</v>
      </c>
      <c r="H158" t="str">
        <f t="shared" si="30"/>
        <v>13</v>
      </c>
      <c r="I158" t="str">
        <f t="shared" si="31"/>
        <v>a</v>
      </c>
      <c r="J158" t="str">
        <f t="shared" si="38"/>
        <v>Line</v>
      </c>
      <c r="K158">
        <v>4665115.3969999999</v>
      </c>
      <c r="L158">
        <v>360288.66399999999</v>
      </c>
      <c r="M158">
        <v>1.1100000000000001</v>
      </c>
      <c r="N158" t="s">
        <v>44</v>
      </c>
      <c r="O158" s="1"/>
      <c r="P158" s="2">
        <f t="shared" si="34"/>
        <v>166</v>
      </c>
      <c r="Q158" s="2" t="b">
        <f t="shared" si="36"/>
        <v>1</v>
      </c>
      <c r="R158" s="2" t="str">
        <f t="shared" si="35"/>
        <v>~40% flowering</v>
      </c>
      <c r="S158" s="2" t="b">
        <f t="shared" si="37"/>
        <v>1</v>
      </c>
      <c r="T158">
        <v>13</v>
      </c>
      <c r="U158">
        <v>157</v>
      </c>
      <c r="V158" t="s">
        <v>10</v>
      </c>
      <c r="W158">
        <v>4665113.2209999999</v>
      </c>
      <c r="X158">
        <v>360284.11</v>
      </c>
      <c r="Y158">
        <v>1.1839999999999999</v>
      </c>
      <c r="Z158" t="s">
        <v>42</v>
      </c>
      <c r="AA158">
        <v>157</v>
      </c>
    </row>
    <row r="159" spans="1:27" hidden="1" x14ac:dyDescent="0.25">
      <c r="A159" t="s">
        <v>74</v>
      </c>
      <c r="B159">
        <v>20</v>
      </c>
      <c r="C159" t="s">
        <v>75</v>
      </c>
      <c r="D159">
        <v>2019</v>
      </c>
      <c r="E159">
        <f t="shared" si="33"/>
        <v>57</v>
      </c>
      <c r="F159">
        <f t="shared" si="29"/>
        <v>158</v>
      </c>
      <c r="G159" t="s">
        <v>10</v>
      </c>
      <c r="H159" t="str">
        <f t="shared" si="30"/>
        <v>13</v>
      </c>
      <c r="I159" t="str">
        <f t="shared" si="31"/>
        <v>a</v>
      </c>
      <c r="J159" t="str">
        <f t="shared" si="38"/>
        <v>Line</v>
      </c>
      <c r="K159">
        <v>4665120.2029999997</v>
      </c>
      <c r="L159">
        <v>360287.03200000001</v>
      </c>
      <c r="M159">
        <v>0.58699999999999997</v>
      </c>
      <c r="N159" t="s">
        <v>44</v>
      </c>
      <c r="O159" s="1"/>
      <c r="P159" s="2">
        <f t="shared" si="34"/>
        <v>167</v>
      </c>
      <c r="Q159" s="2" t="b">
        <f t="shared" si="36"/>
        <v>1</v>
      </c>
      <c r="R159" s="2" t="str">
        <f t="shared" si="35"/>
        <v>~40% flowering</v>
      </c>
      <c r="S159" s="2" t="b">
        <f t="shared" si="37"/>
        <v>1</v>
      </c>
      <c r="T159">
        <v>13</v>
      </c>
      <c r="U159">
        <v>158</v>
      </c>
      <c r="V159" t="s">
        <v>10</v>
      </c>
      <c r="W159">
        <v>4665109.7039999999</v>
      </c>
      <c r="X159">
        <v>360284.90500000003</v>
      </c>
      <c r="Y159">
        <v>1.175</v>
      </c>
      <c r="Z159" t="s">
        <v>42</v>
      </c>
      <c r="AA159">
        <v>158</v>
      </c>
    </row>
    <row r="160" spans="1:27" hidden="1" x14ac:dyDescent="0.25">
      <c r="A160" t="s">
        <v>74</v>
      </c>
      <c r="B160">
        <v>20</v>
      </c>
      <c r="C160" t="s">
        <v>75</v>
      </c>
      <c r="D160">
        <v>2019</v>
      </c>
      <c r="E160">
        <f t="shared" ref="E160:E191" si="39">IF(G160=G159,E159,E159+1)</f>
        <v>58</v>
      </c>
      <c r="F160">
        <f t="shared" si="29"/>
        <v>159</v>
      </c>
      <c r="G160" t="s">
        <v>19</v>
      </c>
      <c r="H160" t="str">
        <f t="shared" si="30"/>
        <v>01</v>
      </c>
      <c r="I160" t="str">
        <f t="shared" si="31"/>
        <v>a</v>
      </c>
      <c r="J160" t="str">
        <f t="shared" si="38"/>
        <v>Line</v>
      </c>
      <c r="K160">
        <v>4665118.3770000003</v>
      </c>
      <c r="L160">
        <v>360289.11700000003</v>
      </c>
      <c r="M160">
        <v>1.036</v>
      </c>
      <c r="O160" s="1"/>
      <c r="P160" s="2">
        <f t="shared" si="34"/>
        <v>168</v>
      </c>
      <c r="Q160" s="2" t="b">
        <f t="shared" si="36"/>
        <v>1</v>
      </c>
      <c r="R160" s="2">
        <f t="shared" si="35"/>
        <v>0</v>
      </c>
      <c r="S160" s="2" t="b">
        <f t="shared" si="37"/>
        <v>1</v>
      </c>
      <c r="T160">
        <v>13</v>
      </c>
      <c r="U160">
        <v>159</v>
      </c>
      <c r="V160" t="s">
        <v>43</v>
      </c>
      <c r="W160">
        <v>4665110.1960000005</v>
      </c>
      <c r="X160">
        <v>360286.67499999999</v>
      </c>
      <c r="Y160">
        <v>1.04</v>
      </c>
      <c r="AA160">
        <v>159</v>
      </c>
    </row>
    <row r="161" spans="1:27" hidden="1" x14ac:dyDescent="0.25">
      <c r="A161" t="s">
        <v>74</v>
      </c>
      <c r="B161">
        <v>20</v>
      </c>
      <c r="C161" t="s">
        <v>75</v>
      </c>
      <c r="D161">
        <v>2019</v>
      </c>
      <c r="E161">
        <f t="shared" si="39"/>
        <v>58</v>
      </c>
      <c r="F161">
        <f t="shared" si="29"/>
        <v>160</v>
      </c>
      <c r="G161" t="s">
        <v>19</v>
      </c>
      <c r="H161" t="str">
        <f t="shared" si="30"/>
        <v>01</v>
      </c>
      <c r="I161" t="str">
        <f t="shared" si="31"/>
        <v>a</v>
      </c>
      <c r="J161" t="str">
        <f t="shared" si="38"/>
        <v>Line</v>
      </c>
      <c r="K161">
        <v>4665129.9309999999</v>
      </c>
      <c r="L161">
        <v>360307.92700000003</v>
      </c>
      <c r="M161">
        <v>1.002</v>
      </c>
      <c r="O161" s="1"/>
      <c r="P161" s="2">
        <f t="shared" si="34"/>
        <v>169</v>
      </c>
      <c r="Q161" s="2" t="b">
        <f t="shared" si="36"/>
        <v>1</v>
      </c>
      <c r="R161" s="2">
        <f t="shared" si="35"/>
        <v>0</v>
      </c>
      <c r="S161" s="2" t="b">
        <f t="shared" si="37"/>
        <v>1</v>
      </c>
      <c r="T161">
        <v>13</v>
      </c>
      <c r="U161">
        <v>160</v>
      </c>
      <c r="V161" t="s">
        <v>43</v>
      </c>
      <c r="W161">
        <v>4665114.9579999996</v>
      </c>
      <c r="X161">
        <v>360285.67300000001</v>
      </c>
      <c r="Y161">
        <v>0.83099999999999996</v>
      </c>
      <c r="AA161">
        <v>160</v>
      </c>
    </row>
    <row r="162" spans="1:27" hidden="1" x14ac:dyDescent="0.25">
      <c r="A162" t="s">
        <v>74</v>
      </c>
      <c r="B162">
        <v>20</v>
      </c>
      <c r="C162" t="s">
        <v>75</v>
      </c>
      <c r="D162">
        <v>2019</v>
      </c>
      <c r="E162">
        <f t="shared" si="39"/>
        <v>58</v>
      </c>
      <c r="F162">
        <f t="shared" si="29"/>
        <v>161</v>
      </c>
      <c r="G162" t="s">
        <v>19</v>
      </c>
      <c r="H162" t="str">
        <f t="shared" si="30"/>
        <v>01</v>
      </c>
      <c r="I162" t="str">
        <f t="shared" si="31"/>
        <v>a</v>
      </c>
      <c r="J162" t="str">
        <f t="shared" si="38"/>
        <v>Line</v>
      </c>
      <c r="K162">
        <v>4665117.6239999998</v>
      </c>
      <c r="L162">
        <v>360312.49599999998</v>
      </c>
      <c r="M162">
        <v>0.96899999999999997</v>
      </c>
      <c r="O162" s="1"/>
      <c r="P162" s="2">
        <f t="shared" si="34"/>
        <v>170</v>
      </c>
      <c r="Q162" s="2" t="b">
        <f t="shared" si="36"/>
        <v>1</v>
      </c>
      <c r="R162" s="2">
        <f t="shared" si="35"/>
        <v>0</v>
      </c>
      <c r="S162" s="2" t="b">
        <f t="shared" si="37"/>
        <v>1</v>
      </c>
      <c r="T162">
        <v>13</v>
      </c>
      <c r="U162">
        <v>161</v>
      </c>
      <c r="V162" t="s">
        <v>43</v>
      </c>
      <c r="W162">
        <v>4665119.21</v>
      </c>
      <c r="X162">
        <v>360285.08600000001</v>
      </c>
      <c r="Y162">
        <v>0.25700000000000001</v>
      </c>
      <c r="AA162">
        <v>161</v>
      </c>
    </row>
    <row r="163" spans="1:27" hidden="1" x14ac:dyDescent="0.25">
      <c r="A163" t="s">
        <v>74</v>
      </c>
      <c r="B163">
        <v>20</v>
      </c>
      <c r="C163" t="s">
        <v>75</v>
      </c>
      <c r="D163">
        <v>2019</v>
      </c>
      <c r="E163">
        <f t="shared" si="39"/>
        <v>59</v>
      </c>
      <c r="F163">
        <f t="shared" si="29"/>
        <v>162</v>
      </c>
      <c r="G163" t="s">
        <v>7</v>
      </c>
      <c r="H163" t="str">
        <f t="shared" si="30"/>
        <v>02</v>
      </c>
      <c r="I163" t="str">
        <f t="shared" si="31"/>
        <v>a</v>
      </c>
      <c r="J163" t="str">
        <f t="shared" si="38"/>
        <v>MU</v>
      </c>
      <c r="K163">
        <v>4665116.9539999999</v>
      </c>
      <c r="L163">
        <v>360310.63199999998</v>
      </c>
      <c r="M163">
        <v>1.0640000000000001</v>
      </c>
      <c r="N163" t="s">
        <v>6</v>
      </c>
      <c r="O163" s="1"/>
      <c r="P163" s="2">
        <f t="shared" si="34"/>
        <v>171</v>
      </c>
      <c r="Q163" s="2" t="b">
        <f t="shared" si="36"/>
        <v>1</v>
      </c>
      <c r="R163" s="2" t="str">
        <f t="shared" si="35"/>
        <v>1 mu</v>
      </c>
      <c r="S163" s="2" t="b">
        <f t="shared" si="37"/>
        <v>1</v>
      </c>
      <c r="T163">
        <v>13</v>
      </c>
      <c r="U163">
        <v>162</v>
      </c>
      <c r="V163" t="s">
        <v>43</v>
      </c>
      <c r="W163">
        <v>4665119.4800000004</v>
      </c>
      <c r="X163">
        <v>360285.73599999998</v>
      </c>
      <c r="Y163">
        <v>0.33</v>
      </c>
      <c r="AA163">
        <v>162</v>
      </c>
    </row>
    <row r="164" spans="1:27" hidden="1" x14ac:dyDescent="0.25">
      <c r="A164" t="s">
        <v>74</v>
      </c>
      <c r="B164">
        <v>20</v>
      </c>
      <c r="C164" t="s">
        <v>75</v>
      </c>
      <c r="D164">
        <v>2019</v>
      </c>
      <c r="E164">
        <f t="shared" si="39"/>
        <v>60</v>
      </c>
      <c r="F164">
        <f t="shared" si="29"/>
        <v>163</v>
      </c>
      <c r="G164" t="s">
        <v>17</v>
      </c>
      <c r="H164" t="str">
        <f t="shared" si="30"/>
        <v>06</v>
      </c>
      <c r="I164" t="str">
        <f t="shared" si="31"/>
        <v>a</v>
      </c>
      <c r="J164" t="str">
        <f t="shared" si="38"/>
        <v>Line</v>
      </c>
      <c r="K164">
        <v>4665116.01</v>
      </c>
      <c r="L164">
        <v>360308.674</v>
      </c>
      <c r="M164">
        <v>1.085</v>
      </c>
      <c r="O164" s="1"/>
      <c r="P164" s="2">
        <f t="shared" si="34"/>
        <v>172</v>
      </c>
      <c r="Q164" s="2" t="b">
        <f t="shared" si="36"/>
        <v>1</v>
      </c>
      <c r="R164" s="2">
        <f t="shared" si="35"/>
        <v>0</v>
      </c>
      <c r="S164" s="2" t="b">
        <f t="shared" si="37"/>
        <v>1</v>
      </c>
      <c r="T164">
        <v>13</v>
      </c>
      <c r="U164">
        <v>163</v>
      </c>
      <c r="V164" t="s">
        <v>43</v>
      </c>
      <c r="W164">
        <v>4665114.8689999999</v>
      </c>
      <c r="X164">
        <v>360286.34299999999</v>
      </c>
      <c r="Y164">
        <v>0.76100000000000001</v>
      </c>
      <c r="AA164">
        <v>163</v>
      </c>
    </row>
    <row r="165" spans="1:27" hidden="1" x14ac:dyDescent="0.25">
      <c r="A165" t="s">
        <v>74</v>
      </c>
      <c r="B165">
        <v>20</v>
      </c>
      <c r="C165" t="s">
        <v>75</v>
      </c>
      <c r="D165">
        <v>2019</v>
      </c>
      <c r="E165">
        <f t="shared" si="39"/>
        <v>60</v>
      </c>
      <c r="F165">
        <f t="shared" si="29"/>
        <v>164</v>
      </c>
      <c r="G165" t="s">
        <v>17</v>
      </c>
      <c r="H165" t="str">
        <f t="shared" si="30"/>
        <v>06</v>
      </c>
      <c r="I165" t="str">
        <f t="shared" si="31"/>
        <v>a</v>
      </c>
      <c r="J165" t="str">
        <f t="shared" si="38"/>
        <v>Line</v>
      </c>
      <c r="K165">
        <v>4665101.8470000001</v>
      </c>
      <c r="L165">
        <v>360284.52299999999</v>
      </c>
      <c r="M165">
        <v>1.1779999999999999</v>
      </c>
      <c r="O165" s="1"/>
      <c r="P165" s="2">
        <f t="shared" si="34"/>
        <v>173</v>
      </c>
      <c r="Q165" s="2" t="b">
        <f t="shared" si="36"/>
        <v>1</v>
      </c>
      <c r="R165" s="2">
        <f t="shared" si="35"/>
        <v>0</v>
      </c>
      <c r="S165" s="2" t="b">
        <f t="shared" si="37"/>
        <v>1</v>
      </c>
      <c r="T165">
        <v>13</v>
      </c>
      <c r="U165">
        <v>164</v>
      </c>
      <c r="V165" t="s">
        <v>43</v>
      </c>
      <c r="W165">
        <v>4665110.2089999998</v>
      </c>
      <c r="X165">
        <v>360287.12099999998</v>
      </c>
      <c r="Y165">
        <v>1.115</v>
      </c>
      <c r="AA165">
        <v>164</v>
      </c>
    </row>
    <row r="166" spans="1:27" hidden="1" x14ac:dyDescent="0.25">
      <c r="A166" t="s">
        <v>74</v>
      </c>
      <c r="B166">
        <v>20</v>
      </c>
      <c r="C166" t="s">
        <v>75</v>
      </c>
      <c r="D166">
        <v>2019</v>
      </c>
      <c r="E166">
        <f t="shared" si="39"/>
        <v>61</v>
      </c>
      <c r="F166">
        <f t="shared" si="29"/>
        <v>165</v>
      </c>
      <c r="G166" t="s">
        <v>39</v>
      </c>
      <c r="H166" t="str">
        <f t="shared" si="30"/>
        <v>08</v>
      </c>
      <c r="I166" t="str">
        <f t="shared" si="31"/>
        <v>b</v>
      </c>
      <c r="J166" t="str">
        <f t="shared" si="38"/>
        <v>Line</v>
      </c>
      <c r="K166">
        <v>4665100.9869999997</v>
      </c>
      <c r="L166">
        <v>360282.43900000001</v>
      </c>
      <c r="M166">
        <v>1.194</v>
      </c>
      <c r="O166" s="1"/>
      <c r="P166" s="2">
        <f t="shared" si="34"/>
        <v>174</v>
      </c>
      <c r="Q166" s="2" t="b">
        <f t="shared" si="36"/>
        <v>1</v>
      </c>
      <c r="R166" s="2">
        <f t="shared" si="35"/>
        <v>0</v>
      </c>
      <c r="S166" s="2" t="b">
        <f t="shared" si="37"/>
        <v>1</v>
      </c>
      <c r="T166">
        <v>13</v>
      </c>
      <c r="U166">
        <v>165</v>
      </c>
      <c r="V166" t="s">
        <v>10</v>
      </c>
      <c r="W166">
        <v>4665110.6459999997</v>
      </c>
      <c r="X166">
        <v>360289.15</v>
      </c>
      <c r="Y166">
        <v>1.173</v>
      </c>
      <c r="Z166" t="s">
        <v>44</v>
      </c>
      <c r="AA166">
        <v>165</v>
      </c>
    </row>
    <row r="167" spans="1:27" hidden="1" x14ac:dyDescent="0.25">
      <c r="A167" t="s">
        <v>74</v>
      </c>
      <c r="B167">
        <v>20</v>
      </c>
      <c r="C167" t="s">
        <v>75</v>
      </c>
      <c r="D167">
        <v>2019</v>
      </c>
      <c r="E167">
        <f t="shared" si="39"/>
        <v>61</v>
      </c>
      <c r="F167">
        <f t="shared" si="29"/>
        <v>166</v>
      </c>
      <c r="G167" t="s">
        <v>39</v>
      </c>
      <c r="H167" t="str">
        <f t="shared" si="30"/>
        <v>08</v>
      </c>
      <c r="I167" t="str">
        <f t="shared" si="31"/>
        <v>b</v>
      </c>
      <c r="J167" t="str">
        <f t="shared" si="38"/>
        <v>Line</v>
      </c>
      <c r="K167">
        <v>4665098.4539999999</v>
      </c>
      <c r="L167">
        <v>360277.17800000001</v>
      </c>
      <c r="M167">
        <v>1.1970000000000001</v>
      </c>
      <c r="O167" s="1"/>
      <c r="P167" s="2">
        <f t="shared" si="34"/>
        <v>175</v>
      </c>
      <c r="Q167" s="2" t="b">
        <f t="shared" si="36"/>
        <v>1</v>
      </c>
      <c r="R167" s="2">
        <f t="shared" si="35"/>
        <v>0</v>
      </c>
      <c r="S167" s="2" t="b">
        <f t="shared" si="37"/>
        <v>1</v>
      </c>
      <c r="T167">
        <v>13</v>
      </c>
      <c r="U167">
        <v>166</v>
      </c>
      <c r="V167" t="s">
        <v>10</v>
      </c>
      <c r="W167">
        <v>4665115.3969999999</v>
      </c>
      <c r="X167">
        <v>360288.66399999999</v>
      </c>
      <c r="Y167">
        <v>1.1100000000000001</v>
      </c>
      <c r="Z167" t="s">
        <v>44</v>
      </c>
      <c r="AA167">
        <v>166</v>
      </c>
    </row>
    <row r="168" spans="1:27" hidden="1" x14ac:dyDescent="0.25">
      <c r="A168" t="s">
        <v>74</v>
      </c>
      <c r="B168">
        <v>20</v>
      </c>
      <c r="C168" t="s">
        <v>75</v>
      </c>
      <c r="D168">
        <v>2019</v>
      </c>
      <c r="E168">
        <f t="shared" si="39"/>
        <v>62</v>
      </c>
      <c r="F168">
        <f t="shared" si="29"/>
        <v>167</v>
      </c>
      <c r="G168" t="s">
        <v>45</v>
      </c>
      <c r="H168" t="str">
        <f t="shared" si="30"/>
        <v>08</v>
      </c>
      <c r="I168" t="str">
        <f t="shared" si="31"/>
        <v>a</v>
      </c>
      <c r="J168" t="str">
        <f t="shared" si="38"/>
        <v>Line</v>
      </c>
      <c r="K168">
        <v>4665097.3509999998</v>
      </c>
      <c r="L168">
        <v>360275.37300000002</v>
      </c>
      <c r="M168">
        <v>1.1970000000000001</v>
      </c>
      <c r="N168" t="s">
        <v>46</v>
      </c>
      <c r="O168" s="1"/>
      <c r="P168" s="2">
        <f t="shared" si="34"/>
        <v>176</v>
      </c>
      <c r="Q168" s="2" t="b">
        <f t="shared" si="36"/>
        <v>1</v>
      </c>
      <c r="R168" s="2" t="str">
        <f t="shared" si="35"/>
        <v>tops are dying. Still upright w/ limonium</v>
      </c>
      <c r="S168" s="2" t="b">
        <f t="shared" si="37"/>
        <v>1</v>
      </c>
      <c r="T168">
        <v>13</v>
      </c>
      <c r="U168">
        <v>167</v>
      </c>
      <c r="V168" t="s">
        <v>10</v>
      </c>
      <c r="W168">
        <v>4665120.2029999997</v>
      </c>
      <c r="X168">
        <v>360287.03200000001</v>
      </c>
      <c r="Y168">
        <v>0.58699999999999997</v>
      </c>
      <c r="Z168" t="s">
        <v>44</v>
      </c>
      <c r="AA168">
        <v>167</v>
      </c>
    </row>
    <row r="169" spans="1:27" hidden="1" x14ac:dyDescent="0.25">
      <c r="A169" t="s">
        <v>74</v>
      </c>
      <c r="B169">
        <v>20</v>
      </c>
      <c r="C169" t="s">
        <v>75</v>
      </c>
      <c r="D169">
        <v>2019</v>
      </c>
      <c r="E169">
        <f t="shared" si="39"/>
        <v>62</v>
      </c>
      <c r="F169">
        <f t="shared" si="29"/>
        <v>168</v>
      </c>
      <c r="G169" t="s">
        <v>45</v>
      </c>
      <c r="H169" t="str">
        <f t="shared" si="30"/>
        <v>08</v>
      </c>
      <c r="I169" t="str">
        <f t="shared" si="31"/>
        <v>a</v>
      </c>
      <c r="J169" t="str">
        <f t="shared" si="38"/>
        <v>Line</v>
      </c>
      <c r="K169">
        <v>4665092.4479999999</v>
      </c>
      <c r="L169">
        <v>360266.84100000001</v>
      </c>
      <c r="M169">
        <v>1.1879999999999999</v>
      </c>
      <c r="O169" s="1"/>
      <c r="P169" s="2">
        <f t="shared" si="34"/>
        <v>177</v>
      </c>
      <c r="Q169" s="2" t="b">
        <f t="shared" si="36"/>
        <v>1</v>
      </c>
      <c r="R169" s="2">
        <f t="shared" si="35"/>
        <v>0</v>
      </c>
      <c r="S169" s="2" t="b">
        <f t="shared" si="37"/>
        <v>1</v>
      </c>
      <c r="T169">
        <v>15</v>
      </c>
      <c r="U169">
        <v>168</v>
      </c>
      <c r="V169" t="s">
        <v>19</v>
      </c>
      <c r="W169">
        <v>4665118.3770000003</v>
      </c>
      <c r="X169">
        <v>360289.11700000003</v>
      </c>
      <c r="Y169">
        <v>1.036</v>
      </c>
      <c r="AA169">
        <v>168</v>
      </c>
    </row>
    <row r="170" spans="1:27" hidden="1" x14ac:dyDescent="0.25">
      <c r="A170" t="s">
        <v>74</v>
      </c>
      <c r="B170">
        <v>20</v>
      </c>
      <c r="C170" t="s">
        <v>75</v>
      </c>
      <c r="D170">
        <v>2019</v>
      </c>
      <c r="E170">
        <f t="shared" si="39"/>
        <v>63</v>
      </c>
      <c r="F170">
        <f t="shared" si="29"/>
        <v>169</v>
      </c>
      <c r="G170" t="s">
        <v>39</v>
      </c>
      <c r="H170" t="str">
        <f t="shared" si="30"/>
        <v>08</v>
      </c>
      <c r="I170" t="str">
        <f t="shared" si="31"/>
        <v>b</v>
      </c>
      <c r="J170" t="str">
        <f t="shared" si="38"/>
        <v>MU</v>
      </c>
      <c r="K170">
        <v>4665091.3370000003</v>
      </c>
      <c r="L170">
        <v>360265.09700000001</v>
      </c>
      <c r="M170">
        <v>1.1639999999999999</v>
      </c>
      <c r="N170" t="s">
        <v>6</v>
      </c>
      <c r="O170" s="1"/>
      <c r="P170" s="2">
        <f t="shared" si="34"/>
        <v>178</v>
      </c>
      <c r="Q170" s="2" t="b">
        <f t="shared" si="36"/>
        <v>1</v>
      </c>
      <c r="R170" s="2" t="str">
        <f t="shared" si="35"/>
        <v>1 mu</v>
      </c>
      <c r="S170" s="2" t="b">
        <f t="shared" ref="S170:S201" si="40">IF(N170=R170,TRUE,FALSE)</f>
        <v>1</v>
      </c>
      <c r="T170" t="s">
        <v>87</v>
      </c>
      <c r="U170">
        <v>169</v>
      </c>
      <c r="V170" t="s">
        <v>19</v>
      </c>
      <c r="W170">
        <v>4665129.9309999999</v>
      </c>
      <c r="X170">
        <v>360307.92700000003</v>
      </c>
      <c r="Y170">
        <v>1.002</v>
      </c>
      <c r="AA170">
        <v>169</v>
      </c>
    </row>
    <row r="171" spans="1:27" hidden="1" x14ac:dyDescent="0.25">
      <c r="A171" t="s">
        <v>74</v>
      </c>
      <c r="B171">
        <v>20</v>
      </c>
      <c r="C171" t="s">
        <v>75</v>
      </c>
      <c r="D171">
        <v>2019</v>
      </c>
      <c r="E171">
        <f t="shared" si="39"/>
        <v>64</v>
      </c>
      <c r="F171">
        <f t="shared" si="29"/>
        <v>170</v>
      </c>
      <c r="G171" t="s">
        <v>45</v>
      </c>
      <c r="H171" t="str">
        <f t="shared" si="30"/>
        <v>08</v>
      </c>
      <c r="I171" t="str">
        <f t="shared" si="31"/>
        <v>a</v>
      </c>
      <c r="J171" t="str">
        <f t="shared" si="38"/>
        <v>Line</v>
      </c>
      <c r="K171">
        <v>4665090.0080000004</v>
      </c>
      <c r="L171">
        <v>360263.49099999998</v>
      </c>
      <c r="M171">
        <v>1.1679999999999999</v>
      </c>
      <c r="O171" s="1"/>
      <c r="P171" s="2">
        <f t="shared" si="34"/>
        <v>179</v>
      </c>
      <c r="Q171" s="2" t="b">
        <f t="shared" si="36"/>
        <v>1</v>
      </c>
      <c r="R171" s="2">
        <f t="shared" si="35"/>
        <v>0</v>
      </c>
      <c r="S171" s="2" t="b">
        <f t="shared" si="40"/>
        <v>1</v>
      </c>
      <c r="T171" t="s">
        <v>88</v>
      </c>
      <c r="U171">
        <v>170</v>
      </c>
      <c r="V171" t="s">
        <v>19</v>
      </c>
      <c r="W171">
        <v>4665117.6239999998</v>
      </c>
      <c r="X171">
        <v>360312.49599999998</v>
      </c>
      <c r="Y171">
        <v>0.96899999999999997</v>
      </c>
      <c r="AA171">
        <v>170</v>
      </c>
    </row>
    <row r="172" spans="1:27" hidden="1" x14ac:dyDescent="0.25">
      <c r="A172" t="s">
        <v>74</v>
      </c>
      <c r="B172">
        <v>20</v>
      </c>
      <c r="C172" t="s">
        <v>75</v>
      </c>
      <c r="D172">
        <v>2019</v>
      </c>
      <c r="E172">
        <f t="shared" si="39"/>
        <v>64</v>
      </c>
      <c r="F172">
        <f t="shared" si="29"/>
        <v>171</v>
      </c>
      <c r="G172" t="s">
        <v>45</v>
      </c>
      <c r="H172" t="str">
        <f t="shared" si="30"/>
        <v>08</v>
      </c>
      <c r="I172" t="str">
        <f t="shared" si="31"/>
        <v>a</v>
      </c>
      <c r="J172" t="str">
        <f t="shared" si="38"/>
        <v>Line</v>
      </c>
      <c r="K172">
        <v>4665089.0049999999</v>
      </c>
      <c r="L172">
        <v>360262.33100000001</v>
      </c>
      <c r="M172">
        <v>1.165</v>
      </c>
      <c r="O172" s="1"/>
      <c r="P172" s="2">
        <f t="shared" si="34"/>
        <v>180</v>
      </c>
      <c r="Q172" s="2" t="b">
        <f t="shared" si="36"/>
        <v>1</v>
      </c>
      <c r="R172" s="2">
        <f t="shared" si="35"/>
        <v>0</v>
      </c>
      <c r="S172" s="2" t="b">
        <f t="shared" si="40"/>
        <v>1</v>
      </c>
      <c r="T172">
        <v>17</v>
      </c>
      <c r="U172">
        <v>171</v>
      </c>
      <c r="V172" t="s">
        <v>7</v>
      </c>
      <c r="W172">
        <v>4665116.9539999999</v>
      </c>
      <c r="X172">
        <v>360310.63199999998</v>
      </c>
      <c r="Y172">
        <v>1.0640000000000001</v>
      </c>
      <c r="Z172" t="s">
        <v>6</v>
      </c>
      <c r="AA172">
        <v>171</v>
      </c>
    </row>
    <row r="173" spans="1:27" hidden="1" x14ac:dyDescent="0.25">
      <c r="A173" t="s">
        <v>74</v>
      </c>
      <c r="B173">
        <v>20</v>
      </c>
      <c r="C173" t="s">
        <v>75</v>
      </c>
      <c r="D173">
        <v>2019</v>
      </c>
      <c r="E173">
        <f t="shared" si="39"/>
        <v>65</v>
      </c>
      <c r="F173">
        <f t="shared" si="29"/>
        <v>172</v>
      </c>
      <c r="G173" t="s">
        <v>17</v>
      </c>
      <c r="H173" t="str">
        <f t="shared" si="30"/>
        <v>06</v>
      </c>
      <c r="I173" t="str">
        <f t="shared" si="31"/>
        <v>a</v>
      </c>
      <c r="J173" t="str">
        <f t="shared" si="38"/>
        <v>MU</v>
      </c>
      <c r="K173">
        <v>4665087.59</v>
      </c>
      <c r="L173">
        <v>360260.745</v>
      </c>
      <c r="M173">
        <v>1.149</v>
      </c>
      <c r="N173" t="s">
        <v>6</v>
      </c>
      <c r="O173" s="1"/>
      <c r="P173" s="2">
        <f t="shared" si="34"/>
        <v>181</v>
      </c>
      <c r="Q173" s="2" t="b">
        <f t="shared" si="36"/>
        <v>1</v>
      </c>
      <c r="R173" s="2" t="str">
        <f t="shared" si="35"/>
        <v>1 mu</v>
      </c>
      <c r="S173" s="2" t="b">
        <f t="shared" si="40"/>
        <v>1</v>
      </c>
      <c r="T173">
        <v>17</v>
      </c>
      <c r="U173">
        <v>172</v>
      </c>
      <c r="V173" t="s">
        <v>17</v>
      </c>
      <c r="W173">
        <v>4665116.01</v>
      </c>
      <c r="X173">
        <v>360308.674</v>
      </c>
      <c r="Y173">
        <v>1.085</v>
      </c>
      <c r="AA173">
        <v>172</v>
      </c>
    </row>
    <row r="174" spans="1:27" hidden="1" x14ac:dyDescent="0.25">
      <c r="A174" t="s">
        <v>74</v>
      </c>
      <c r="B174">
        <v>20</v>
      </c>
      <c r="C174" t="s">
        <v>75</v>
      </c>
      <c r="D174">
        <v>2019</v>
      </c>
      <c r="E174">
        <f t="shared" si="39"/>
        <v>66</v>
      </c>
      <c r="F174">
        <f t="shared" si="29"/>
        <v>173</v>
      </c>
      <c r="G174" t="s">
        <v>39</v>
      </c>
      <c r="H174" t="str">
        <f t="shared" si="30"/>
        <v>08</v>
      </c>
      <c r="I174" t="str">
        <f t="shared" si="31"/>
        <v>b</v>
      </c>
      <c r="J174" t="str">
        <f t="shared" si="38"/>
        <v>Line</v>
      </c>
      <c r="K174">
        <v>4665086.3059999999</v>
      </c>
      <c r="L174">
        <v>360259.10499999998</v>
      </c>
      <c r="M174">
        <v>1.181</v>
      </c>
      <c r="O174" s="1"/>
      <c r="P174" s="2">
        <f t="shared" si="34"/>
        <v>182</v>
      </c>
      <c r="Q174" s="2" t="b">
        <f t="shared" si="36"/>
        <v>1</v>
      </c>
      <c r="R174" s="2">
        <f t="shared" si="35"/>
        <v>0</v>
      </c>
      <c r="S174" s="2" t="b">
        <f t="shared" si="40"/>
        <v>1</v>
      </c>
      <c r="T174">
        <v>17</v>
      </c>
      <c r="U174">
        <v>173</v>
      </c>
      <c r="V174" t="s">
        <v>17</v>
      </c>
      <c r="W174">
        <v>4665101.8470000001</v>
      </c>
      <c r="X174">
        <v>360284.52299999999</v>
      </c>
      <c r="Y174">
        <v>1.1779999999999999</v>
      </c>
      <c r="AA174">
        <v>173</v>
      </c>
    </row>
    <row r="175" spans="1:27" hidden="1" x14ac:dyDescent="0.25">
      <c r="A175" t="s">
        <v>74</v>
      </c>
      <c r="B175">
        <v>20</v>
      </c>
      <c r="C175" t="s">
        <v>75</v>
      </c>
      <c r="D175">
        <v>2019</v>
      </c>
      <c r="E175">
        <f t="shared" si="39"/>
        <v>66</v>
      </c>
      <c r="F175">
        <f t="shared" si="29"/>
        <v>174</v>
      </c>
      <c r="G175" t="s">
        <v>39</v>
      </c>
      <c r="H175" t="str">
        <f t="shared" si="30"/>
        <v>08</v>
      </c>
      <c r="I175" t="str">
        <f t="shared" si="31"/>
        <v>b</v>
      </c>
      <c r="J175" t="str">
        <f t="shared" si="38"/>
        <v>Line</v>
      </c>
      <c r="K175">
        <v>4665085.2300000004</v>
      </c>
      <c r="L175">
        <v>360257.02500000002</v>
      </c>
      <c r="M175">
        <v>1.1970000000000001</v>
      </c>
      <c r="N175" t="s">
        <v>47</v>
      </c>
      <c r="O175" s="1"/>
      <c r="P175" s="2">
        <f t="shared" si="34"/>
        <v>183</v>
      </c>
      <c r="Q175" s="2" t="b">
        <f t="shared" si="36"/>
        <v>1</v>
      </c>
      <c r="R175" s="2" t="str">
        <f t="shared" si="35"/>
        <v>w/ shrub</v>
      </c>
      <c r="S175" s="2" t="b">
        <f t="shared" si="40"/>
        <v>1</v>
      </c>
      <c r="T175">
        <v>17</v>
      </c>
      <c r="U175">
        <v>174</v>
      </c>
      <c r="V175" t="s">
        <v>39</v>
      </c>
      <c r="W175">
        <v>4665100.9869999997</v>
      </c>
      <c r="X175">
        <v>360282.43900000001</v>
      </c>
      <c r="Y175">
        <v>1.194</v>
      </c>
      <c r="AA175">
        <v>174</v>
      </c>
    </row>
    <row r="176" spans="1:27" hidden="1" x14ac:dyDescent="0.25">
      <c r="A176" t="s">
        <v>74</v>
      </c>
      <c r="B176">
        <v>20</v>
      </c>
      <c r="C176" t="s">
        <v>75</v>
      </c>
      <c r="D176">
        <v>2019</v>
      </c>
      <c r="E176">
        <f t="shared" si="39"/>
        <v>67</v>
      </c>
      <c r="F176">
        <f t="shared" si="29"/>
        <v>175</v>
      </c>
      <c r="G176" t="s">
        <v>45</v>
      </c>
      <c r="H176" t="str">
        <f t="shared" si="30"/>
        <v>08</v>
      </c>
      <c r="I176" t="str">
        <f t="shared" si="31"/>
        <v>a</v>
      </c>
      <c r="J176" t="str">
        <f t="shared" si="38"/>
        <v>Line</v>
      </c>
      <c r="K176">
        <v>4665084.2850000001</v>
      </c>
      <c r="L176">
        <v>360255.39299999998</v>
      </c>
      <c r="M176">
        <v>1.2270000000000001</v>
      </c>
      <c r="O176" s="1"/>
      <c r="P176" s="2">
        <f t="shared" si="34"/>
        <v>184</v>
      </c>
      <c r="Q176" s="2" t="b">
        <f t="shared" si="36"/>
        <v>1</v>
      </c>
      <c r="R176" s="2">
        <f t="shared" si="35"/>
        <v>0</v>
      </c>
      <c r="S176" s="2" t="b">
        <f t="shared" si="40"/>
        <v>1</v>
      </c>
      <c r="T176">
        <v>17</v>
      </c>
      <c r="U176">
        <v>175</v>
      </c>
      <c r="V176" t="s">
        <v>39</v>
      </c>
      <c r="W176">
        <v>4665098.4539999999</v>
      </c>
      <c r="X176">
        <v>360277.17800000001</v>
      </c>
      <c r="Y176">
        <v>1.1970000000000001</v>
      </c>
      <c r="AA176">
        <v>175</v>
      </c>
    </row>
    <row r="177" spans="1:27" hidden="1" x14ac:dyDescent="0.25">
      <c r="A177" t="s">
        <v>74</v>
      </c>
      <c r="B177">
        <v>20</v>
      </c>
      <c r="C177" t="s">
        <v>75</v>
      </c>
      <c r="D177">
        <v>2019</v>
      </c>
      <c r="E177">
        <f t="shared" si="39"/>
        <v>67</v>
      </c>
      <c r="F177">
        <f t="shared" si="29"/>
        <v>176</v>
      </c>
      <c r="G177" t="s">
        <v>45</v>
      </c>
      <c r="H177" t="str">
        <f t="shared" si="30"/>
        <v>08</v>
      </c>
      <c r="I177" t="str">
        <f t="shared" si="31"/>
        <v>a</v>
      </c>
      <c r="J177" t="str">
        <f t="shared" si="38"/>
        <v>Line</v>
      </c>
      <c r="K177">
        <v>4665079.1500000004</v>
      </c>
      <c r="L177">
        <v>360245.94300000003</v>
      </c>
      <c r="M177">
        <v>1.2689999999999999</v>
      </c>
      <c r="N177" t="s">
        <v>48</v>
      </c>
      <c r="O177" s="1"/>
      <c r="P177" s="2">
        <f t="shared" si="34"/>
        <v>185</v>
      </c>
      <c r="Q177" s="2" t="b">
        <f t="shared" si="36"/>
        <v>1</v>
      </c>
      <c r="R177" s="2" t="str">
        <f t="shared" si="35"/>
        <v>small purple flowers between 184 - 185</v>
      </c>
      <c r="S177" s="2" t="b">
        <f t="shared" si="40"/>
        <v>1</v>
      </c>
      <c r="T177">
        <v>17</v>
      </c>
      <c r="U177">
        <v>176</v>
      </c>
      <c r="V177" t="s">
        <v>45</v>
      </c>
      <c r="W177">
        <v>4665097.3509999998</v>
      </c>
      <c r="X177">
        <v>360275.37300000002</v>
      </c>
      <c r="Y177">
        <v>1.1970000000000001</v>
      </c>
      <c r="Z177" t="s">
        <v>46</v>
      </c>
      <c r="AA177">
        <v>176</v>
      </c>
    </row>
    <row r="178" spans="1:27" hidden="1" x14ac:dyDescent="0.25">
      <c r="A178" t="s">
        <v>74</v>
      </c>
      <c r="B178">
        <v>20</v>
      </c>
      <c r="C178" t="s">
        <v>75</v>
      </c>
      <c r="D178">
        <v>2019</v>
      </c>
      <c r="E178">
        <f t="shared" si="39"/>
        <v>68</v>
      </c>
      <c r="F178">
        <f t="shared" si="29"/>
        <v>177</v>
      </c>
      <c r="G178" t="s">
        <v>17</v>
      </c>
      <c r="H178" t="str">
        <f t="shared" si="30"/>
        <v>06</v>
      </c>
      <c r="I178" t="str">
        <f t="shared" si="31"/>
        <v>a</v>
      </c>
      <c r="J178" t="str">
        <f t="shared" si="38"/>
        <v>Line</v>
      </c>
      <c r="K178">
        <v>4665078.3689999999</v>
      </c>
      <c r="L178">
        <v>360243.89799999999</v>
      </c>
      <c r="M178">
        <v>1.204</v>
      </c>
      <c r="O178" s="1"/>
      <c r="P178" s="2">
        <f t="shared" si="34"/>
        <v>186</v>
      </c>
      <c r="Q178" s="2" t="b">
        <f t="shared" si="36"/>
        <v>1</v>
      </c>
      <c r="R178" s="2">
        <f t="shared" si="35"/>
        <v>0</v>
      </c>
      <c r="S178" s="2" t="b">
        <f t="shared" si="40"/>
        <v>1</v>
      </c>
      <c r="T178">
        <v>17</v>
      </c>
      <c r="U178">
        <v>177</v>
      </c>
      <c r="V178" t="s">
        <v>45</v>
      </c>
      <c r="W178">
        <v>4665092.4479999999</v>
      </c>
      <c r="X178">
        <v>360266.84100000001</v>
      </c>
      <c r="Y178">
        <v>1.1879999999999999</v>
      </c>
      <c r="AA178">
        <v>177</v>
      </c>
    </row>
    <row r="179" spans="1:27" hidden="1" x14ac:dyDescent="0.25">
      <c r="A179" t="s">
        <v>74</v>
      </c>
      <c r="B179">
        <v>20</v>
      </c>
      <c r="C179" t="s">
        <v>75</v>
      </c>
      <c r="D179">
        <v>2019</v>
      </c>
      <c r="E179">
        <f t="shared" si="39"/>
        <v>68</v>
      </c>
      <c r="F179">
        <f t="shared" si="29"/>
        <v>178</v>
      </c>
      <c r="G179" t="s">
        <v>17</v>
      </c>
      <c r="H179" t="str">
        <f t="shared" si="30"/>
        <v>06</v>
      </c>
      <c r="I179" t="str">
        <f t="shared" si="31"/>
        <v>a</v>
      </c>
      <c r="J179" t="str">
        <f t="shared" si="38"/>
        <v>Line</v>
      </c>
      <c r="K179">
        <v>4665077.62</v>
      </c>
      <c r="L179">
        <v>360240.72399999999</v>
      </c>
      <c r="M179">
        <v>1.214</v>
      </c>
      <c r="O179" s="1"/>
      <c r="P179" s="2">
        <f t="shared" si="34"/>
        <v>187</v>
      </c>
      <c r="Q179" s="2" t="b">
        <f t="shared" si="36"/>
        <v>1</v>
      </c>
      <c r="R179" s="2">
        <f t="shared" si="35"/>
        <v>0</v>
      </c>
      <c r="S179" s="2" t="b">
        <f t="shared" si="40"/>
        <v>1</v>
      </c>
      <c r="T179">
        <v>17</v>
      </c>
      <c r="U179">
        <v>178</v>
      </c>
      <c r="V179" t="s">
        <v>39</v>
      </c>
      <c r="W179">
        <v>4665091.3370000003</v>
      </c>
      <c r="X179">
        <v>360265.09700000001</v>
      </c>
      <c r="Y179">
        <v>1.1639999999999999</v>
      </c>
      <c r="Z179" t="s">
        <v>6</v>
      </c>
      <c r="AA179">
        <v>178</v>
      </c>
    </row>
    <row r="180" spans="1:27" hidden="1" x14ac:dyDescent="0.25">
      <c r="A180" t="s">
        <v>74</v>
      </c>
      <c r="B180">
        <v>20</v>
      </c>
      <c r="C180" t="s">
        <v>75</v>
      </c>
      <c r="D180">
        <v>2019</v>
      </c>
      <c r="E180">
        <f t="shared" si="39"/>
        <v>69</v>
      </c>
      <c r="F180">
        <f t="shared" si="29"/>
        <v>179</v>
      </c>
      <c r="G180" t="s">
        <v>39</v>
      </c>
      <c r="H180" t="str">
        <f t="shared" si="30"/>
        <v>08</v>
      </c>
      <c r="I180" t="str">
        <f t="shared" si="31"/>
        <v>b</v>
      </c>
      <c r="J180" t="str">
        <f t="shared" si="38"/>
        <v>MU</v>
      </c>
      <c r="K180">
        <v>4665077.074</v>
      </c>
      <c r="L180">
        <v>360238.63299999997</v>
      </c>
      <c r="M180">
        <v>1.2010000000000001</v>
      </c>
      <c r="N180" t="s">
        <v>49</v>
      </c>
      <c r="O180" s="1"/>
      <c r="P180" s="2">
        <f t="shared" si="34"/>
        <v>188</v>
      </c>
      <c r="Q180" s="2" t="b">
        <f t="shared" si="36"/>
        <v>1</v>
      </c>
      <c r="R180" s="2" t="str">
        <f t="shared" si="35"/>
        <v xml:space="preserve">1 mu </v>
      </c>
      <c r="S180" s="2" t="b">
        <f t="shared" si="40"/>
        <v>1</v>
      </c>
      <c r="T180">
        <v>17</v>
      </c>
      <c r="U180">
        <v>179</v>
      </c>
      <c r="V180" t="s">
        <v>45</v>
      </c>
      <c r="W180">
        <v>4665090.0080000004</v>
      </c>
      <c r="X180">
        <v>360263.49099999998</v>
      </c>
      <c r="Y180">
        <v>1.1679999999999999</v>
      </c>
      <c r="AA180">
        <v>179</v>
      </c>
    </row>
    <row r="181" spans="1:27" hidden="1" x14ac:dyDescent="0.25">
      <c r="A181" t="s">
        <v>74</v>
      </c>
      <c r="B181">
        <v>20</v>
      </c>
      <c r="C181" t="s">
        <v>75</v>
      </c>
      <c r="D181">
        <v>2019</v>
      </c>
      <c r="E181">
        <f t="shared" si="39"/>
        <v>70</v>
      </c>
      <c r="F181">
        <f t="shared" si="29"/>
        <v>180</v>
      </c>
      <c r="G181" t="s">
        <v>40</v>
      </c>
      <c r="H181" t="str">
        <f t="shared" si="30"/>
        <v>07</v>
      </c>
      <c r="I181" t="str">
        <f t="shared" si="31"/>
        <v>a</v>
      </c>
      <c r="J181" t="str">
        <f t="shared" si="38"/>
        <v>Line</v>
      </c>
      <c r="K181">
        <v>4665076.517</v>
      </c>
      <c r="L181">
        <v>360236.64</v>
      </c>
      <c r="M181">
        <v>1.2230000000000001</v>
      </c>
      <c r="N181" t="s">
        <v>50</v>
      </c>
      <c r="O181" s="1"/>
      <c r="P181" s="2">
        <f t="shared" si="34"/>
        <v>189</v>
      </c>
      <c r="Q181" s="2" t="b">
        <f t="shared" si="36"/>
        <v>1</v>
      </c>
      <c r="R181" s="2" t="str">
        <f t="shared" si="35"/>
        <v>mixed with some juncus  40%</v>
      </c>
      <c r="S181" s="2" t="b">
        <f t="shared" si="40"/>
        <v>1</v>
      </c>
      <c r="T181">
        <v>17</v>
      </c>
      <c r="U181">
        <v>180</v>
      </c>
      <c r="V181" t="s">
        <v>45</v>
      </c>
      <c r="W181">
        <v>4665089.0049999999</v>
      </c>
      <c r="X181">
        <v>360262.33100000001</v>
      </c>
      <c r="Y181">
        <v>1.165</v>
      </c>
      <c r="AA181">
        <v>180</v>
      </c>
    </row>
    <row r="182" spans="1:27" hidden="1" x14ac:dyDescent="0.25">
      <c r="A182" t="s">
        <v>74</v>
      </c>
      <c r="B182">
        <v>20</v>
      </c>
      <c r="C182" t="s">
        <v>75</v>
      </c>
      <c r="D182">
        <v>2019</v>
      </c>
      <c r="E182">
        <f t="shared" si="39"/>
        <v>70</v>
      </c>
      <c r="F182">
        <f t="shared" si="29"/>
        <v>181</v>
      </c>
      <c r="G182" t="s">
        <v>40</v>
      </c>
      <c r="H182" t="str">
        <f t="shared" si="30"/>
        <v>07</v>
      </c>
      <c r="I182" t="str">
        <f t="shared" si="31"/>
        <v>a</v>
      </c>
      <c r="J182" t="str">
        <f t="shared" si="38"/>
        <v>Line</v>
      </c>
      <c r="K182">
        <v>4665075.9029999999</v>
      </c>
      <c r="L182">
        <v>360234.18300000002</v>
      </c>
      <c r="M182">
        <v>1.2150000000000001</v>
      </c>
      <c r="N182" t="s">
        <v>50</v>
      </c>
      <c r="O182" s="1"/>
      <c r="P182" s="2">
        <f t="shared" si="34"/>
        <v>190</v>
      </c>
      <c r="Q182" s="2" t="b">
        <f t="shared" si="36"/>
        <v>1</v>
      </c>
      <c r="R182" s="2" t="str">
        <f t="shared" si="35"/>
        <v>mixed with some juncus  40%</v>
      </c>
      <c r="S182" s="2" t="b">
        <f t="shared" si="40"/>
        <v>1</v>
      </c>
      <c r="T182">
        <v>17</v>
      </c>
      <c r="U182">
        <v>181</v>
      </c>
      <c r="V182" t="s">
        <v>17</v>
      </c>
      <c r="W182">
        <v>4665087.59</v>
      </c>
      <c r="X182">
        <v>360260.745</v>
      </c>
      <c r="Y182">
        <v>1.149</v>
      </c>
      <c r="Z182" t="s">
        <v>6</v>
      </c>
      <c r="AA182">
        <v>181</v>
      </c>
    </row>
    <row r="183" spans="1:27" hidden="1" x14ac:dyDescent="0.25">
      <c r="A183" t="s">
        <v>74</v>
      </c>
      <c r="B183">
        <v>20</v>
      </c>
      <c r="C183" t="s">
        <v>75</v>
      </c>
      <c r="D183">
        <v>2019</v>
      </c>
      <c r="E183">
        <f t="shared" si="39"/>
        <v>71</v>
      </c>
      <c r="F183">
        <f t="shared" si="29"/>
        <v>182</v>
      </c>
      <c r="G183" t="s">
        <v>39</v>
      </c>
      <c r="H183" t="str">
        <f t="shared" si="30"/>
        <v>08</v>
      </c>
      <c r="I183" t="str">
        <f t="shared" si="31"/>
        <v>b</v>
      </c>
      <c r="J183" t="str">
        <f t="shared" si="38"/>
        <v>MU</v>
      </c>
      <c r="K183">
        <v>4665074.8269999996</v>
      </c>
      <c r="L183">
        <v>360232.39899999998</v>
      </c>
      <c r="M183">
        <v>1.224</v>
      </c>
      <c r="N183" t="s">
        <v>6</v>
      </c>
      <c r="O183" s="1"/>
      <c r="P183" s="2">
        <f t="shared" si="34"/>
        <v>191</v>
      </c>
      <c r="Q183" s="2" t="b">
        <f t="shared" si="36"/>
        <v>1</v>
      </c>
      <c r="R183" s="2" t="str">
        <f t="shared" si="35"/>
        <v>1 mu</v>
      </c>
      <c r="S183" s="2" t="b">
        <f t="shared" si="40"/>
        <v>1</v>
      </c>
      <c r="T183">
        <v>17</v>
      </c>
      <c r="U183">
        <v>182</v>
      </c>
      <c r="V183" t="s">
        <v>39</v>
      </c>
      <c r="W183">
        <v>4665086.3059999999</v>
      </c>
      <c r="X183">
        <v>360259.10499999998</v>
      </c>
      <c r="Y183">
        <v>1.181</v>
      </c>
      <c r="AA183">
        <v>182</v>
      </c>
    </row>
    <row r="184" spans="1:27" hidden="1" x14ac:dyDescent="0.25">
      <c r="A184" t="s">
        <v>74</v>
      </c>
      <c r="B184">
        <v>20</v>
      </c>
      <c r="C184" t="s">
        <v>75</v>
      </c>
      <c r="D184">
        <v>2019</v>
      </c>
      <c r="E184">
        <f t="shared" si="39"/>
        <v>72</v>
      </c>
      <c r="F184">
        <f t="shared" si="29"/>
        <v>183</v>
      </c>
      <c r="G184" t="s">
        <v>45</v>
      </c>
      <c r="H184" t="str">
        <f t="shared" si="30"/>
        <v>08</v>
      </c>
      <c r="I184" t="str">
        <f t="shared" si="31"/>
        <v>a</v>
      </c>
      <c r="J184" t="str">
        <f t="shared" si="38"/>
        <v>MU</v>
      </c>
      <c r="K184">
        <v>4665073.4749999996</v>
      </c>
      <c r="L184">
        <v>360230.663</v>
      </c>
      <c r="M184">
        <v>1.202</v>
      </c>
      <c r="N184" t="s">
        <v>51</v>
      </c>
      <c r="O184" s="1"/>
      <c r="P184" s="2">
        <f t="shared" si="34"/>
        <v>192</v>
      </c>
      <c r="Q184" s="2" t="b">
        <f t="shared" si="36"/>
        <v>1</v>
      </c>
      <c r="R184" s="2" t="str">
        <f t="shared" si="35"/>
        <v>mixed with short form 40%, 1 mu</v>
      </c>
      <c r="S184" s="2" t="b">
        <f t="shared" si="40"/>
        <v>1</v>
      </c>
      <c r="T184">
        <v>17</v>
      </c>
      <c r="U184">
        <v>183</v>
      </c>
      <c r="V184" t="s">
        <v>39</v>
      </c>
      <c r="W184">
        <v>4665085.2300000004</v>
      </c>
      <c r="X184">
        <v>360257.02500000002</v>
      </c>
      <c r="Y184">
        <v>1.1970000000000001</v>
      </c>
      <c r="Z184" t="s">
        <v>47</v>
      </c>
      <c r="AA184">
        <v>183</v>
      </c>
    </row>
    <row r="185" spans="1:27" hidden="1" x14ac:dyDescent="0.25">
      <c r="A185" t="s">
        <v>74</v>
      </c>
      <c r="B185">
        <v>20</v>
      </c>
      <c r="C185" t="s">
        <v>75</v>
      </c>
      <c r="D185">
        <v>2019</v>
      </c>
      <c r="E185">
        <f t="shared" si="39"/>
        <v>73</v>
      </c>
      <c r="F185">
        <f t="shared" ref="F185:F216" si="41">1+F184</f>
        <v>184</v>
      </c>
      <c r="G185" t="s">
        <v>5</v>
      </c>
      <c r="H185" t="str">
        <f t="shared" si="30"/>
        <v>04</v>
      </c>
      <c r="I185" t="str">
        <f t="shared" si="31"/>
        <v>a</v>
      </c>
      <c r="J185" t="str">
        <f t="shared" si="38"/>
        <v>Line</v>
      </c>
      <c r="K185">
        <v>4665072.5779999997</v>
      </c>
      <c r="L185">
        <v>360228.89399999997</v>
      </c>
      <c r="M185">
        <v>1.216</v>
      </c>
      <c r="O185" s="1"/>
      <c r="P185" s="2">
        <f t="shared" si="34"/>
        <v>193</v>
      </c>
      <c r="Q185" s="2" t="b">
        <f t="shared" si="36"/>
        <v>1</v>
      </c>
      <c r="R185" s="2">
        <f t="shared" si="35"/>
        <v>0</v>
      </c>
      <c r="S185" s="2" t="b">
        <f t="shared" si="40"/>
        <v>1</v>
      </c>
      <c r="T185">
        <v>17</v>
      </c>
      <c r="U185">
        <v>184</v>
      </c>
      <c r="V185" t="s">
        <v>45</v>
      </c>
      <c r="W185">
        <v>4665084.2850000001</v>
      </c>
      <c r="X185">
        <v>360255.39299999998</v>
      </c>
      <c r="Y185">
        <v>1.2270000000000001</v>
      </c>
      <c r="AA185">
        <v>184</v>
      </c>
    </row>
    <row r="186" spans="1:27" hidden="1" x14ac:dyDescent="0.25">
      <c r="A186" t="s">
        <v>74</v>
      </c>
      <c r="B186">
        <v>20</v>
      </c>
      <c r="C186" t="s">
        <v>75</v>
      </c>
      <c r="D186">
        <v>2019</v>
      </c>
      <c r="E186">
        <f t="shared" si="39"/>
        <v>73</v>
      </c>
      <c r="F186">
        <f t="shared" si="41"/>
        <v>185</v>
      </c>
      <c r="G186" t="s">
        <v>5</v>
      </c>
      <c r="H186" t="str">
        <f t="shared" ref="H186:H217" si="42">LEFT(G186,2)</f>
        <v>04</v>
      </c>
      <c r="I186" t="str">
        <f t="shared" ref="I186:I217" si="43">RIGHT(G186,LEN(G186)-LEN(H186))</f>
        <v>a</v>
      </c>
      <c r="J186" t="str">
        <f t="shared" si="38"/>
        <v>Line</v>
      </c>
      <c r="K186">
        <v>4665070.318</v>
      </c>
      <c r="L186">
        <v>360225.08299999998</v>
      </c>
      <c r="M186">
        <v>1.2410000000000001</v>
      </c>
      <c r="O186" s="1"/>
      <c r="P186" s="2">
        <f t="shared" si="34"/>
        <v>194</v>
      </c>
      <c r="Q186" s="2" t="b">
        <f t="shared" si="36"/>
        <v>1</v>
      </c>
      <c r="R186" s="2">
        <f t="shared" si="35"/>
        <v>0</v>
      </c>
      <c r="S186" s="2" t="b">
        <f t="shared" si="40"/>
        <v>1</v>
      </c>
      <c r="T186">
        <v>17</v>
      </c>
      <c r="U186">
        <v>185</v>
      </c>
      <c r="V186" t="s">
        <v>45</v>
      </c>
      <c r="W186">
        <v>4665079.1500000004</v>
      </c>
      <c r="X186">
        <v>360245.94300000003</v>
      </c>
      <c r="Y186">
        <v>1.2689999999999999</v>
      </c>
      <c r="Z186" t="s">
        <v>48</v>
      </c>
      <c r="AA186">
        <v>185</v>
      </c>
    </row>
    <row r="187" spans="1:27" hidden="1" x14ac:dyDescent="0.25">
      <c r="A187" t="s">
        <v>74</v>
      </c>
      <c r="B187">
        <v>20</v>
      </c>
      <c r="C187" t="s">
        <v>75</v>
      </c>
      <c r="D187">
        <v>2019</v>
      </c>
      <c r="E187">
        <f t="shared" si="39"/>
        <v>74</v>
      </c>
      <c r="F187">
        <f t="shared" si="41"/>
        <v>186</v>
      </c>
      <c r="G187" t="s">
        <v>4</v>
      </c>
      <c r="H187" t="str">
        <f t="shared" si="42"/>
        <v>03</v>
      </c>
      <c r="I187" t="str">
        <f t="shared" si="43"/>
        <v>a</v>
      </c>
      <c r="J187" t="str">
        <f t="shared" si="38"/>
        <v>MU</v>
      </c>
      <c r="K187">
        <v>4665069.1610000003</v>
      </c>
      <c r="L187">
        <v>360223.35499999998</v>
      </c>
      <c r="M187">
        <v>1.256</v>
      </c>
      <c r="N187" t="s">
        <v>6</v>
      </c>
      <c r="O187" s="1"/>
      <c r="P187" s="2">
        <f t="shared" si="34"/>
        <v>195</v>
      </c>
      <c r="Q187" s="2" t="b">
        <f t="shared" si="36"/>
        <v>1</v>
      </c>
      <c r="R187" s="2" t="str">
        <f t="shared" si="35"/>
        <v>1 mu</v>
      </c>
      <c r="S187" s="2" t="b">
        <f t="shared" si="40"/>
        <v>1</v>
      </c>
      <c r="T187">
        <v>17</v>
      </c>
      <c r="U187">
        <v>186</v>
      </c>
      <c r="V187" t="s">
        <v>17</v>
      </c>
      <c r="W187">
        <v>4665078.3689999999</v>
      </c>
      <c r="X187">
        <v>360243.89799999999</v>
      </c>
      <c r="Y187">
        <v>1.204</v>
      </c>
      <c r="AA187">
        <v>186</v>
      </c>
    </row>
    <row r="188" spans="1:27" hidden="1" x14ac:dyDescent="0.25">
      <c r="A188" t="s">
        <v>74</v>
      </c>
      <c r="B188">
        <v>20</v>
      </c>
      <c r="C188" t="s">
        <v>75</v>
      </c>
      <c r="D188">
        <v>2019</v>
      </c>
      <c r="E188">
        <f t="shared" si="39"/>
        <v>75</v>
      </c>
      <c r="F188">
        <f t="shared" si="41"/>
        <v>187</v>
      </c>
      <c r="G188" t="s">
        <v>5</v>
      </c>
      <c r="H188" t="str">
        <f t="shared" si="42"/>
        <v>04</v>
      </c>
      <c r="I188" t="str">
        <f t="shared" si="43"/>
        <v>a</v>
      </c>
      <c r="J188" t="str">
        <f t="shared" si="38"/>
        <v>Line</v>
      </c>
      <c r="K188">
        <v>4665068.3619999997</v>
      </c>
      <c r="L188">
        <v>360221.36900000001</v>
      </c>
      <c r="M188">
        <v>1.2569999999999999</v>
      </c>
      <c r="O188" s="1"/>
      <c r="P188" s="2">
        <f t="shared" si="34"/>
        <v>196</v>
      </c>
      <c r="Q188" s="2" t="b">
        <f t="shared" si="36"/>
        <v>1</v>
      </c>
      <c r="R188" s="2">
        <f t="shared" si="35"/>
        <v>0</v>
      </c>
      <c r="S188" s="2" t="b">
        <f t="shared" si="40"/>
        <v>1</v>
      </c>
      <c r="T188">
        <v>17</v>
      </c>
      <c r="U188">
        <v>187</v>
      </c>
      <c r="V188" t="s">
        <v>17</v>
      </c>
      <c r="W188">
        <v>4665077.62</v>
      </c>
      <c r="X188">
        <v>360240.72399999999</v>
      </c>
      <c r="Y188">
        <v>1.214</v>
      </c>
      <c r="AA188">
        <v>187</v>
      </c>
    </row>
    <row r="189" spans="1:27" hidden="1" x14ac:dyDescent="0.25">
      <c r="A189" t="s">
        <v>74</v>
      </c>
      <c r="B189">
        <v>20</v>
      </c>
      <c r="C189" t="s">
        <v>75</v>
      </c>
      <c r="D189">
        <v>2019</v>
      </c>
      <c r="E189">
        <f t="shared" si="39"/>
        <v>75</v>
      </c>
      <c r="F189">
        <f t="shared" si="41"/>
        <v>188</v>
      </c>
      <c r="G189" t="s">
        <v>5</v>
      </c>
      <c r="H189" t="str">
        <f t="shared" si="42"/>
        <v>04</v>
      </c>
      <c r="I189" t="str">
        <f t="shared" si="43"/>
        <v>a</v>
      </c>
      <c r="J189" t="str">
        <f t="shared" ref="J189:J212" si="44">IF(OR((E189=E190),(E189=E188)),"Line","MU")</f>
        <v>Line</v>
      </c>
      <c r="K189">
        <v>4665067.6909999996</v>
      </c>
      <c r="L189">
        <v>360219.06400000001</v>
      </c>
      <c r="M189">
        <v>1.266</v>
      </c>
      <c r="O189" s="1"/>
      <c r="P189" s="2">
        <f t="shared" si="34"/>
        <v>197</v>
      </c>
      <c r="Q189" s="2" t="b">
        <f t="shared" si="36"/>
        <v>1</v>
      </c>
      <c r="R189" s="2">
        <f t="shared" si="35"/>
        <v>0</v>
      </c>
      <c r="S189" s="2" t="b">
        <f t="shared" si="40"/>
        <v>1</v>
      </c>
      <c r="T189">
        <v>17</v>
      </c>
      <c r="U189">
        <v>188</v>
      </c>
      <c r="V189" t="s">
        <v>39</v>
      </c>
      <c r="W189">
        <v>4665077.074</v>
      </c>
      <c r="X189">
        <v>360238.63299999997</v>
      </c>
      <c r="Y189">
        <v>1.2010000000000001</v>
      </c>
      <c r="Z189" t="s">
        <v>49</v>
      </c>
      <c r="AA189">
        <v>188</v>
      </c>
    </row>
    <row r="190" spans="1:27" hidden="1" x14ac:dyDescent="0.25">
      <c r="A190" t="s">
        <v>74</v>
      </c>
      <c r="B190">
        <v>20</v>
      </c>
      <c r="C190" t="s">
        <v>75</v>
      </c>
      <c r="D190">
        <v>2019</v>
      </c>
      <c r="E190">
        <f t="shared" si="39"/>
        <v>76</v>
      </c>
      <c r="F190">
        <f t="shared" si="41"/>
        <v>189</v>
      </c>
      <c r="G190" t="s">
        <v>4</v>
      </c>
      <c r="H190" t="str">
        <f t="shared" si="42"/>
        <v>03</v>
      </c>
      <c r="I190" t="str">
        <f t="shared" si="43"/>
        <v>a</v>
      </c>
      <c r="J190" t="str">
        <f t="shared" si="44"/>
        <v>Line</v>
      </c>
      <c r="K190">
        <v>4665066.9539999999</v>
      </c>
      <c r="L190">
        <v>360217.09899999999</v>
      </c>
      <c r="M190">
        <v>1.28</v>
      </c>
      <c r="O190" s="1"/>
      <c r="P190" s="2">
        <f t="shared" si="34"/>
        <v>198</v>
      </c>
      <c r="Q190" s="2" t="b">
        <f t="shared" si="36"/>
        <v>1</v>
      </c>
      <c r="R190" s="2">
        <f t="shared" si="35"/>
        <v>0</v>
      </c>
      <c r="S190" s="2" t="b">
        <f t="shared" si="40"/>
        <v>1</v>
      </c>
      <c r="T190">
        <v>17</v>
      </c>
      <c r="U190">
        <v>189</v>
      </c>
      <c r="V190" t="s">
        <v>40</v>
      </c>
      <c r="W190">
        <v>4665076.517</v>
      </c>
      <c r="X190">
        <v>360236.64</v>
      </c>
      <c r="Y190">
        <v>1.2230000000000001</v>
      </c>
      <c r="Z190" t="s">
        <v>50</v>
      </c>
      <c r="AA190">
        <v>189</v>
      </c>
    </row>
    <row r="191" spans="1:27" hidden="1" x14ac:dyDescent="0.25">
      <c r="A191" t="s">
        <v>74</v>
      </c>
      <c r="B191">
        <v>20</v>
      </c>
      <c r="C191" t="s">
        <v>75</v>
      </c>
      <c r="D191">
        <v>2019</v>
      </c>
      <c r="E191">
        <f t="shared" si="39"/>
        <v>76</v>
      </c>
      <c r="F191">
        <f t="shared" si="41"/>
        <v>190</v>
      </c>
      <c r="G191" t="s">
        <v>4</v>
      </c>
      <c r="H191" t="str">
        <f t="shared" si="42"/>
        <v>03</v>
      </c>
      <c r="I191" t="str">
        <f t="shared" si="43"/>
        <v>a</v>
      </c>
      <c r="J191" t="str">
        <f t="shared" si="44"/>
        <v>Line</v>
      </c>
      <c r="K191">
        <v>4665065.5369999995</v>
      </c>
      <c r="L191">
        <v>360213.76400000002</v>
      </c>
      <c r="M191">
        <v>1.254</v>
      </c>
      <c r="O191" s="1"/>
      <c r="P191" s="2">
        <f t="shared" si="34"/>
        <v>199</v>
      </c>
      <c r="Q191" s="2" t="b">
        <f t="shared" si="36"/>
        <v>1</v>
      </c>
      <c r="R191" s="2">
        <f t="shared" si="35"/>
        <v>0</v>
      </c>
      <c r="S191" s="2" t="b">
        <f t="shared" si="40"/>
        <v>1</v>
      </c>
      <c r="T191">
        <v>17</v>
      </c>
      <c r="U191">
        <v>190</v>
      </c>
      <c r="V191" t="s">
        <v>40</v>
      </c>
      <c r="W191">
        <v>4665075.9029999999</v>
      </c>
      <c r="X191">
        <v>360234.18300000002</v>
      </c>
      <c r="Y191">
        <v>1.2150000000000001</v>
      </c>
      <c r="Z191" t="s">
        <v>50</v>
      </c>
      <c r="AA191">
        <v>190</v>
      </c>
    </row>
    <row r="192" spans="1:27" hidden="1" x14ac:dyDescent="0.25">
      <c r="A192" t="s">
        <v>74</v>
      </c>
      <c r="B192">
        <v>20</v>
      </c>
      <c r="C192" t="s">
        <v>75</v>
      </c>
      <c r="D192">
        <v>2019</v>
      </c>
      <c r="E192">
        <f t="shared" ref="E192:E223" si="45">IF(G192=G191,E191,E191+1)</f>
        <v>76</v>
      </c>
      <c r="F192">
        <f t="shared" si="41"/>
        <v>191</v>
      </c>
      <c r="G192" t="s">
        <v>4</v>
      </c>
      <c r="H192" t="str">
        <f t="shared" si="42"/>
        <v>03</v>
      </c>
      <c r="I192" t="str">
        <f t="shared" si="43"/>
        <v>a</v>
      </c>
      <c r="J192" t="str">
        <f t="shared" si="44"/>
        <v>Line</v>
      </c>
      <c r="K192">
        <v>4665064.6519999998</v>
      </c>
      <c r="L192">
        <v>360211.103</v>
      </c>
      <c r="M192">
        <v>1.3140000000000001</v>
      </c>
      <c r="O192" s="1"/>
      <c r="P192" s="2">
        <f t="shared" si="34"/>
        <v>200</v>
      </c>
      <c r="Q192" s="2" t="b">
        <f t="shared" si="36"/>
        <v>1</v>
      </c>
      <c r="R192" s="2">
        <f t="shared" si="35"/>
        <v>0</v>
      </c>
      <c r="S192" s="2" t="b">
        <f t="shared" si="40"/>
        <v>1</v>
      </c>
      <c r="T192">
        <v>17</v>
      </c>
      <c r="U192">
        <v>191</v>
      </c>
      <c r="V192" t="s">
        <v>39</v>
      </c>
      <c r="W192">
        <v>4665074.8269999996</v>
      </c>
      <c r="X192">
        <v>360232.39899999998</v>
      </c>
      <c r="Y192">
        <v>1.224</v>
      </c>
      <c r="Z192" t="s">
        <v>6</v>
      </c>
      <c r="AA192">
        <v>191</v>
      </c>
    </row>
    <row r="193" spans="1:27" hidden="1" x14ac:dyDescent="0.25">
      <c r="A193" t="s">
        <v>74</v>
      </c>
      <c r="B193">
        <v>20</v>
      </c>
      <c r="C193" t="s">
        <v>75</v>
      </c>
      <c r="D193">
        <v>2019</v>
      </c>
      <c r="E193">
        <f t="shared" si="45"/>
        <v>77</v>
      </c>
      <c r="F193">
        <f t="shared" si="41"/>
        <v>192</v>
      </c>
      <c r="G193">
        <v>33</v>
      </c>
      <c r="H193" t="str">
        <f t="shared" si="42"/>
        <v>33</v>
      </c>
      <c r="I193" t="str">
        <f t="shared" si="43"/>
        <v/>
      </c>
      <c r="J193" t="str">
        <f t="shared" si="44"/>
        <v>MU</v>
      </c>
      <c r="K193">
        <v>4665063.7340000002</v>
      </c>
      <c r="L193">
        <v>360209.158</v>
      </c>
      <c r="M193">
        <v>1.234</v>
      </c>
      <c r="N193" t="s">
        <v>52</v>
      </c>
      <c r="O193" s="1"/>
      <c r="P193" s="2">
        <f t="shared" si="34"/>
        <v>201</v>
      </c>
      <c r="Q193" s="2" t="b">
        <f t="shared" si="36"/>
        <v>1</v>
      </c>
      <c r="R193" s="2" t="str">
        <f t="shared" si="35"/>
        <v>tiny patch of SSA, 1 mu</v>
      </c>
      <c r="S193" s="2" t="b">
        <f t="shared" si="40"/>
        <v>1</v>
      </c>
      <c r="T193">
        <v>17</v>
      </c>
      <c r="U193">
        <v>192</v>
      </c>
      <c r="V193" t="s">
        <v>45</v>
      </c>
      <c r="W193">
        <v>4665073.4749999996</v>
      </c>
      <c r="X193">
        <v>360230.663</v>
      </c>
      <c r="Y193">
        <v>1.202</v>
      </c>
      <c r="Z193" t="s">
        <v>51</v>
      </c>
      <c r="AA193">
        <v>192</v>
      </c>
    </row>
    <row r="194" spans="1:27" hidden="1" x14ac:dyDescent="0.25">
      <c r="A194" t="s">
        <v>74</v>
      </c>
      <c r="B194">
        <v>20</v>
      </c>
      <c r="C194" t="s">
        <v>75</v>
      </c>
      <c r="D194">
        <v>2019</v>
      </c>
      <c r="E194">
        <f t="shared" si="45"/>
        <v>78</v>
      </c>
      <c r="F194">
        <f t="shared" si="41"/>
        <v>193</v>
      </c>
      <c r="G194" t="s">
        <v>5</v>
      </c>
      <c r="H194" t="str">
        <f t="shared" si="42"/>
        <v>04</v>
      </c>
      <c r="I194" t="str">
        <f t="shared" si="43"/>
        <v>a</v>
      </c>
      <c r="J194" t="str">
        <f t="shared" si="44"/>
        <v>MU</v>
      </c>
      <c r="K194">
        <v>4665062.7039999999</v>
      </c>
      <c r="L194">
        <v>360207.288</v>
      </c>
      <c r="M194">
        <v>1.2769999999999999</v>
      </c>
      <c r="N194" t="s">
        <v>53</v>
      </c>
      <c r="O194" s="1"/>
      <c r="P194" s="2">
        <f t="shared" si="34"/>
        <v>202</v>
      </c>
      <c r="Q194" s="2" t="b">
        <f t="shared" si="36"/>
        <v>1</v>
      </c>
      <c r="R194" s="2" t="str">
        <f t="shared" si="35"/>
        <v>1 m, bare 30%</v>
      </c>
      <c r="S194" s="2" t="b">
        <f t="shared" si="40"/>
        <v>1</v>
      </c>
      <c r="T194">
        <v>17</v>
      </c>
      <c r="U194">
        <v>193</v>
      </c>
      <c r="V194" t="s">
        <v>5</v>
      </c>
      <c r="W194">
        <v>4665072.5779999997</v>
      </c>
      <c r="X194">
        <v>360228.89399999997</v>
      </c>
      <c r="Y194">
        <v>1.216</v>
      </c>
      <c r="AA194">
        <v>193</v>
      </c>
    </row>
    <row r="195" spans="1:27" hidden="1" x14ac:dyDescent="0.25">
      <c r="A195" t="s">
        <v>74</v>
      </c>
      <c r="B195">
        <v>20</v>
      </c>
      <c r="C195" t="s">
        <v>75</v>
      </c>
      <c r="D195">
        <v>2019</v>
      </c>
      <c r="E195">
        <f t="shared" si="45"/>
        <v>79</v>
      </c>
      <c r="F195">
        <f t="shared" si="41"/>
        <v>194</v>
      </c>
      <c r="G195" t="s">
        <v>54</v>
      </c>
      <c r="H195" t="str">
        <f t="shared" si="42"/>
        <v>03</v>
      </c>
      <c r="I195" t="str">
        <f t="shared" si="43"/>
        <v>b</v>
      </c>
      <c r="J195" t="str">
        <f t="shared" si="44"/>
        <v>MU</v>
      </c>
      <c r="K195">
        <v>4665061.3890000004</v>
      </c>
      <c r="L195">
        <v>360205.54300000001</v>
      </c>
      <c r="M195">
        <v>1.3129999999999999</v>
      </c>
      <c r="O195" s="1"/>
      <c r="P195" s="2">
        <f t="shared" ref="P195:P258" si="46">VLOOKUP(K195,W$1:AA$264,5,FALSE)</f>
        <v>203</v>
      </c>
      <c r="Q195" s="2" t="b">
        <f t="shared" si="36"/>
        <v>1</v>
      </c>
      <c r="R195" s="2">
        <f t="shared" ref="R195:R258" si="47">VLOOKUP(P195,U$1:Z$264,6)</f>
        <v>0</v>
      </c>
      <c r="S195" s="2" t="b">
        <f t="shared" si="40"/>
        <v>1</v>
      </c>
      <c r="T195">
        <v>17</v>
      </c>
      <c r="U195">
        <v>194</v>
      </c>
      <c r="V195" t="s">
        <v>5</v>
      </c>
      <c r="W195">
        <v>4665070.318</v>
      </c>
      <c r="X195">
        <v>360225.08299999998</v>
      </c>
      <c r="Y195">
        <v>1.2410000000000001</v>
      </c>
      <c r="AA195">
        <v>194</v>
      </c>
    </row>
    <row r="196" spans="1:27" hidden="1" x14ac:dyDescent="0.25">
      <c r="A196" t="s">
        <v>74</v>
      </c>
      <c r="B196">
        <v>20</v>
      </c>
      <c r="C196" t="s">
        <v>75</v>
      </c>
      <c r="D196">
        <v>2019</v>
      </c>
      <c r="E196">
        <f t="shared" si="45"/>
        <v>80</v>
      </c>
      <c r="F196">
        <f t="shared" si="41"/>
        <v>195</v>
      </c>
      <c r="G196" t="s">
        <v>17</v>
      </c>
      <c r="H196" t="str">
        <f t="shared" si="42"/>
        <v>06</v>
      </c>
      <c r="I196" t="str">
        <f t="shared" si="43"/>
        <v>a</v>
      </c>
      <c r="J196" t="str">
        <f t="shared" si="44"/>
        <v>MU</v>
      </c>
      <c r="K196">
        <v>4665060.0319999997</v>
      </c>
      <c r="L196">
        <v>360203.88</v>
      </c>
      <c r="M196">
        <v>1.3029999999999999</v>
      </c>
      <c r="N196" t="s">
        <v>6</v>
      </c>
      <c r="O196" s="1"/>
      <c r="P196" s="2">
        <f t="shared" si="46"/>
        <v>204</v>
      </c>
      <c r="Q196" s="2" t="b">
        <f t="shared" ref="Q196:Q259" si="48">IF(P196=(P195+1),TRUE, FALSE)</f>
        <v>1</v>
      </c>
      <c r="R196" s="2" t="str">
        <f t="shared" si="47"/>
        <v>1 mu</v>
      </c>
      <c r="S196" s="2" t="b">
        <f t="shared" si="40"/>
        <v>1</v>
      </c>
      <c r="T196">
        <v>17</v>
      </c>
      <c r="U196">
        <v>195</v>
      </c>
      <c r="V196" t="s">
        <v>4</v>
      </c>
      <c r="W196">
        <v>4665069.1610000003</v>
      </c>
      <c r="X196">
        <v>360223.35499999998</v>
      </c>
      <c r="Y196">
        <v>1.256</v>
      </c>
      <c r="Z196" t="s">
        <v>6</v>
      </c>
      <c r="AA196">
        <v>195</v>
      </c>
    </row>
    <row r="197" spans="1:27" hidden="1" x14ac:dyDescent="0.25">
      <c r="A197" t="s">
        <v>74</v>
      </c>
      <c r="B197">
        <v>20</v>
      </c>
      <c r="C197" t="s">
        <v>75</v>
      </c>
      <c r="D197">
        <v>2019</v>
      </c>
      <c r="E197">
        <f t="shared" si="45"/>
        <v>81</v>
      </c>
      <c r="F197">
        <f t="shared" si="41"/>
        <v>196</v>
      </c>
      <c r="G197">
        <v>33</v>
      </c>
      <c r="H197" t="str">
        <f t="shared" si="42"/>
        <v>33</v>
      </c>
      <c r="I197" t="str">
        <f t="shared" si="43"/>
        <v/>
      </c>
      <c r="J197" t="str">
        <f t="shared" si="44"/>
        <v>Line</v>
      </c>
      <c r="K197">
        <v>4665061.5350000001</v>
      </c>
      <c r="L197">
        <v>360212.29599999997</v>
      </c>
      <c r="M197">
        <v>1.3120000000000001</v>
      </c>
      <c r="O197" s="1"/>
      <c r="P197" s="2">
        <f t="shared" si="46"/>
        <v>205</v>
      </c>
      <c r="Q197" s="2" t="b">
        <f t="shared" si="48"/>
        <v>1</v>
      </c>
      <c r="R197" s="2">
        <f t="shared" si="47"/>
        <v>0</v>
      </c>
      <c r="S197" s="2" t="b">
        <f t="shared" si="40"/>
        <v>1</v>
      </c>
      <c r="T197">
        <v>17</v>
      </c>
      <c r="U197">
        <v>196</v>
      </c>
      <c r="V197" t="s">
        <v>5</v>
      </c>
      <c r="W197">
        <v>4665068.3619999997</v>
      </c>
      <c r="X197">
        <v>360221.36900000001</v>
      </c>
      <c r="Y197">
        <v>1.2569999999999999</v>
      </c>
      <c r="AA197">
        <v>196</v>
      </c>
    </row>
    <row r="198" spans="1:27" hidden="1" x14ac:dyDescent="0.25">
      <c r="A198" t="s">
        <v>74</v>
      </c>
      <c r="B198">
        <v>20</v>
      </c>
      <c r="C198" t="s">
        <v>75</v>
      </c>
      <c r="D198">
        <v>2019</v>
      </c>
      <c r="E198">
        <f t="shared" si="45"/>
        <v>81</v>
      </c>
      <c r="F198">
        <f t="shared" si="41"/>
        <v>197</v>
      </c>
      <c r="G198">
        <v>33</v>
      </c>
      <c r="H198" t="str">
        <f t="shared" si="42"/>
        <v>33</v>
      </c>
      <c r="I198" t="str">
        <f t="shared" si="43"/>
        <v/>
      </c>
      <c r="J198" t="str">
        <f t="shared" si="44"/>
        <v>Line</v>
      </c>
      <c r="K198">
        <v>4665056.5750000002</v>
      </c>
      <c r="L198">
        <v>360211.66600000003</v>
      </c>
      <c r="M198">
        <v>1.2929999999999999</v>
      </c>
      <c r="O198" s="1"/>
      <c r="P198" s="2">
        <f t="shared" si="46"/>
        <v>206</v>
      </c>
      <c r="Q198" s="2" t="b">
        <f t="shared" si="48"/>
        <v>1</v>
      </c>
      <c r="R198" s="2">
        <f t="shared" si="47"/>
        <v>0</v>
      </c>
      <c r="S198" s="2" t="b">
        <f t="shared" si="40"/>
        <v>1</v>
      </c>
      <c r="T198">
        <v>17</v>
      </c>
      <c r="U198">
        <v>197</v>
      </c>
      <c r="V198" t="s">
        <v>5</v>
      </c>
      <c r="W198">
        <v>4665067.6909999996</v>
      </c>
      <c r="X198">
        <v>360219.06400000001</v>
      </c>
      <c r="Y198">
        <v>1.266</v>
      </c>
      <c r="AA198">
        <v>197</v>
      </c>
    </row>
    <row r="199" spans="1:27" hidden="1" x14ac:dyDescent="0.25">
      <c r="A199" t="s">
        <v>74</v>
      </c>
      <c r="B199">
        <v>20</v>
      </c>
      <c r="C199" t="s">
        <v>75</v>
      </c>
      <c r="D199">
        <v>2019</v>
      </c>
      <c r="E199">
        <f t="shared" si="45"/>
        <v>81</v>
      </c>
      <c r="F199">
        <f t="shared" si="41"/>
        <v>198</v>
      </c>
      <c r="G199">
        <v>33</v>
      </c>
      <c r="H199" t="str">
        <f t="shared" si="42"/>
        <v>33</v>
      </c>
      <c r="I199" t="str">
        <f t="shared" si="43"/>
        <v/>
      </c>
      <c r="J199" t="str">
        <f t="shared" si="44"/>
        <v>Line</v>
      </c>
      <c r="K199">
        <v>4665059.7620000001</v>
      </c>
      <c r="L199">
        <v>360216.495</v>
      </c>
      <c r="M199">
        <v>1.2729999999999999</v>
      </c>
      <c r="O199" s="1"/>
      <c r="P199" s="2">
        <f t="shared" si="46"/>
        <v>207</v>
      </c>
      <c r="Q199" s="2" t="b">
        <f t="shared" si="48"/>
        <v>1</v>
      </c>
      <c r="R199" s="2">
        <f t="shared" si="47"/>
        <v>0</v>
      </c>
      <c r="S199" s="2" t="b">
        <f t="shared" si="40"/>
        <v>1</v>
      </c>
      <c r="T199">
        <v>17</v>
      </c>
      <c r="U199">
        <v>198</v>
      </c>
      <c r="V199" t="s">
        <v>4</v>
      </c>
      <c r="W199">
        <v>4665066.9539999999</v>
      </c>
      <c r="X199">
        <v>360217.09899999999</v>
      </c>
      <c r="Y199">
        <v>1.28</v>
      </c>
      <c r="AA199">
        <v>198</v>
      </c>
    </row>
    <row r="200" spans="1:27" hidden="1" x14ac:dyDescent="0.25">
      <c r="A200" t="s">
        <v>74</v>
      </c>
      <c r="B200">
        <v>20</v>
      </c>
      <c r="C200" t="s">
        <v>75</v>
      </c>
      <c r="D200">
        <v>2019</v>
      </c>
      <c r="E200">
        <f t="shared" si="45"/>
        <v>82</v>
      </c>
      <c r="F200">
        <f t="shared" si="41"/>
        <v>199</v>
      </c>
      <c r="G200">
        <v>32</v>
      </c>
      <c r="H200" t="str">
        <f t="shared" si="42"/>
        <v>32</v>
      </c>
      <c r="I200" t="str">
        <f t="shared" si="43"/>
        <v/>
      </c>
      <c r="J200" t="str">
        <f t="shared" si="44"/>
        <v>Line</v>
      </c>
      <c r="K200">
        <v>4665158.102</v>
      </c>
      <c r="L200">
        <v>360542.98100000003</v>
      </c>
      <c r="M200">
        <v>1.0089999999999999</v>
      </c>
      <c r="N200" t="s">
        <v>55</v>
      </c>
      <c r="O200" s="1"/>
      <c r="P200" s="2">
        <f t="shared" si="46"/>
        <v>208</v>
      </c>
      <c r="Q200" s="2" t="b">
        <f t="shared" si="48"/>
        <v>1</v>
      </c>
      <c r="R200" s="2" t="str">
        <f t="shared" si="47"/>
        <v>TSA underwrack</v>
      </c>
      <c r="S200" s="2" t="b">
        <f t="shared" si="40"/>
        <v>1</v>
      </c>
      <c r="T200">
        <v>17</v>
      </c>
      <c r="U200">
        <v>199</v>
      </c>
      <c r="V200" t="s">
        <v>4</v>
      </c>
      <c r="W200">
        <v>4665065.5369999995</v>
      </c>
      <c r="X200">
        <v>360213.76400000002</v>
      </c>
      <c r="Y200">
        <v>1.254</v>
      </c>
      <c r="AA200">
        <v>199</v>
      </c>
    </row>
    <row r="201" spans="1:27" hidden="1" x14ac:dyDescent="0.25">
      <c r="A201" t="s">
        <v>74</v>
      </c>
      <c r="B201">
        <v>20</v>
      </c>
      <c r="C201" t="s">
        <v>75</v>
      </c>
      <c r="D201">
        <v>2019</v>
      </c>
      <c r="E201">
        <f t="shared" si="45"/>
        <v>82</v>
      </c>
      <c r="F201">
        <f t="shared" si="41"/>
        <v>200</v>
      </c>
      <c r="G201">
        <v>32</v>
      </c>
      <c r="H201" t="str">
        <f t="shared" si="42"/>
        <v>32</v>
      </c>
      <c r="I201" t="str">
        <f t="shared" si="43"/>
        <v/>
      </c>
      <c r="J201" t="str">
        <f t="shared" si="44"/>
        <v>Line</v>
      </c>
      <c r="K201">
        <v>4665166.8389999997</v>
      </c>
      <c r="L201">
        <v>360537.68900000001</v>
      </c>
      <c r="M201">
        <v>1.0549999999999999</v>
      </c>
      <c r="N201" t="s">
        <v>55</v>
      </c>
      <c r="O201" s="1"/>
      <c r="P201" s="2">
        <f t="shared" si="46"/>
        <v>209</v>
      </c>
      <c r="Q201" s="2" t="b">
        <f t="shared" si="48"/>
        <v>1</v>
      </c>
      <c r="R201" s="2" t="str">
        <f t="shared" si="47"/>
        <v>TSA underwrack</v>
      </c>
      <c r="S201" s="2" t="b">
        <f t="shared" si="40"/>
        <v>1</v>
      </c>
      <c r="T201">
        <v>17</v>
      </c>
      <c r="U201">
        <v>200</v>
      </c>
      <c r="V201" t="s">
        <v>4</v>
      </c>
      <c r="W201">
        <v>4665064.6519999998</v>
      </c>
      <c r="X201">
        <v>360211.103</v>
      </c>
      <c r="Y201">
        <v>1.3140000000000001</v>
      </c>
      <c r="AA201">
        <v>200</v>
      </c>
    </row>
    <row r="202" spans="1:27" hidden="1" x14ac:dyDescent="0.25">
      <c r="A202" t="s">
        <v>74</v>
      </c>
      <c r="B202">
        <v>20</v>
      </c>
      <c r="C202" t="s">
        <v>75</v>
      </c>
      <c r="D202">
        <v>2019</v>
      </c>
      <c r="E202">
        <f t="shared" si="45"/>
        <v>83</v>
      </c>
      <c r="F202">
        <f t="shared" si="41"/>
        <v>201</v>
      </c>
      <c r="G202" t="s">
        <v>29</v>
      </c>
      <c r="H202" t="str">
        <f t="shared" si="42"/>
        <v>01</v>
      </c>
      <c r="I202" t="str">
        <f t="shared" si="43"/>
        <v>b</v>
      </c>
      <c r="J202" t="str">
        <f t="shared" si="44"/>
        <v>Line</v>
      </c>
      <c r="K202">
        <v>4665168.8590000002</v>
      </c>
      <c r="L202">
        <v>360537.27100000001</v>
      </c>
      <c r="M202">
        <v>1.044</v>
      </c>
      <c r="N202" t="s">
        <v>56</v>
      </c>
      <c r="O202" s="1"/>
      <c r="P202" s="2">
        <f t="shared" si="46"/>
        <v>210</v>
      </c>
      <c r="Q202" s="2" t="b">
        <f t="shared" si="48"/>
        <v>1</v>
      </c>
      <c r="R202" s="2" t="str">
        <f t="shared" si="47"/>
        <v>thinning</v>
      </c>
      <c r="S202" s="2" t="b">
        <f t="shared" ref="S202:S233" si="49">IF(N202=R202,TRUE,FALSE)</f>
        <v>1</v>
      </c>
      <c r="T202">
        <v>17</v>
      </c>
      <c r="U202">
        <v>201</v>
      </c>
      <c r="V202">
        <v>33</v>
      </c>
      <c r="W202">
        <v>4665063.7340000002</v>
      </c>
      <c r="X202">
        <v>360209.158</v>
      </c>
      <c r="Y202">
        <v>1.234</v>
      </c>
      <c r="Z202" t="s">
        <v>52</v>
      </c>
      <c r="AA202">
        <v>201</v>
      </c>
    </row>
    <row r="203" spans="1:27" hidden="1" x14ac:dyDescent="0.25">
      <c r="A203" t="s">
        <v>74</v>
      </c>
      <c r="B203">
        <v>20</v>
      </c>
      <c r="C203" t="s">
        <v>75</v>
      </c>
      <c r="D203">
        <v>2019</v>
      </c>
      <c r="E203">
        <f t="shared" si="45"/>
        <v>83</v>
      </c>
      <c r="F203">
        <f t="shared" si="41"/>
        <v>202</v>
      </c>
      <c r="G203" t="s">
        <v>29</v>
      </c>
      <c r="H203" t="str">
        <f t="shared" si="42"/>
        <v>01</v>
      </c>
      <c r="I203" t="str">
        <f t="shared" si="43"/>
        <v>b</v>
      </c>
      <c r="J203" t="str">
        <f t="shared" si="44"/>
        <v>Line</v>
      </c>
      <c r="K203">
        <v>4665174.0460000001</v>
      </c>
      <c r="L203">
        <v>360535.26799999998</v>
      </c>
      <c r="M203">
        <v>0.996</v>
      </c>
      <c r="O203" s="1"/>
      <c r="P203" s="2">
        <f t="shared" si="46"/>
        <v>211</v>
      </c>
      <c r="Q203" s="2" t="b">
        <f t="shared" si="48"/>
        <v>1</v>
      </c>
      <c r="R203" s="2">
        <f t="shared" si="47"/>
        <v>0</v>
      </c>
      <c r="S203" s="2" t="b">
        <f t="shared" si="49"/>
        <v>1</v>
      </c>
      <c r="T203">
        <v>17</v>
      </c>
      <c r="U203">
        <v>202</v>
      </c>
      <c r="V203" t="s">
        <v>5</v>
      </c>
      <c r="W203">
        <v>4665062.7039999999</v>
      </c>
      <c r="X203">
        <v>360207.288</v>
      </c>
      <c r="Y203">
        <v>1.2769999999999999</v>
      </c>
      <c r="Z203" t="s">
        <v>53</v>
      </c>
      <c r="AA203">
        <v>202</v>
      </c>
    </row>
    <row r="204" spans="1:27" hidden="1" x14ac:dyDescent="0.25">
      <c r="A204" t="s">
        <v>74</v>
      </c>
      <c r="B204">
        <v>20</v>
      </c>
      <c r="C204" t="s">
        <v>75</v>
      </c>
      <c r="D204">
        <v>2019</v>
      </c>
      <c r="E204">
        <f t="shared" si="45"/>
        <v>83</v>
      </c>
      <c r="F204">
        <f t="shared" si="41"/>
        <v>203</v>
      </c>
      <c r="G204" t="s">
        <v>29</v>
      </c>
      <c r="H204" t="str">
        <f t="shared" si="42"/>
        <v>01</v>
      </c>
      <c r="I204" t="str">
        <f t="shared" si="43"/>
        <v>b</v>
      </c>
      <c r="J204" t="str">
        <f t="shared" si="44"/>
        <v>Line</v>
      </c>
      <c r="K204">
        <v>4665172.6279999996</v>
      </c>
      <c r="L204">
        <v>360530.54100000003</v>
      </c>
      <c r="M204">
        <v>0.91800000000000004</v>
      </c>
      <c r="O204" s="1"/>
      <c r="P204" s="2">
        <f t="shared" si="46"/>
        <v>212</v>
      </c>
      <c r="Q204" s="2" t="b">
        <f t="shared" si="48"/>
        <v>1</v>
      </c>
      <c r="R204" s="2">
        <f t="shared" si="47"/>
        <v>0</v>
      </c>
      <c r="S204" s="2" t="b">
        <f t="shared" si="49"/>
        <v>1</v>
      </c>
      <c r="T204">
        <v>17</v>
      </c>
      <c r="U204">
        <v>203</v>
      </c>
      <c r="V204" t="s">
        <v>54</v>
      </c>
      <c r="W204">
        <v>4665061.3890000004</v>
      </c>
      <c r="X204">
        <v>360205.54300000001</v>
      </c>
      <c r="Y204">
        <v>1.3129999999999999</v>
      </c>
      <c r="AA204">
        <v>203</v>
      </c>
    </row>
    <row r="205" spans="1:27" hidden="1" x14ac:dyDescent="0.25">
      <c r="A205" t="s">
        <v>74</v>
      </c>
      <c r="B205">
        <v>20</v>
      </c>
      <c r="C205" t="s">
        <v>75</v>
      </c>
      <c r="D205">
        <v>2019</v>
      </c>
      <c r="E205">
        <f t="shared" si="45"/>
        <v>84</v>
      </c>
      <c r="F205">
        <f t="shared" si="41"/>
        <v>204</v>
      </c>
      <c r="G205" t="s">
        <v>19</v>
      </c>
      <c r="H205" t="str">
        <f t="shared" si="42"/>
        <v>01</v>
      </c>
      <c r="I205" t="str">
        <f t="shared" si="43"/>
        <v>a</v>
      </c>
      <c r="J205" t="str">
        <f t="shared" si="44"/>
        <v>MU</v>
      </c>
      <c r="K205">
        <v>4665172.3030000003</v>
      </c>
      <c r="L205">
        <v>360528.64399999997</v>
      </c>
      <c r="M205">
        <v>0.96799999999999997</v>
      </c>
      <c r="O205" s="1"/>
      <c r="P205" s="2">
        <f t="shared" si="46"/>
        <v>213</v>
      </c>
      <c r="Q205" s="2" t="b">
        <f t="shared" si="48"/>
        <v>1</v>
      </c>
      <c r="R205" s="2">
        <f t="shared" si="47"/>
        <v>0</v>
      </c>
      <c r="S205" s="2" t="b">
        <f t="shared" si="49"/>
        <v>1</v>
      </c>
      <c r="T205">
        <v>17</v>
      </c>
      <c r="U205">
        <v>204</v>
      </c>
      <c r="V205" t="s">
        <v>17</v>
      </c>
      <c r="W205">
        <v>4665060.0319999997</v>
      </c>
      <c r="X205">
        <v>360203.88</v>
      </c>
      <c r="Y205">
        <v>1.3029999999999999</v>
      </c>
      <c r="Z205" t="s">
        <v>6</v>
      </c>
      <c r="AA205">
        <v>204</v>
      </c>
    </row>
    <row r="206" spans="1:27" hidden="1" x14ac:dyDescent="0.25">
      <c r="A206" t="s">
        <v>74</v>
      </c>
      <c r="B206">
        <v>20</v>
      </c>
      <c r="C206" t="s">
        <v>75</v>
      </c>
      <c r="D206">
        <v>2019</v>
      </c>
      <c r="E206">
        <f t="shared" si="45"/>
        <v>85</v>
      </c>
      <c r="F206">
        <f t="shared" si="41"/>
        <v>205</v>
      </c>
      <c r="G206" t="s">
        <v>5</v>
      </c>
      <c r="H206" t="str">
        <f t="shared" si="42"/>
        <v>04</v>
      </c>
      <c r="I206" t="str">
        <f t="shared" si="43"/>
        <v>a</v>
      </c>
      <c r="J206" t="str">
        <f t="shared" si="44"/>
        <v>MU</v>
      </c>
      <c r="K206">
        <v>4665188.68</v>
      </c>
      <c r="L206">
        <v>360520.23200000002</v>
      </c>
      <c r="M206">
        <v>1.0649999999999999</v>
      </c>
      <c r="O206" s="1"/>
      <c r="P206" s="2">
        <f t="shared" si="46"/>
        <v>214</v>
      </c>
      <c r="Q206" s="2" t="b">
        <f t="shared" si="48"/>
        <v>1</v>
      </c>
      <c r="R206" s="2">
        <f t="shared" si="47"/>
        <v>0</v>
      </c>
      <c r="S206" s="2" t="b">
        <f t="shared" si="49"/>
        <v>1</v>
      </c>
      <c r="T206">
        <v>18</v>
      </c>
      <c r="U206">
        <v>205</v>
      </c>
      <c r="V206">
        <v>33</v>
      </c>
      <c r="W206">
        <v>4665061.5350000001</v>
      </c>
      <c r="X206">
        <v>360212.29599999997</v>
      </c>
      <c r="Y206">
        <v>1.3120000000000001</v>
      </c>
      <c r="AA206">
        <v>205</v>
      </c>
    </row>
    <row r="207" spans="1:27" hidden="1" x14ac:dyDescent="0.25">
      <c r="A207" t="s">
        <v>74</v>
      </c>
      <c r="B207">
        <v>20</v>
      </c>
      <c r="C207" t="s">
        <v>75</v>
      </c>
      <c r="D207">
        <v>2019</v>
      </c>
      <c r="E207">
        <f t="shared" si="45"/>
        <v>86</v>
      </c>
      <c r="F207">
        <f t="shared" si="41"/>
        <v>206</v>
      </c>
      <c r="G207" t="s">
        <v>37</v>
      </c>
      <c r="H207" t="str">
        <f t="shared" si="42"/>
        <v>06</v>
      </c>
      <c r="I207" t="str">
        <f t="shared" si="43"/>
        <v>af</v>
      </c>
      <c r="J207" t="str">
        <f t="shared" si="44"/>
        <v>Line</v>
      </c>
      <c r="K207">
        <v>4665189.3049999997</v>
      </c>
      <c r="L207">
        <v>360518.25199999998</v>
      </c>
      <c r="M207">
        <v>1.198</v>
      </c>
      <c r="N207" t="s">
        <v>57</v>
      </c>
      <c r="O207" s="1"/>
      <c r="P207" s="2">
        <f t="shared" si="46"/>
        <v>215</v>
      </c>
      <c r="Q207" s="2" t="b">
        <f t="shared" si="48"/>
        <v>1</v>
      </c>
      <c r="R207" s="2" t="str">
        <f t="shared" si="47"/>
        <v>"f" because its moundy</v>
      </c>
      <c r="S207" s="2" t="b">
        <f t="shared" si="49"/>
        <v>1</v>
      </c>
      <c r="T207">
        <v>18</v>
      </c>
      <c r="U207">
        <v>206</v>
      </c>
      <c r="V207">
        <v>33</v>
      </c>
      <c r="W207">
        <v>4665056.5750000002</v>
      </c>
      <c r="X207">
        <v>360211.66600000003</v>
      </c>
      <c r="Y207">
        <v>1.2929999999999999</v>
      </c>
      <c r="AA207">
        <v>206</v>
      </c>
    </row>
    <row r="208" spans="1:27" hidden="1" x14ac:dyDescent="0.25">
      <c r="A208" t="s">
        <v>74</v>
      </c>
      <c r="B208">
        <v>20</v>
      </c>
      <c r="C208" t="s">
        <v>75</v>
      </c>
      <c r="D208">
        <v>2019</v>
      </c>
      <c r="E208">
        <f t="shared" si="45"/>
        <v>86</v>
      </c>
      <c r="F208">
        <f t="shared" si="41"/>
        <v>207</v>
      </c>
      <c r="G208" t="s">
        <v>37</v>
      </c>
      <c r="H208" t="str">
        <f t="shared" si="42"/>
        <v>06</v>
      </c>
      <c r="I208" t="str">
        <f t="shared" si="43"/>
        <v>af</v>
      </c>
      <c r="J208" t="str">
        <f t="shared" si="44"/>
        <v>Line</v>
      </c>
      <c r="K208">
        <v>4665192.13</v>
      </c>
      <c r="L208">
        <v>360497.53399999999</v>
      </c>
      <c r="M208">
        <v>1.2070000000000001</v>
      </c>
      <c r="N208" t="s">
        <v>57</v>
      </c>
      <c r="O208" s="1"/>
      <c r="P208" s="2">
        <f t="shared" si="46"/>
        <v>216</v>
      </c>
      <c r="Q208" s="2" t="b">
        <f t="shared" si="48"/>
        <v>1</v>
      </c>
      <c r="R208" s="2" t="str">
        <f t="shared" si="47"/>
        <v>"f" because its moundy</v>
      </c>
      <c r="S208" s="2" t="b">
        <f t="shared" si="49"/>
        <v>1</v>
      </c>
      <c r="T208">
        <v>18</v>
      </c>
      <c r="U208">
        <v>207</v>
      </c>
      <c r="V208">
        <v>33</v>
      </c>
      <c r="W208">
        <v>4665059.7620000001</v>
      </c>
      <c r="X208">
        <v>360216.495</v>
      </c>
      <c r="Y208">
        <v>1.2729999999999999</v>
      </c>
      <c r="AA208">
        <v>207</v>
      </c>
    </row>
    <row r="209" spans="1:27" hidden="1" x14ac:dyDescent="0.25">
      <c r="A209" t="s">
        <v>74</v>
      </c>
      <c r="B209">
        <v>20</v>
      </c>
      <c r="C209" t="s">
        <v>75</v>
      </c>
      <c r="D209">
        <v>2019</v>
      </c>
      <c r="E209">
        <f t="shared" si="45"/>
        <v>87</v>
      </c>
      <c r="F209">
        <f t="shared" si="41"/>
        <v>208</v>
      </c>
      <c r="G209" t="s">
        <v>7</v>
      </c>
      <c r="H209" t="str">
        <f t="shared" si="42"/>
        <v>02</v>
      </c>
      <c r="I209" t="str">
        <f t="shared" si="43"/>
        <v>a</v>
      </c>
      <c r="J209" t="str">
        <f t="shared" si="44"/>
        <v>Line</v>
      </c>
      <c r="K209">
        <v>4665192.4620000003</v>
      </c>
      <c r="L209">
        <v>360495.321</v>
      </c>
      <c r="M209">
        <v>1.2250000000000001</v>
      </c>
      <c r="N209" t="s">
        <v>58</v>
      </c>
      <c r="O209" s="1"/>
      <c r="P209" s="2">
        <f t="shared" si="46"/>
        <v>217</v>
      </c>
      <c r="Q209" s="2" t="b">
        <f t="shared" si="48"/>
        <v>1</v>
      </c>
      <c r="R209" s="2" t="str">
        <f t="shared" si="47"/>
        <v>flowering 10%</v>
      </c>
      <c r="S209" s="2" t="b">
        <f t="shared" si="49"/>
        <v>1</v>
      </c>
      <c r="T209">
        <v>20</v>
      </c>
      <c r="U209">
        <v>208</v>
      </c>
      <c r="V209">
        <v>32</v>
      </c>
      <c r="W209">
        <v>4665158.102</v>
      </c>
      <c r="X209">
        <v>360542.98100000003</v>
      </c>
      <c r="Y209">
        <v>1.0089999999999999</v>
      </c>
      <c r="Z209" t="s">
        <v>55</v>
      </c>
      <c r="AA209">
        <v>208</v>
      </c>
    </row>
    <row r="210" spans="1:27" hidden="1" x14ac:dyDescent="0.25">
      <c r="A210" t="s">
        <v>74</v>
      </c>
      <c r="B210">
        <v>20</v>
      </c>
      <c r="C210" t="s">
        <v>75</v>
      </c>
      <c r="D210">
        <v>2019</v>
      </c>
      <c r="E210">
        <f t="shared" si="45"/>
        <v>87</v>
      </c>
      <c r="F210">
        <f t="shared" si="41"/>
        <v>209</v>
      </c>
      <c r="G210" t="s">
        <v>7</v>
      </c>
      <c r="H210" t="str">
        <f t="shared" si="42"/>
        <v>02</v>
      </c>
      <c r="I210" t="str">
        <f t="shared" si="43"/>
        <v>a</v>
      </c>
      <c r="J210" t="str">
        <f t="shared" si="44"/>
        <v>Line</v>
      </c>
      <c r="K210">
        <v>4665189.1629999997</v>
      </c>
      <c r="L210">
        <v>360483.62</v>
      </c>
      <c r="M210">
        <v>1.173</v>
      </c>
      <c r="N210" t="s">
        <v>59</v>
      </c>
      <c r="O210" s="1"/>
      <c r="P210" s="2">
        <f t="shared" si="46"/>
        <v>218</v>
      </c>
      <c r="Q210" s="2" t="b">
        <f t="shared" si="48"/>
        <v>1</v>
      </c>
      <c r="R210" s="2" t="str">
        <f t="shared" si="47"/>
        <v>flowering 30%</v>
      </c>
      <c r="S210" s="2" t="b">
        <f t="shared" si="49"/>
        <v>1</v>
      </c>
      <c r="T210">
        <v>20</v>
      </c>
      <c r="U210">
        <v>209</v>
      </c>
      <c r="V210">
        <v>32</v>
      </c>
      <c r="W210">
        <v>4665166.8389999997</v>
      </c>
      <c r="X210">
        <v>360537.68900000001</v>
      </c>
      <c r="Y210">
        <v>1.0549999999999999</v>
      </c>
      <c r="Z210" t="s">
        <v>55</v>
      </c>
      <c r="AA210">
        <v>209</v>
      </c>
    </row>
    <row r="211" spans="1:27" hidden="1" x14ac:dyDescent="0.25">
      <c r="A211" t="s">
        <v>74</v>
      </c>
      <c r="B211">
        <v>20</v>
      </c>
      <c r="C211" t="s">
        <v>75</v>
      </c>
      <c r="D211">
        <v>2019</v>
      </c>
      <c r="E211">
        <f t="shared" si="45"/>
        <v>88</v>
      </c>
      <c r="F211">
        <f t="shared" si="41"/>
        <v>210</v>
      </c>
      <c r="G211" t="s">
        <v>19</v>
      </c>
      <c r="H211" t="str">
        <f t="shared" si="42"/>
        <v>01</v>
      </c>
      <c r="I211" t="str">
        <f t="shared" si="43"/>
        <v>a</v>
      </c>
      <c r="J211" t="str">
        <f t="shared" si="44"/>
        <v>Line</v>
      </c>
      <c r="K211">
        <v>4665188.7110000001</v>
      </c>
      <c r="L211">
        <v>360481.65100000001</v>
      </c>
      <c r="M211">
        <v>1.119</v>
      </c>
      <c r="O211" s="1"/>
      <c r="P211" s="2">
        <f t="shared" si="46"/>
        <v>219</v>
      </c>
      <c r="Q211" s="2" t="b">
        <f t="shared" si="48"/>
        <v>1</v>
      </c>
      <c r="R211" s="2">
        <f t="shared" si="47"/>
        <v>0</v>
      </c>
      <c r="S211" s="2" t="b">
        <f t="shared" si="49"/>
        <v>1</v>
      </c>
      <c r="T211">
        <v>20</v>
      </c>
      <c r="U211">
        <v>210</v>
      </c>
      <c r="V211" t="s">
        <v>29</v>
      </c>
      <c r="W211">
        <v>4665168.8590000002</v>
      </c>
      <c r="X211">
        <v>360537.27100000001</v>
      </c>
      <c r="Y211">
        <v>1.044</v>
      </c>
      <c r="Z211" t="s">
        <v>56</v>
      </c>
      <c r="AA211">
        <v>210</v>
      </c>
    </row>
    <row r="212" spans="1:27" hidden="1" x14ac:dyDescent="0.25">
      <c r="A212" t="s">
        <v>74</v>
      </c>
      <c r="B212">
        <v>20</v>
      </c>
      <c r="C212" t="s">
        <v>75</v>
      </c>
      <c r="D212">
        <v>2019</v>
      </c>
      <c r="E212">
        <f t="shared" si="45"/>
        <v>88</v>
      </c>
      <c r="F212">
        <f t="shared" si="41"/>
        <v>211</v>
      </c>
      <c r="G212" t="s">
        <v>19</v>
      </c>
      <c r="H212" t="str">
        <f t="shared" si="42"/>
        <v>01</v>
      </c>
      <c r="I212" t="str">
        <f t="shared" si="43"/>
        <v>a</v>
      </c>
      <c r="J212" t="str">
        <f t="shared" si="44"/>
        <v>Line</v>
      </c>
      <c r="K212">
        <v>4665185.102</v>
      </c>
      <c r="L212">
        <v>360470.826</v>
      </c>
      <c r="M212">
        <v>1.0669999999999999</v>
      </c>
      <c r="O212" s="1"/>
      <c r="P212" s="2">
        <f t="shared" si="46"/>
        <v>220</v>
      </c>
      <c r="Q212" s="2" t="b">
        <f t="shared" si="48"/>
        <v>1</v>
      </c>
      <c r="R212" s="2">
        <f t="shared" si="47"/>
        <v>0</v>
      </c>
      <c r="S212" s="2" t="b">
        <f t="shared" si="49"/>
        <v>1</v>
      </c>
      <c r="T212">
        <v>21</v>
      </c>
      <c r="U212">
        <v>211</v>
      </c>
      <c r="V212" t="s">
        <v>29</v>
      </c>
      <c r="W212">
        <v>4665174.0460000001</v>
      </c>
      <c r="X212">
        <v>360535.26799999998</v>
      </c>
      <c r="Y212">
        <v>0.996</v>
      </c>
      <c r="AA212">
        <v>211</v>
      </c>
    </row>
    <row r="213" spans="1:27" x14ac:dyDescent="0.25">
      <c r="A213" t="s">
        <v>74</v>
      </c>
      <c r="B213">
        <v>20</v>
      </c>
      <c r="C213" t="s">
        <v>75</v>
      </c>
      <c r="D213">
        <v>2019</v>
      </c>
      <c r="E213">
        <f t="shared" si="45"/>
        <v>89</v>
      </c>
      <c r="F213">
        <f t="shared" si="41"/>
        <v>212</v>
      </c>
      <c r="G213" t="s">
        <v>60</v>
      </c>
      <c r="H213" t="str">
        <f t="shared" si="42"/>
        <v>21</v>
      </c>
      <c r="I213" t="str">
        <f t="shared" si="43"/>
        <v>ek</v>
      </c>
      <c r="J213" t="s">
        <v>76</v>
      </c>
      <c r="K213">
        <v>4665186.2130000005</v>
      </c>
      <c r="L213">
        <v>360469.03100000002</v>
      </c>
      <c r="M213">
        <v>0.70899999999999996</v>
      </c>
      <c r="O213" s="1"/>
      <c r="P213" s="2">
        <f t="shared" si="46"/>
        <v>221</v>
      </c>
      <c r="Q213" s="2" t="b">
        <f t="shared" si="48"/>
        <v>1</v>
      </c>
      <c r="R213" s="2">
        <f t="shared" si="47"/>
        <v>0</v>
      </c>
      <c r="S213" s="2" t="b">
        <f t="shared" si="49"/>
        <v>1</v>
      </c>
      <c r="T213">
        <v>21</v>
      </c>
      <c r="U213">
        <v>212</v>
      </c>
      <c r="V213" t="s">
        <v>29</v>
      </c>
      <c r="W213">
        <v>4665172.6279999996</v>
      </c>
      <c r="X213">
        <v>360530.54100000003</v>
      </c>
      <c r="Y213">
        <v>0.91800000000000004</v>
      </c>
      <c r="AA213">
        <v>212</v>
      </c>
    </row>
    <row r="214" spans="1:27" x14ac:dyDescent="0.25">
      <c r="A214" t="s">
        <v>74</v>
      </c>
      <c r="B214">
        <v>20</v>
      </c>
      <c r="C214" t="s">
        <v>75</v>
      </c>
      <c r="D214">
        <v>2019</v>
      </c>
      <c r="E214">
        <f t="shared" si="45"/>
        <v>89</v>
      </c>
      <c r="F214">
        <f t="shared" si="41"/>
        <v>213</v>
      </c>
      <c r="G214" t="s">
        <v>60</v>
      </c>
      <c r="H214" t="str">
        <f t="shared" si="42"/>
        <v>21</v>
      </c>
      <c r="I214" t="str">
        <f t="shared" si="43"/>
        <v>ek</v>
      </c>
      <c r="J214" t="s">
        <v>76</v>
      </c>
      <c r="K214">
        <v>4665185.8119999999</v>
      </c>
      <c r="L214">
        <v>360469.14600000001</v>
      </c>
      <c r="M214">
        <v>0.99199999999999999</v>
      </c>
      <c r="O214" s="1"/>
      <c r="P214" s="2">
        <f t="shared" si="46"/>
        <v>222</v>
      </c>
      <c r="Q214" s="2" t="b">
        <f t="shared" si="48"/>
        <v>1</v>
      </c>
      <c r="R214" s="2">
        <f t="shared" si="47"/>
        <v>0</v>
      </c>
      <c r="S214" s="2" t="b">
        <f t="shared" si="49"/>
        <v>1</v>
      </c>
      <c r="T214">
        <v>21</v>
      </c>
      <c r="U214">
        <v>213</v>
      </c>
      <c r="V214" t="s">
        <v>19</v>
      </c>
      <c r="W214">
        <v>4665172.3030000003</v>
      </c>
      <c r="X214">
        <v>360528.64399999997</v>
      </c>
      <c r="Y214">
        <v>0.96799999999999997</v>
      </c>
      <c r="AA214">
        <v>213</v>
      </c>
    </row>
    <row r="215" spans="1:27" x14ac:dyDescent="0.25">
      <c r="A215" t="s">
        <v>74</v>
      </c>
      <c r="B215">
        <v>20</v>
      </c>
      <c r="C215" t="s">
        <v>75</v>
      </c>
      <c r="D215">
        <v>2019</v>
      </c>
      <c r="E215">
        <f t="shared" si="45"/>
        <v>89</v>
      </c>
      <c r="F215">
        <f t="shared" si="41"/>
        <v>214</v>
      </c>
      <c r="G215" t="s">
        <v>60</v>
      </c>
      <c r="H215" t="str">
        <f t="shared" si="42"/>
        <v>21</v>
      </c>
      <c r="I215" t="str">
        <f t="shared" si="43"/>
        <v>ek</v>
      </c>
      <c r="J215" t="s">
        <v>76</v>
      </c>
      <c r="K215">
        <v>4665185.1330000004</v>
      </c>
      <c r="L215">
        <v>360469.59700000001</v>
      </c>
      <c r="M215">
        <v>0.83699999999999997</v>
      </c>
      <c r="O215" s="1"/>
      <c r="P215" s="2">
        <f t="shared" si="46"/>
        <v>223</v>
      </c>
      <c r="Q215" s="2" t="b">
        <f t="shared" si="48"/>
        <v>1</v>
      </c>
      <c r="R215" s="2">
        <f t="shared" si="47"/>
        <v>0</v>
      </c>
      <c r="S215" s="2" t="b">
        <f t="shared" si="49"/>
        <v>1</v>
      </c>
      <c r="T215">
        <v>21</v>
      </c>
      <c r="U215">
        <v>214</v>
      </c>
      <c r="V215" t="s">
        <v>5</v>
      </c>
      <c r="W215">
        <v>4665188.68</v>
      </c>
      <c r="X215">
        <v>360520.23200000002</v>
      </c>
      <c r="Y215">
        <v>1.0649999999999999</v>
      </c>
      <c r="AA215">
        <v>214</v>
      </c>
    </row>
    <row r="216" spans="1:27" x14ac:dyDescent="0.25">
      <c r="A216" t="s">
        <v>74</v>
      </c>
      <c r="B216">
        <v>20</v>
      </c>
      <c r="C216" t="s">
        <v>75</v>
      </c>
      <c r="D216">
        <v>2019</v>
      </c>
      <c r="E216">
        <f t="shared" si="45"/>
        <v>89</v>
      </c>
      <c r="F216">
        <f t="shared" si="41"/>
        <v>215</v>
      </c>
      <c r="G216" t="s">
        <v>60</v>
      </c>
      <c r="H216" t="str">
        <f t="shared" si="42"/>
        <v>21</v>
      </c>
      <c r="I216" t="str">
        <f t="shared" si="43"/>
        <v>ek</v>
      </c>
      <c r="J216" t="s">
        <v>76</v>
      </c>
      <c r="K216">
        <v>4665183.8890000004</v>
      </c>
      <c r="L216">
        <v>360469.79700000002</v>
      </c>
      <c r="M216">
        <v>0.752</v>
      </c>
      <c r="O216" s="1"/>
      <c r="P216" s="2">
        <f t="shared" si="46"/>
        <v>224</v>
      </c>
      <c r="Q216" s="2" t="b">
        <f t="shared" si="48"/>
        <v>1</v>
      </c>
      <c r="R216" s="2">
        <f t="shared" si="47"/>
        <v>0</v>
      </c>
      <c r="S216" s="2" t="b">
        <f t="shared" si="49"/>
        <v>1</v>
      </c>
      <c r="T216">
        <v>21</v>
      </c>
      <c r="U216">
        <v>215</v>
      </c>
      <c r="V216" t="s">
        <v>37</v>
      </c>
      <c r="W216">
        <v>4665189.3049999997</v>
      </c>
      <c r="X216">
        <v>360518.25199999998</v>
      </c>
      <c r="Y216">
        <v>1.198</v>
      </c>
      <c r="Z216" t="s">
        <v>57</v>
      </c>
      <c r="AA216">
        <v>215</v>
      </c>
    </row>
    <row r="217" spans="1:27" x14ac:dyDescent="0.25">
      <c r="A217" t="s">
        <v>74</v>
      </c>
      <c r="B217">
        <v>20</v>
      </c>
      <c r="C217" t="s">
        <v>75</v>
      </c>
      <c r="D217">
        <v>2019</v>
      </c>
      <c r="E217">
        <f t="shared" si="45"/>
        <v>89</v>
      </c>
      <c r="F217">
        <f t="shared" ref="F217:F237" si="50">1+F216</f>
        <v>216</v>
      </c>
      <c r="G217" t="s">
        <v>60</v>
      </c>
      <c r="H217" t="str">
        <f t="shared" si="42"/>
        <v>21</v>
      </c>
      <c r="I217" t="str">
        <f t="shared" si="43"/>
        <v>ek</v>
      </c>
      <c r="J217" t="s">
        <v>76</v>
      </c>
      <c r="K217">
        <v>4665183.5779999997</v>
      </c>
      <c r="L217">
        <v>360469.29599999997</v>
      </c>
      <c r="M217">
        <v>0.92600000000000005</v>
      </c>
      <c r="O217" s="1"/>
      <c r="P217" s="2">
        <f t="shared" si="46"/>
        <v>225</v>
      </c>
      <c r="Q217" s="2" t="b">
        <f t="shared" si="48"/>
        <v>1</v>
      </c>
      <c r="R217" s="2">
        <f t="shared" si="47"/>
        <v>0</v>
      </c>
      <c r="S217" s="2" t="b">
        <f t="shared" si="49"/>
        <v>1</v>
      </c>
      <c r="T217">
        <v>21</v>
      </c>
      <c r="U217">
        <v>216</v>
      </c>
      <c r="V217" t="s">
        <v>37</v>
      </c>
      <c r="W217">
        <v>4665192.13</v>
      </c>
      <c r="X217">
        <v>360497.53399999999</v>
      </c>
      <c r="Y217">
        <v>1.2070000000000001</v>
      </c>
      <c r="Z217" t="s">
        <v>57</v>
      </c>
      <c r="AA217">
        <v>216</v>
      </c>
    </row>
    <row r="218" spans="1:27" x14ac:dyDescent="0.25">
      <c r="A218" t="s">
        <v>74</v>
      </c>
      <c r="B218">
        <v>20</v>
      </c>
      <c r="C218" t="s">
        <v>75</v>
      </c>
      <c r="D218">
        <v>2019</v>
      </c>
      <c r="E218">
        <f t="shared" si="45"/>
        <v>89</v>
      </c>
      <c r="F218">
        <f t="shared" si="50"/>
        <v>217</v>
      </c>
      <c r="G218" t="s">
        <v>60</v>
      </c>
      <c r="H218" t="str">
        <f t="shared" ref="H218:H237" si="51">LEFT(G218,2)</f>
        <v>21</v>
      </c>
      <c r="I218" t="str">
        <f t="shared" ref="I218:I237" si="52">RIGHT(G218,LEN(G218)-LEN(H218))</f>
        <v>ek</v>
      </c>
      <c r="J218" t="s">
        <v>76</v>
      </c>
      <c r="K218">
        <v>4665184.4780000001</v>
      </c>
      <c r="L218">
        <v>360469.07400000002</v>
      </c>
      <c r="M218">
        <v>0.9</v>
      </c>
      <c r="O218" s="1"/>
      <c r="P218" s="2">
        <f t="shared" si="46"/>
        <v>226</v>
      </c>
      <c r="Q218" s="2" t="b">
        <f t="shared" si="48"/>
        <v>1</v>
      </c>
      <c r="R218" s="2">
        <f t="shared" si="47"/>
        <v>0</v>
      </c>
      <c r="S218" s="2" t="b">
        <f t="shared" si="49"/>
        <v>1</v>
      </c>
      <c r="T218" t="s">
        <v>89</v>
      </c>
      <c r="U218">
        <v>217</v>
      </c>
      <c r="V218" t="s">
        <v>7</v>
      </c>
      <c r="W218">
        <v>4665192.4620000003</v>
      </c>
      <c r="X218">
        <v>360495.321</v>
      </c>
      <c r="Y218">
        <v>1.2250000000000001</v>
      </c>
      <c r="Z218" t="s">
        <v>58</v>
      </c>
      <c r="AA218">
        <v>217</v>
      </c>
    </row>
    <row r="219" spans="1:27" x14ac:dyDescent="0.25">
      <c r="A219" t="s">
        <v>74</v>
      </c>
      <c r="B219">
        <v>20</v>
      </c>
      <c r="C219" t="s">
        <v>75</v>
      </c>
      <c r="D219">
        <v>2019</v>
      </c>
      <c r="E219">
        <f t="shared" si="45"/>
        <v>89</v>
      </c>
      <c r="F219">
        <f t="shared" si="50"/>
        <v>218</v>
      </c>
      <c r="G219" t="s">
        <v>60</v>
      </c>
      <c r="H219" t="str">
        <f t="shared" si="51"/>
        <v>21</v>
      </c>
      <c r="I219" t="str">
        <f t="shared" si="52"/>
        <v>ek</v>
      </c>
      <c r="J219" t="s">
        <v>76</v>
      </c>
      <c r="K219">
        <v>4665185.3</v>
      </c>
      <c r="L219">
        <v>360468.51400000002</v>
      </c>
      <c r="M219">
        <v>1.014</v>
      </c>
      <c r="O219" s="1"/>
      <c r="P219" s="2">
        <f t="shared" si="46"/>
        <v>227</v>
      </c>
      <c r="Q219" s="2" t="b">
        <f t="shared" si="48"/>
        <v>1</v>
      </c>
      <c r="R219" s="2">
        <f t="shared" si="47"/>
        <v>0</v>
      </c>
      <c r="S219" s="2" t="b">
        <f t="shared" si="49"/>
        <v>1</v>
      </c>
      <c r="T219">
        <v>22</v>
      </c>
      <c r="U219">
        <v>218</v>
      </c>
      <c r="V219" t="s">
        <v>7</v>
      </c>
      <c r="W219">
        <v>4665189.1629999997</v>
      </c>
      <c r="X219">
        <v>360483.62</v>
      </c>
      <c r="Y219">
        <v>1.173</v>
      </c>
      <c r="Z219" t="s">
        <v>59</v>
      </c>
      <c r="AA219">
        <v>218</v>
      </c>
    </row>
    <row r="220" spans="1:27" x14ac:dyDescent="0.25">
      <c r="A220" t="s">
        <v>74</v>
      </c>
      <c r="B220">
        <v>20</v>
      </c>
      <c r="C220" t="s">
        <v>75</v>
      </c>
      <c r="D220">
        <v>2019</v>
      </c>
      <c r="E220">
        <f t="shared" si="45"/>
        <v>89</v>
      </c>
      <c r="F220">
        <f t="shared" si="50"/>
        <v>219</v>
      </c>
      <c r="G220" t="s">
        <v>60</v>
      </c>
      <c r="H220" t="str">
        <f t="shared" si="51"/>
        <v>21</v>
      </c>
      <c r="I220" t="str">
        <f t="shared" si="52"/>
        <v>ek</v>
      </c>
      <c r="J220" t="s">
        <v>76</v>
      </c>
      <c r="K220">
        <v>4665186.0029999996</v>
      </c>
      <c r="L220">
        <v>360468.04300000001</v>
      </c>
      <c r="M220">
        <v>0.77300000000000002</v>
      </c>
      <c r="O220" s="1"/>
      <c r="P220" s="2">
        <f t="shared" si="46"/>
        <v>228</v>
      </c>
      <c r="Q220" s="2" t="b">
        <f t="shared" si="48"/>
        <v>1</v>
      </c>
      <c r="R220" s="2">
        <f t="shared" si="47"/>
        <v>0</v>
      </c>
      <c r="S220" s="2" t="b">
        <f t="shared" si="49"/>
        <v>1</v>
      </c>
      <c r="T220">
        <v>22</v>
      </c>
      <c r="U220">
        <v>219</v>
      </c>
      <c r="V220" t="s">
        <v>19</v>
      </c>
      <c r="W220">
        <v>4665188.7110000001</v>
      </c>
      <c r="X220">
        <v>360481.65100000001</v>
      </c>
      <c r="Y220">
        <v>1.119</v>
      </c>
      <c r="AA220">
        <v>219</v>
      </c>
    </row>
    <row r="221" spans="1:27" x14ac:dyDescent="0.25">
      <c r="A221" t="s">
        <v>74</v>
      </c>
      <c r="B221">
        <v>20</v>
      </c>
      <c r="C221" t="s">
        <v>75</v>
      </c>
      <c r="D221">
        <v>2019</v>
      </c>
      <c r="E221">
        <f t="shared" si="45"/>
        <v>89</v>
      </c>
      <c r="F221">
        <f t="shared" si="50"/>
        <v>220</v>
      </c>
      <c r="G221" t="s">
        <v>60</v>
      </c>
      <c r="H221" t="str">
        <f t="shared" si="51"/>
        <v>21</v>
      </c>
      <c r="I221" t="str">
        <f t="shared" si="52"/>
        <v>ek</v>
      </c>
      <c r="J221" t="s">
        <v>76</v>
      </c>
      <c r="K221">
        <v>4665184.9249999998</v>
      </c>
      <c r="L221">
        <v>360469.22899999999</v>
      </c>
      <c r="M221">
        <v>0.40300000000000002</v>
      </c>
      <c r="N221" t="s">
        <v>61</v>
      </c>
      <c r="O221" s="1"/>
      <c r="P221" s="2">
        <f t="shared" si="46"/>
        <v>229</v>
      </c>
      <c r="Q221" s="2" t="b">
        <f t="shared" si="48"/>
        <v>1</v>
      </c>
      <c r="R221" s="2" t="str">
        <f t="shared" si="47"/>
        <v>depth measurement of ditch</v>
      </c>
      <c r="S221" s="2" t="b">
        <f t="shared" si="49"/>
        <v>1</v>
      </c>
      <c r="T221">
        <v>22</v>
      </c>
      <c r="U221">
        <v>220</v>
      </c>
      <c r="V221" t="s">
        <v>19</v>
      </c>
      <c r="W221">
        <v>4665185.102</v>
      </c>
      <c r="X221">
        <v>360470.826</v>
      </c>
      <c r="Y221">
        <v>1.0669999999999999</v>
      </c>
      <c r="AA221">
        <v>220</v>
      </c>
    </row>
    <row r="222" spans="1:27" hidden="1" x14ac:dyDescent="0.25">
      <c r="A222" t="s">
        <v>74</v>
      </c>
      <c r="B222">
        <v>20</v>
      </c>
      <c r="C222" t="s">
        <v>75</v>
      </c>
      <c r="D222">
        <v>2019</v>
      </c>
      <c r="E222">
        <f t="shared" si="45"/>
        <v>90</v>
      </c>
      <c r="F222">
        <f t="shared" si="50"/>
        <v>221</v>
      </c>
      <c r="G222" t="s">
        <v>62</v>
      </c>
      <c r="H222" t="str">
        <f t="shared" si="51"/>
        <v>10</v>
      </c>
      <c r="I222" t="str">
        <f t="shared" si="52"/>
        <v>a</v>
      </c>
      <c r="J222" t="str">
        <f t="shared" ref="J222:J236" si="53">IF(OR((E222=E223),(E222=E221)),"Line","MU")</f>
        <v>Line</v>
      </c>
      <c r="K222">
        <v>4665183.4479999999</v>
      </c>
      <c r="L222">
        <v>360469.12800000003</v>
      </c>
      <c r="M222">
        <v>0.99199999999999999</v>
      </c>
      <c r="O222" s="1"/>
      <c r="P222" s="2">
        <f t="shared" si="46"/>
        <v>230</v>
      </c>
      <c r="Q222" s="2" t="b">
        <f t="shared" si="48"/>
        <v>1</v>
      </c>
      <c r="R222" s="2">
        <f t="shared" si="47"/>
        <v>0</v>
      </c>
      <c r="S222" s="2" t="b">
        <f t="shared" si="49"/>
        <v>1</v>
      </c>
      <c r="T222">
        <v>22</v>
      </c>
      <c r="U222">
        <v>221</v>
      </c>
      <c r="V222" t="s">
        <v>60</v>
      </c>
      <c r="W222">
        <v>4665186.2130000005</v>
      </c>
      <c r="X222">
        <v>360469.03100000002</v>
      </c>
      <c r="Y222">
        <v>0.70899999999999996</v>
      </c>
      <c r="AA222">
        <v>221</v>
      </c>
    </row>
    <row r="223" spans="1:27" hidden="1" x14ac:dyDescent="0.25">
      <c r="A223" t="s">
        <v>74</v>
      </c>
      <c r="B223">
        <v>20</v>
      </c>
      <c r="C223" t="s">
        <v>75</v>
      </c>
      <c r="D223">
        <v>2019</v>
      </c>
      <c r="E223">
        <f t="shared" si="45"/>
        <v>90</v>
      </c>
      <c r="F223">
        <f t="shared" si="50"/>
        <v>222</v>
      </c>
      <c r="G223" t="s">
        <v>62</v>
      </c>
      <c r="H223" t="str">
        <f t="shared" si="51"/>
        <v>10</v>
      </c>
      <c r="I223" t="str">
        <f t="shared" si="52"/>
        <v>a</v>
      </c>
      <c r="J223" t="str">
        <f t="shared" si="53"/>
        <v>Line</v>
      </c>
      <c r="K223">
        <v>4665182.93</v>
      </c>
      <c r="L223">
        <v>360468.88699999999</v>
      </c>
      <c r="M223">
        <v>1.05</v>
      </c>
      <c r="O223" s="1"/>
      <c r="P223" s="2">
        <f t="shared" si="46"/>
        <v>231</v>
      </c>
      <c r="Q223" s="2" t="b">
        <f t="shared" si="48"/>
        <v>1</v>
      </c>
      <c r="R223" s="2">
        <f t="shared" si="47"/>
        <v>0</v>
      </c>
      <c r="S223" s="2" t="b">
        <f t="shared" si="49"/>
        <v>1</v>
      </c>
      <c r="T223">
        <v>22</v>
      </c>
      <c r="U223">
        <v>222</v>
      </c>
      <c r="V223" t="s">
        <v>60</v>
      </c>
      <c r="W223">
        <v>4665185.8119999999</v>
      </c>
      <c r="X223">
        <v>360469.14600000001</v>
      </c>
      <c r="Y223">
        <v>0.99199999999999999</v>
      </c>
      <c r="AA223">
        <v>222</v>
      </c>
    </row>
    <row r="224" spans="1:27" hidden="1" x14ac:dyDescent="0.25">
      <c r="A224" t="s">
        <v>74</v>
      </c>
      <c r="B224">
        <v>20</v>
      </c>
      <c r="C224" t="s">
        <v>75</v>
      </c>
      <c r="D224">
        <v>2019</v>
      </c>
      <c r="E224">
        <f t="shared" ref="E224:E237" si="54">IF(G224=G223,E223,E223+1)</f>
        <v>90</v>
      </c>
      <c r="F224">
        <f t="shared" si="50"/>
        <v>223</v>
      </c>
      <c r="G224" t="s">
        <v>62</v>
      </c>
      <c r="H224" t="str">
        <f t="shared" si="51"/>
        <v>10</v>
      </c>
      <c r="I224" t="str">
        <f t="shared" si="52"/>
        <v>a</v>
      </c>
      <c r="J224" t="str">
        <f t="shared" si="53"/>
        <v>Line</v>
      </c>
      <c r="K224">
        <v>4665182.3629999999</v>
      </c>
      <c r="L224">
        <v>360469.14799999999</v>
      </c>
      <c r="M224">
        <v>0.99</v>
      </c>
      <c r="O224" s="1"/>
      <c r="P224" s="2">
        <f t="shared" si="46"/>
        <v>232</v>
      </c>
      <c r="Q224" s="2" t="b">
        <f t="shared" si="48"/>
        <v>1</v>
      </c>
      <c r="R224" s="2">
        <f t="shared" si="47"/>
        <v>0</v>
      </c>
      <c r="S224" s="2" t="b">
        <f t="shared" si="49"/>
        <v>1</v>
      </c>
      <c r="T224">
        <v>22</v>
      </c>
      <c r="U224">
        <v>223</v>
      </c>
      <c r="V224" t="s">
        <v>60</v>
      </c>
      <c r="W224">
        <v>4665185.1330000004</v>
      </c>
      <c r="X224">
        <v>360469.59700000001</v>
      </c>
      <c r="Y224">
        <v>0.83699999999999997</v>
      </c>
      <c r="AA224">
        <v>223</v>
      </c>
    </row>
    <row r="225" spans="1:27" hidden="1" x14ac:dyDescent="0.25">
      <c r="A225" t="s">
        <v>74</v>
      </c>
      <c r="B225">
        <v>20</v>
      </c>
      <c r="C225" t="s">
        <v>75</v>
      </c>
      <c r="D225">
        <v>2019</v>
      </c>
      <c r="E225">
        <f t="shared" si="54"/>
        <v>90</v>
      </c>
      <c r="F225">
        <f t="shared" si="50"/>
        <v>224</v>
      </c>
      <c r="G225" t="s">
        <v>62</v>
      </c>
      <c r="H225" t="str">
        <f t="shared" si="51"/>
        <v>10</v>
      </c>
      <c r="I225" t="str">
        <f t="shared" si="52"/>
        <v>a</v>
      </c>
      <c r="J225" t="str">
        <f t="shared" si="53"/>
        <v>Line</v>
      </c>
      <c r="K225">
        <v>4665181.784</v>
      </c>
      <c r="L225">
        <v>360470.11</v>
      </c>
      <c r="M225">
        <v>1.107</v>
      </c>
      <c r="O225" s="1"/>
      <c r="P225" s="2">
        <f t="shared" si="46"/>
        <v>233</v>
      </c>
      <c r="Q225" s="2" t="b">
        <f t="shared" si="48"/>
        <v>1</v>
      </c>
      <c r="R225" s="2">
        <f t="shared" si="47"/>
        <v>0</v>
      </c>
      <c r="S225" s="2" t="b">
        <f t="shared" si="49"/>
        <v>1</v>
      </c>
      <c r="T225">
        <v>22</v>
      </c>
      <c r="U225">
        <v>224</v>
      </c>
      <c r="V225" t="s">
        <v>60</v>
      </c>
      <c r="W225">
        <v>4665183.8890000004</v>
      </c>
      <c r="X225">
        <v>360469.79700000002</v>
      </c>
      <c r="Y225">
        <v>0.752</v>
      </c>
      <c r="AA225">
        <v>224</v>
      </c>
    </row>
    <row r="226" spans="1:27" hidden="1" x14ac:dyDescent="0.25">
      <c r="A226" t="s">
        <v>74</v>
      </c>
      <c r="B226">
        <v>20</v>
      </c>
      <c r="C226" t="s">
        <v>75</v>
      </c>
      <c r="D226">
        <v>2019</v>
      </c>
      <c r="E226">
        <f t="shared" si="54"/>
        <v>90</v>
      </c>
      <c r="F226">
        <f t="shared" si="50"/>
        <v>225</v>
      </c>
      <c r="G226" t="s">
        <v>62</v>
      </c>
      <c r="H226" t="str">
        <f t="shared" si="51"/>
        <v>10</v>
      </c>
      <c r="I226" t="str">
        <f t="shared" si="52"/>
        <v>a</v>
      </c>
      <c r="J226" t="str">
        <f t="shared" si="53"/>
        <v>Line</v>
      </c>
      <c r="K226">
        <v>4665183.75</v>
      </c>
      <c r="L226">
        <v>360470.35100000002</v>
      </c>
      <c r="M226">
        <v>1.056</v>
      </c>
      <c r="O226" s="1"/>
      <c r="P226" s="2">
        <f t="shared" si="46"/>
        <v>234</v>
      </c>
      <c r="Q226" s="2" t="b">
        <f t="shared" si="48"/>
        <v>1</v>
      </c>
      <c r="R226" s="2">
        <f t="shared" si="47"/>
        <v>0</v>
      </c>
      <c r="S226" s="2" t="b">
        <f t="shared" si="49"/>
        <v>1</v>
      </c>
      <c r="T226">
        <v>22</v>
      </c>
      <c r="U226">
        <v>225</v>
      </c>
      <c r="V226" t="s">
        <v>60</v>
      </c>
      <c r="W226">
        <v>4665183.5779999997</v>
      </c>
      <c r="X226">
        <v>360469.29599999997</v>
      </c>
      <c r="Y226">
        <v>0.92600000000000005</v>
      </c>
      <c r="AA226">
        <v>225</v>
      </c>
    </row>
    <row r="227" spans="1:27" hidden="1" x14ac:dyDescent="0.25">
      <c r="A227" t="s">
        <v>74</v>
      </c>
      <c r="B227">
        <v>20</v>
      </c>
      <c r="C227" t="s">
        <v>75</v>
      </c>
      <c r="D227">
        <v>2019</v>
      </c>
      <c r="E227">
        <f t="shared" si="54"/>
        <v>91</v>
      </c>
      <c r="F227">
        <f t="shared" si="50"/>
        <v>226</v>
      </c>
      <c r="G227" t="s">
        <v>19</v>
      </c>
      <c r="H227" t="str">
        <f t="shared" si="51"/>
        <v>01</v>
      </c>
      <c r="I227" t="str">
        <f t="shared" si="52"/>
        <v>a</v>
      </c>
      <c r="J227" t="str">
        <f t="shared" si="53"/>
        <v>Line</v>
      </c>
      <c r="K227">
        <v>4665184.2110000001</v>
      </c>
      <c r="L227">
        <v>360467.79599999997</v>
      </c>
      <c r="M227">
        <v>1.075</v>
      </c>
      <c r="N227" t="s">
        <v>63</v>
      </c>
      <c r="O227" s="1"/>
      <c r="P227" s="2">
        <f t="shared" si="46"/>
        <v>235</v>
      </c>
      <c r="Q227" s="2" t="b">
        <f t="shared" si="48"/>
        <v>1</v>
      </c>
      <c r="R227" s="2" t="str">
        <f t="shared" si="47"/>
        <v>flowering</v>
      </c>
      <c r="S227" s="2" t="b">
        <f t="shared" si="49"/>
        <v>1</v>
      </c>
      <c r="T227">
        <v>22</v>
      </c>
      <c r="U227">
        <v>226</v>
      </c>
      <c r="V227" t="s">
        <v>60</v>
      </c>
      <c r="W227">
        <v>4665184.4780000001</v>
      </c>
      <c r="X227">
        <v>360469.07400000002</v>
      </c>
      <c r="Y227">
        <v>0.9</v>
      </c>
      <c r="AA227">
        <v>226</v>
      </c>
    </row>
    <row r="228" spans="1:27" hidden="1" x14ac:dyDescent="0.25">
      <c r="A228" t="s">
        <v>74</v>
      </c>
      <c r="B228">
        <v>20</v>
      </c>
      <c r="C228" t="s">
        <v>75</v>
      </c>
      <c r="D228">
        <v>2019</v>
      </c>
      <c r="E228">
        <f t="shared" si="54"/>
        <v>91</v>
      </c>
      <c r="F228">
        <f t="shared" si="50"/>
        <v>227</v>
      </c>
      <c r="G228" t="s">
        <v>19</v>
      </c>
      <c r="H228" t="str">
        <f t="shared" si="51"/>
        <v>01</v>
      </c>
      <c r="I228" t="str">
        <f t="shared" si="52"/>
        <v>a</v>
      </c>
      <c r="J228" t="str">
        <f t="shared" si="53"/>
        <v>Line</v>
      </c>
      <c r="K228">
        <v>4665176.9189999998</v>
      </c>
      <c r="L228">
        <v>360445.63699999999</v>
      </c>
      <c r="M228">
        <v>1.1859999999999999</v>
      </c>
      <c r="O228" s="1"/>
      <c r="P228" s="2">
        <f t="shared" si="46"/>
        <v>236</v>
      </c>
      <c r="Q228" s="2" t="b">
        <f t="shared" si="48"/>
        <v>1</v>
      </c>
      <c r="R228" s="2">
        <f t="shared" si="47"/>
        <v>0</v>
      </c>
      <c r="S228" s="2" t="b">
        <f t="shared" si="49"/>
        <v>1</v>
      </c>
      <c r="T228">
        <v>22</v>
      </c>
      <c r="U228">
        <v>227</v>
      </c>
      <c r="V228" t="s">
        <v>60</v>
      </c>
      <c r="W228">
        <v>4665185.3</v>
      </c>
      <c r="X228">
        <v>360468.51400000002</v>
      </c>
      <c r="Y228">
        <v>1.014</v>
      </c>
      <c r="AA228">
        <v>227</v>
      </c>
    </row>
    <row r="229" spans="1:27" hidden="1" x14ac:dyDescent="0.25">
      <c r="A229" t="s">
        <v>74</v>
      </c>
      <c r="B229">
        <v>20</v>
      </c>
      <c r="C229" t="s">
        <v>75</v>
      </c>
      <c r="D229">
        <v>2019</v>
      </c>
      <c r="E229">
        <f t="shared" si="54"/>
        <v>92</v>
      </c>
      <c r="F229">
        <f t="shared" si="50"/>
        <v>228</v>
      </c>
      <c r="G229" t="s">
        <v>7</v>
      </c>
      <c r="H229" t="str">
        <f t="shared" si="51"/>
        <v>02</v>
      </c>
      <c r="I229" t="str">
        <f t="shared" si="52"/>
        <v>a</v>
      </c>
      <c r="J229" t="str">
        <f t="shared" si="53"/>
        <v>Line</v>
      </c>
      <c r="K229">
        <v>4665176.0990000004</v>
      </c>
      <c r="L229">
        <v>360443.60800000001</v>
      </c>
      <c r="M229">
        <v>1.1499999999999999</v>
      </c>
      <c r="O229" s="1"/>
      <c r="P229" s="2">
        <f t="shared" si="46"/>
        <v>237</v>
      </c>
      <c r="Q229" s="2" t="b">
        <f t="shared" si="48"/>
        <v>1</v>
      </c>
      <c r="R229" s="2">
        <f t="shared" si="47"/>
        <v>0</v>
      </c>
      <c r="S229" s="2" t="b">
        <f t="shared" si="49"/>
        <v>1</v>
      </c>
      <c r="T229">
        <v>22</v>
      </c>
      <c r="U229">
        <v>228</v>
      </c>
      <c r="V229" t="s">
        <v>60</v>
      </c>
      <c r="W229">
        <v>4665186.0029999996</v>
      </c>
      <c r="X229">
        <v>360468.04300000001</v>
      </c>
      <c r="Y229">
        <v>0.77300000000000002</v>
      </c>
      <c r="AA229">
        <v>228</v>
      </c>
    </row>
    <row r="230" spans="1:27" hidden="1" x14ac:dyDescent="0.25">
      <c r="A230" t="s">
        <v>74</v>
      </c>
      <c r="B230">
        <v>20</v>
      </c>
      <c r="C230" t="s">
        <v>75</v>
      </c>
      <c r="D230">
        <v>2019</v>
      </c>
      <c r="E230">
        <f t="shared" si="54"/>
        <v>92</v>
      </c>
      <c r="F230">
        <f t="shared" si="50"/>
        <v>229</v>
      </c>
      <c r="G230" t="s">
        <v>7</v>
      </c>
      <c r="H230" t="str">
        <f t="shared" si="51"/>
        <v>02</v>
      </c>
      <c r="I230" t="str">
        <f t="shared" si="52"/>
        <v>a</v>
      </c>
      <c r="J230" t="str">
        <f t="shared" si="53"/>
        <v>Line</v>
      </c>
      <c r="K230">
        <v>4665171.4179999996</v>
      </c>
      <c r="L230">
        <v>360428.59399999998</v>
      </c>
      <c r="M230">
        <v>1.206</v>
      </c>
      <c r="O230" s="1"/>
      <c r="P230" s="2">
        <f t="shared" si="46"/>
        <v>238</v>
      </c>
      <c r="Q230" s="2" t="b">
        <f t="shared" si="48"/>
        <v>1</v>
      </c>
      <c r="R230" s="2">
        <f t="shared" si="47"/>
        <v>0</v>
      </c>
      <c r="S230" s="2" t="b">
        <f t="shared" si="49"/>
        <v>1</v>
      </c>
      <c r="T230">
        <v>22</v>
      </c>
      <c r="U230">
        <v>229</v>
      </c>
      <c r="V230" t="s">
        <v>60</v>
      </c>
      <c r="W230">
        <v>4665184.9249999998</v>
      </c>
      <c r="X230">
        <v>360469.22899999999</v>
      </c>
      <c r="Y230">
        <v>0.40300000000000002</v>
      </c>
      <c r="Z230" t="s">
        <v>61</v>
      </c>
      <c r="AA230">
        <v>229</v>
      </c>
    </row>
    <row r="231" spans="1:27" hidden="1" x14ac:dyDescent="0.25">
      <c r="A231" t="s">
        <v>74</v>
      </c>
      <c r="B231">
        <v>20</v>
      </c>
      <c r="C231" t="s">
        <v>75</v>
      </c>
      <c r="D231">
        <v>2019</v>
      </c>
      <c r="E231">
        <f t="shared" si="54"/>
        <v>93</v>
      </c>
      <c r="F231">
        <f t="shared" si="50"/>
        <v>230</v>
      </c>
      <c r="G231" t="s">
        <v>19</v>
      </c>
      <c r="H231" t="str">
        <f t="shared" si="51"/>
        <v>01</v>
      </c>
      <c r="I231" t="str">
        <f t="shared" si="52"/>
        <v>a</v>
      </c>
      <c r="J231" t="str">
        <f t="shared" si="53"/>
        <v>MU</v>
      </c>
      <c r="K231">
        <v>4665171.2220000001</v>
      </c>
      <c r="L231">
        <v>360427.48499999999</v>
      </c>
      <c r="M231">
        <v>1.1950000000000001</v>
      </c>
      <c r="N231" t="s">
        <v>21</v>
      </c>
      <c r="O231" s="1"/>
      <c r="P231" s="2">
        <f t="shared" si="46"/>
        <v>239</v>
      </c>
      <c r="Q231" s="2" t="b">
        <f t="shared" si="48"/>
        <v>1</v>
      </c>
      <c r="R231" s="2" t="str">
        <f t="shared" si="47"/>
        <v>not flowering</v>
      </c>
      <c r="S231" s="2" t="b">
        <f t="shared" si="49"/>
        <v>1</v>
      </c>
      <c r="T231">
        <v>22</v>
      </c>
      <c r="U231">
        <v>230</v>
      </c>
      <c r="V231" t="s">
        <v>62</v>
      </c>
      <c r="W231">
        <v>4665183.4479999999</v>
      </c>
      <c r="X231">
        <v>360469.12800000003</v>
      </c>
      <c r="Y231">
        <v>0.99199999999999999</v>
      </c>
      <c r="AA231">
        <v>230</v>
      </c>
    </row>
    <row r="232" spans="1:27" hidden="1" x14ac:dyDescent="0.25">
      <c r="A232" t="s">
        <v>74</v>
      </c>
      <c r="B232">
        <v>20</v>
      </c>
      <c r="C232" t="s">
        <v>75</v>
      </c>
      <c r="D232">
        <v>2019</v>
      </c>
      <c r="E232">
        <f t="shared" si="54"/>
        <v>94</v>
      </c>
      <c r="F232">
        <f t="shared" si="50"/>
        <v>231</v>
      </c>
      <c r="G232" t="s">
        <v>5</v>
      </c>
      <c r="H232" t="str">
        <f t="shared" si="51"/>
        <v>04</v>
      </c>
      <c r="I232" t="str">
        <f t="shared" si="52"/>
        <v>a</v>
      </c>
      <c r="J232" t="str">
        <f t="shared" si="53"/>
        <v>Line</v>
      </c>
      <c r="K232">
        <v>4665168.4309999999</v>
      </c>
      <c r="L232">
        <v>360431.41</v>
      </c>
      <c r="M232">
        <v>1.2090000000000001</v>
      </c>
      <c r="O232" s="1"/>
      <c r="P232" s="2">
        <f t="shared" si="46"/>
        <v>240</v>
      </c>
      <c r="Q232" s="2" t="b">
        <f t="shared" si="48"/>
        <v>1</v>
      </c>
      <c r="R232" s="2">
        <f t="shared" si="47"/>
        <v>0</v>
      </c>
      <c r="S232" s="2" t="b">
        <f t="shared" si="49"/>
        <v>1</v>
      </c>
      <c r="T232">
        <v>22</v>
      </c>
      <c r="U232">
        <v>231</v>
      </c>
      <c r="V232" t="s">
        <v>62</v>
      </c>
      <c r="W232">
        <v>4665182.93</v>
      </c>
      <c r="X232">
        <v>360468.88699999999</v>
      </c>
      <c r="Y232">
        <v>1.05</v>
      </c>
      <c r="AA232">
        <v>231</v>
      </c>
    </row>
    <row r="233" spans="1:27" hidden="1" x14ac:dyDescent="0.25">
      <c r="A233" t="s">
        <v>74</v>
      </c>
      <c r="B233">
        <v>20</v>
      </c>
      <c r="C233" t="s">
        <v>75</v>
      </c>
      <c r="D233">
        <v>2019</v>
      </c>
      <c r="E233">
        <f t="shared" si="54"/>
        <v>94</v>
      </c>
      <c r="F233">
        <f t="shared" si="50"/>
        <v>232</v>
      </c>
      <c r="G233" t="s">
        <v>5</v>
      </c>
      <c r="H233" t="str">
        <f t="shared" si="51"/>
        <v>04</v>
      </c>
      <c r="I233" t="str">
        <f t="shared" si="52"/>
        <v>a</v>
      </c>
      <c r="J233" t="str">
        <f t="shared" si="53"/>
        <v>Line</v>
      </c>
      <c r="K233">
        <v>4665151.699</v>
      </c>
      <c r="L233">
        <v>360410.66600000003</v>
      </c>
      <c r="M233">
        <v>1.17</v>
      </c>
      <c r="O233" s="1"/>
      <c r="P233" s="2">
        <f t="shared" si="46"/>
        <v>241</v>
      </c>
      <c r="Q233" s="2" t="b">
        <f t="shared" si="48"/>
        <v>1</v>
      </c>
      <c r="R233" s="2">
        <f t="shared" si="47"/>
        <v>0</v>
      </c>
      <c r="S233" s="2" t="b">
        <f t="shared" si="49"/>
        <v>1</v>
      </c>
      <c r="T233">
        <v>22</v>
      </c>
      <c r="U233">
        <v>232</v>
      </c>
      <c r="V233" t="s">
        <v>62</v>
      </c>
      <c r="W233">
        <v>4665182.3629999999</v>
      </c>
      <c r="X233">
        <v>360469.14799999999</v>
      </c>
      <c r="Y233">
        <v>0.99</v>
      </c>
      <c r="AA233">
        <v>232</v>
      </c>
    </row>
    <row r="234" spans="1:27" hidden="1" x14ac:dyDescent="0.25">
      <c r="A234" t="s">
        <v>74</v>
      </c>
      <c r="B234">
        <v>20</v>
      </c>
      <c r="C234" t="s">
        <v>75</v>
      </c>
      <c r="D234">
        <v>2019</v>
      </c>
      <c r="E234">
        <f t="shared" si="54"/>
        <v>95</v>
      </c>
      <c r="F234">
        <f t="shared" si="50"/>
        <v>233</v>
      </c>
      <c r="G234" t="s">
        <v>7</v>
      </c>
      <c r="H234" t="str">
        <f t="shared" si="51"/>
        <v>02</v>
      </c>
      <c r="I234" t="str">
        <f t="shared" si="52"/>
        <v>a</v>
      </c>
      <c r="J234" t="str">
        <f t="shared" si="53"/>
        <v>Line</v>
      </c>
      <c r="K234">
        <v>4665150.852</v>
      </c>
      <c r="L234">
        <v>360408.772</v>
      </c>
      <c r="M234">
        <v>1.1759999999999999</v>
      </c>
      <c r="O234" s="1"/>
      <c r="P234" s="2">
        <f t="shared" si="46"/>
        <v>242</v>
      </c>
      <c r="Q234" s="2" t="b">
        <f t="shared" si="48"/>
        <v>1</v>
      </c>
      <c r="R234" s="2">
        <f t="shared" si="47"/>
        <v>0</v>
      </c>
      <c r="S234" s="2" t="b">
        <f t="shared" ref="S234:S265" si="55">IF(N234=R234,TRUE,FALSE)</f>
        <v>1</v>
      </c>
      <c r="T234">
        <v>22</v>
      </c>
      <c r="U234">
        <v>233</v>
      </c>
      <c r="V234" t="s">
        <v>62</v>
      </c>
      <c r="W234">
        <v>4665181.784</v>
      </c>
      <c r="X234">
        <v>360470.11</v>
      </c>
      <c r="Y234">
        <v>1.107</v>
      </c>
      <c r="AA234">
        <v>233</v>
      </c>
    </row>
    <row r="235" spans="1:27" hidden="1" x14ac:dyDescent="0.25">
      <c r="A235" t="s">
        <v>74</v>
      </c>
      <c r="B235">
        <v>20</v>
      </c>
      <c r="C235" t="s">
        <v>75</v>
      </c>
      <c r="D235">
        <v>2019</v>
      </c>
      <c r="E235">
        <f t="shared" si="54"/>
        <v>95</v>
      </c>
      <c r="F235">
        <f t="shared" si="50"/>
        <v>234</v>
      </c>
      <c r="G235" t="s">
        <v>7</v>
      </c>
      <c r="H235" t="str">
        <f t="shared" si="51"/>
        <v>02</v>
      </c>
      <c r="I235" t="str">
        <f t="shared" si="52"/>
        <v>a</v>
      </c>
      <c r="J235" t="str">
        <f t="shared" si="53"/>
        <v>Line</v>
      </c>
      <c r="K235">
        <v>4665149.47</v>
      </c>
      <c r="L235">
        <v>360405.321</v>
      </c>
      <c r="M235">
        <v>1.099</v>
      </c>
      <c r="O235" s="1"/>
      <c r="P235" s="2">
        <f t="shared" si="46"/>
        <v>243</v>
      </c>
      <c r="Q235" s="2" t="b">
        <f t="shared" si="48"/>
        <v>1</v>
      </c>
      <c r="R235" s="2">
        <f t="shared" si="47"/>
        <v>0</v>
      </c>
      <c r="S235" s="2" t="b">
        <f t="shared" si="55"/>
        <v>1</v>
      </c>
      <c r="T235">
        <v>22</v>
      </c>
      <c r="U235">
        <v>234</v>
      </c>
      <c r="V235" t="s">
        <v>62</v>
      </c>
      <c r="W235">
        <v>4665183.75</v>
      </c>
      <c r="X235">
        <v>360470.35100000002</v>
      </c>
      <c r="Y235">
        <v>1.056</v>
      </c>
      <c r="AA235">
        <v>234</v>
      </c>
    </row>
    <row r="236" spans="1:27" hidden="1" x14ac:dyDescent="0.25">
      <c r="A236" t="s">
        <v>74</v>
      </c>
      <c r="B236">
        <v>20</v>
      </c>
      <c r="C236" t="s">
        <v>75</v>
      </c>
      <c r="D236">
        <v>2019</v>
      </c>
      <c r="E236">
        <f t="shared" si="54"/>
        <v>96</v>
      </c>
      <c r="F236">
        <f t="shared" si="50"/>
        <v>235</v>
      </c>
      <c r="G236" t="s">
        <v>19</v>
      </c>
      <c r="H236" t="str">
        <f t="shared" si="51"/>
        <v>01</v>
      </c>
      <c r="I236" t="str">
        <f t="shared" si="52"/>
        <v>a</v>
      </c>
      <c r="J236" t="str">
        <f t="shared" si="53"/>
        <v>Line</v>
      </c>
      <c r="K236">
        <v>4665148.6160000004</v>
      </c>
      <c r="L236">
        <v>360403.429</v>
      </c>
      <c r="M236">
        <v>1.0489999999999999</v>
      </c>
      <c r="N236" t="s">
        <v>21</v>
      </c>
      <c r="O236" s="1"/>
      <c r="P236" s="2">
        <f t="shared" si="46"/>
        <v>244</v>
      </c>
      <c r="Q236" s="2" t="b">
        <f t="shared" si="48"/>
        <v>1</v>
      </c>
      <c r="R236" s="2" t="str">
        <f t="shared" si="47"/>
        <v>not flowering</v>
      </c>
      <c r="S236" s="2" t="b">
        <f t="shared" si="55"/>
        <v>1</v>
      </c>
      <c r="T236">
        <v>22</v>
      </c>
      <c r="U236">
        <v>235</v>
      </c>
      <c r="V236" t="s">
        <v>19</v>
      </c>
      <c r="W236">
        <v>4665184.2110000001</v>
      </c>
      <c r="X236">
        <v>360467.79599999997</v>
      </c>
      <c r="Y236">
        <v>1.075</v>
      </c>
      <c r="Z236" t="s">
        <v>63</v>
      </c>
      <c r="AA236">
        <v>235</v>
      </c>
    </row>
    <row r="237" spans="1:27" hidden="1" x14ac:dyDescent="0.25">
      <c r="A237" t="s">
        <v>74</v>
      </c>
      <c r="B237">
        <v>20</v>
      </c>
      <c r="C237" t="s">
        <v>75</v>
      </c>
      <c r="D237">
        <v>2019</v>
      </c>
      <c r="E237">
        <f t="shared" si="54"/>
        <v>96</v>
      </c>
      <c r="F237">
        <f t="shared" si="50"/>
        <v>236</v>
      </c>
      <c r="G237" t="s">
        <v>19</v>
      </c>
      <c r="H237" t="str">
        <f t="shared" si="51"/>
        <v>01</v>
      </c>
      <c r="I237" t="str">
        <f t="shared" si="52"/>
        <v>a</v>
      </c>
      <c r="J237" t="str">
        <f>IF(OR((E237=E254),(E237=E236)),"Line","MU")</f>
        <v>Line</v>
      </c>
      <c r="K237">
        <v>4665171.4620000003</v>
      </c>
      <c r="L237">
        <v>360412.72700000001</v>
      </c>
      <c r="M237">
        <v>1.18</v>
      </c>
      <c r="O237" s="1"/>
      <c r="P237" s="2">
        <f t="shared" si="46"/>
        <v>245</v>
      </c>
      <c r="Q237" s="2" t="b">
        <f t="shared" si="48"/>
        <v>1</v>
      </c>
      <c r="R237" s="2">
        <f t="shared" si="47"/>
        <v>0</v>
      </c>
      <c r="S237" s="2" t="b">
        <f t="shared" si="55"/>
        <v>1</v>
      </c>
      <c r="T237">
        <v>22</v>
      </c>
      <c r="U237">
        <v>236</v>
      </c>
      <c r="V237" t="s">
        <v>19</v>
      </c>
      <c r="W237">
        <v>4665176.9189999998</v>
      </c>
      <c r="X237">
        <v>360445.63699999999</v>
      </c>
      <c r="Y237">
        <v>1.1859999999999999</v>
      </c>
      <c r="AA237">
        <v>236</v>
      </c>
    </row>
    <row r="238" spans="1:27" x14ac:dyDescent="0.25">
      <c r="O238" s="1"/>
      <c r="P238" s="2" t="e">
        <f t="shared" si="46"/>
        <v>#N/A</v>
      </c>
      <c r="Q238" s="2" t="e">
        <f t="shared" si="48"/>
        <v>#N/A</v>
      </c>
      <c r="R238" s="2" t="e">
        <f t="shared" si="47"/>
        <v>#N/A</v>
      </c>
      <c r="S238" s="2" t="e">
        <f t="shared" ref="S238:S258" si="56">IF(N238=R238,TRUE,FALSE)</f>
        <v>#N/A</v>
      </c>
      <c r="T238">
        <v>22</v>
      </c>
      <c r="U238">
        <v>237</v>
      </c>
      <c r="V238" t="s">
        <v>7</v>
      </c>
      <c r="W238">
        <v>4665176.0990000004</v>
      </c>
      <c r="X238">
        <v>360443.60800000001</v>
      </c>
      <c r="Y238">
        <v>1.1499999999999999</v>
      </c>
      <c r="AA238">
        <v>237</v>
      </c>
    </row>
    <row r="239" spans="1:27" x14ac:dyDescent="0.25">
      <c r="O239" s="1"/>
      <c r="P239" s="2" t="e">
        <f t="shared" si="46"/>
        <v>#N/A</v>
      </c>
      <c r="Q239" s="2" t="e">
        <f t="shared" si="48"/>
        <v>#N/A</v>
      </c>
      <c r="R239" s="2" t="e">
        <f t="shared" si="47"/>
        <v>#N/A</v>
      </c>
      <c r="S239" s="2" t="e">
        <f t="shared" si="56"/>
        <v>#N/A</v>
      </c>
      <c r="T239">
        <v>22</v>
      </c>
      <c r="U239">
        <v>238</v>
      </c>
      <c r="V239" t="s">
        <v>7</v>
      </c>
      <c r="W239">
        <v>4665171.4179999996</v>
      </c>
      <c r="X239">
        <v>360428.59399999998</v>
      </c>
      <c r="Y239">
        <v>1.206</v>
      </c>
      <c r="AA239">
        <v>238</v>
      </c>
    </row>
    <row r="240" spans="1:27" x14ac:dyDescent="0.25">
      <c r="O240" s="1"/>
      <c r="P240" s="2" t="e">
        <f t="shared" si="46"/>
        <v>#N/A</v>
      </c>
      <c r="Q240" s="2" t="e">
        <f t="shared" si="48"/>
        <v>#N/A</v>
      </c>
      <c r="R240" s="2" t="e">
        <f t="shared" si="47"/>
        <v>#N/A</v>
      </c>
      <c r="S240" s="2" t="e">
        <f t="shared" si="56"/>
        <v>#N/A</v>
      </c>
      <c r="T240" t="s">
        <v>90</v>
      </c>
      <c r="U240">
        <v>239</v>
      </c>
      <c r="V240" t="s">
        <v>19</v>
      </c>
      <c r="W240">
        <v>4665171.2220000001</v>
      </c>
      <c r="X240">
        <v>360427.48499999999</v>
      </c>
      <c r="Y240">
        <v>1.1950000000000001</v>
      </c>
      <c r="Z240" t="s">
        <v>21</v>
      </c>
      <c r="AA240">
        <v>239</v>
      </c>
    </row>
    <row r="241" spans="15:27" x14ac:dyDescent="0.25">
      <c r="O241" s="1"/>
      <c r="P241" s="2" t="e">
        <f t="shared" si="46"/>
        <v>#N/A</v>
      </c>
      <c r="Q241" s="2" t="e">
        <f t="shared" si="48"/>
        <v>#N/A</v>
      </c>
      <c r="R241" s="2" t="e">
        <f t="shared" si="47"/>
        <v>#N/A</v>
      </c>
      <c r="S241" s="2" t="e">
        <f t="shared" si="56"/>
        <v>#N/A</v>
      </c>
      <c r="T241">
        <v>24</v>
      </c>
      <c r="U241">
        <v>240</v>
      </c>
      <c r="V241" t="s">
        <v>5</v>
      </c>
      <c r="W241">
        <v>4665168.4309999999</v>
      </c>
      <c r="X241">
        <v>360431.41</v>
      </c>
      <c r="Y241">
        <v>1.2090000000000001</v>
      </c>
      <c r="AA241">
        <v>240</v>
      </c>
    </row>
    <row r="242" spans="15:27" x14ac:dyDescent="0.25">
      <c r="O242" s="1"/>
      <c r="P242" s="2" t="e">
        <f t="shared" si="46"/>
        <v>#N/A</v>
      </c>
      <c r="Q242" s="2" t="e">
        <f t="shared" si="48"/>
        <v>#N/A</v>
      </c>
      <c r="R242" s="2" t="e">
        <f t="shared" si="47"/>
        <v>#N/A</v>
      </c>
      <c r="S242" s="2" t="e">
        <f t="shared" si="56"/>
        <v>#N/A</v>
      </c>
      <c r="T242">
        <v>24</v>
      </c>
      <c r="U242">
        <v>241</v>
      </c>
      <c r="V242" t="s">
        <v>5</v>
      </c>
      <c r="W242">
        <v>4665151.699</v>
      </c>
      <c r="X242">
        <v>360410.66600000003</v>
      </c>
      <c r="Y242">
        <v>1.17</v>
      </c>
      <c r="AA242">
        <v>241</v>
      </c>
    </row>
    <row r="243" spans="15:27" x14ac:dyDescent="0.25">
      <c r="O243" s="1"/>
      <c r="P243" s="2" t="e">
        <f t="shared" si="46"/>
        <v>#N/A</v>
      </c>
      <c r="Q243" s="2" t="e">
        <f t="shared" si="48"/>
        <v>#N/A</v>
      </c>
      <c r="R243" s="2" t="e">
        <f t="shared" si="47"/>
        <v>#N/A</v>
      </c>
      <c r="S243" s="2" t="e">
        <f t="shared" si="56"/>
        <v>#N/A</v>
      </c>
      <c r="T243">
        <v>24</v>
      </c>
      <c r="U243">
        <v>242</v>
      </c>
      <c r="V243" t="s">
        <v>7</v>
      </c>
      <c r="W243">
        <v>4665150.852</v>
      </c>
      <c r="X243">
        <v>360408.772</v>
      </c>
      <c r="Y243">
        <v>1.1759999999999999</v>
      </c>
      <c r="AA243">
        <v>242</v>
      </c>
    </row>
    <row r="244" spans="15:27" x14ac:dyDescent="0.25">
      <c r="O244" s="1"/>
      <c r="P244" s="2" t="e">
        <f t="shared" si="46"/>
        <v>#N/A</v>
      </c>
      <c r="Q244" s="2" t="e">
        <f t="shared" si="48"/>
        <v>#N/A</v>
      </c>
      <c r="R244" s="2" t="e">
        <f t="shared" si="47"/>
        <v>#N/A</v>
      </c>
      <c r="S244" s="2" t="e">
        <f t="shared" si="56"/>
        <v>#N/A</v>
      </c>
      <c r="T244">
        <v>24</v>
      </c>
      <c r="U244">
        <v>243</v>
      </c>
      <c r="V244" t="s">
        <v>7</v>
      </c>
      <c r="W244">
        <v>4665149.47</v>
      </c>
      <c r="X244">
        <v>360405.321</v>
      </c>
      <c r="Y244">
        <v>1.099</v>
      </c>
      <c r="AA244">
        <v>243</v>
      </c>
    </row>
    <row r="245" spans="15:27" x14ac:dyDescent="0.25">
      <c r="O245" s="1"/>
      <c r="P245" s="2" t="e">
        <f t="shared" si="46"/>
        <v>#N/A</v>
      </c>
      <c r="Q245" s="2" t="e">
        <f t="shared" si="48"/>
        <v>#N/A</v>
      </c>
      <c r="R245" s="2" t="e">
        <f t="shared" si="47"/>
        <v>#N/A</v>
      </c>
      <c r="S245" s="2" t="e">
        <f t="shared" si="56"/>
        <v>#N/A</v>
      </c>
      <c r="T245">
        <v>24</v>
      </c>
      <c r="U245">
        <v>244</v>
      </c>
      <c r="V245" t="s">
        <v>19</v>
      </c>
      <c r="W245">
        <v>4665148.6160000004</v>
      </c>
      <c r="X245">
        <v>360403.429</v>
      </c>
      <c r="Y245">
        <v>1.0489999999999999</v>
      </c>
      <c r="Z245" t="s">
        <v>21</v>
      </c>
      <c r="AA245">
        <v>244</v>
      </c>
    </row>
    <row r="246" spans="15:27" x14ac:dyDescent="0.25">
      <c r="O246" s="1"/>
      <c r="P246" s="2" t="e">
        <f t="shared" si="46"/>
        <v>#N/A</v>
      </c>
      <c r="Q246" s="2" t="e">
        <f t="shared" si="48"/>
        <v>#N/A</v>
      </c>
      <c r="R246" s="2" t="e">
        <f t="shared" si="47"/>
        <v>#N/A</v>
      </c>
      <c r="S246" s="2" t="e">
        <f t="shared" si="56"/>
        <v>#N/A</v>
      </c>
      <c r="T246">
        <v>24</v>
      </c>
      <c r="U246">
        <v>245</v>
      </c>
      <c r="V246" t="s">
        <v>19</v>
      </c>
      <c r="W246">
        <v>4665171.4620000003</v>
      </c>
      <c r="X246">
        <v>360412.72700000001</v>
      </c>
      <c r="Y246">
        <v>1.18</v>
      </c>
      <c r="AA246">
        <v>245</v>
      </c>
    </row>
    <row r="247" spans="15:27" x14ac:dyDescent="0.25">
      <c r="O247" s="1"/>
      <c r="P247" s="2" t="e">
        <f t="shared" si="46"/>
        <v>#N/A</v>
      </c>
      <c r="Q247" s="2" t="e">
        <f t="shared" si="48"/>
        <v>#N/A</v>
      </c>
      <c r="R247" s="2" t="e">
        <f t="shared" si="47"/>
        <v>#N/A</v>
      </c>
      <c r="S247" s="2" t="e">
        <f t="shared" si="56"/>
        <v>#N/A</v>
      </c>
      <c r="T247">
        <v>24</v>
      </c>
      <c r="U247">
        <v>246</v>
      </c>
      <c r="V247" t="s">
        <v>91</v>
      </c>
      <c r="W247">
        <v>4665172.84</v>
      </c>
      <c r="X247">
        <v>360412.63699999999</v>
      </c>
      <c r="Y247">
        <v>1.097</v>
      </c>
      <c r="AA247">
        <v>246</v>
      </c>
    </row>
    <row r="248" spans="15:27" x14ac:dyDescent="0.25">
      <c r="O248" s="1"/>
      <c r="P248" s="2" t="e">
        <f t="shared" si="46"/>
        <v>#N/A</v>
      </c>
      <c r="Q248" s="2" t="e">
        <f t="shared" si="48"/>
        <v>#N/A</v>
      </c>
      <c r="R248" s="2" t="e">
        <f t="shared" si="47"/>
        <v>#N/A</v>
      </c>
      <c r="S248" s="2" t="e">
        <f t="shared" si="56"/>
        <v>#N/A</v>
      </c>
      <c r="T248">
        <v>24</v>
      </c>
      <c r="U248">
        <v>247</v>
      </c>
      <c r="V248" t="s">
        <v>91</v>
      </c>
      <c r="W248">
        <v>4665171.7879999997</v>
      </c>
      <c r="X248">
        <v>360411.74599999998</v>
      </c>
      <c r="Y248">
        <v>1.0109999999999999</v>
      </c>
      <c r="AA248">
        <v>247</v>
      </c>
    </row>
    <row r="249" spans="15:27" x14ac:dyDescent="0.25">
      <c r="O249" s="1"/>
      <c r="P249" s="2" t="e">
        <f t="shared" si="46"/>
        <v>#N/A</v>
      </c>
      <c r="Q249" s="2" t="e">
        <f t="shared" si="48"/>
        <v>#N/A</v>
      </c>
      <c r="R249" s="2" t="e">
        <f t="shared" si="47"/>
        <v>#N/A</v>
      </c>
      <c r="S249" s="2" t="e">
        <f t="shared" si="56"/>
        <v>#N/A</v>
      </c>
      <c r="T249">
        <v>24</v>
      </c>
      <c r="U249">
        <v>248</v>
      </c>
      <c r="V249" t="s">
        <v>91</v>
      </c>
      <c r="W249">
        <v>4665168.9989999998</v>
      </c>
      <c r="X249">
        <v>360410.57</v>
      </c>
      <c r="Y249">
        <v>0.93700000000000006</v>
      </c>
      <c r="AA249">
        <v>248</v>
      </c>
    </row>
    <row r="250" spans="15:27" x14ac:dyDescent="0.25">
      <c r="O250" s="1"/>
      <c r="P250" s="2" t="e">
        <f t="shared" si="46"/>
        <v>#N/A</v>
      </c>
      <c r="Q250" s="2" t="e">
        <f t="shared" si="48"/>
        <v>#N/A</v>
      </c>
      <c r="R250" s="2" t="e">
        <f t="shared" si="47"/>
        <v>#N/A</v>
      </c>
      <c r="S250" s="2" t="e">
        <f t="shared" si="56"/>
        <v>#N/A</v>
      </c>
      <c r="T250">
        <v>24</v>
      </c>
      <c r="U250">
        <v>249</v>
      </c>
      <c r="V250" t="s">
        <v>91</v>
      </c>
      <c r="W250">
        <v>4665164.8720000004</v>
      </c>
      <c r="X250">
        <v>360409.07199999999</v>
      </c>
      <c r="Y250">
        <v>0.97799999999999998</v>
      </c>
      <c r="AA250">
        <v>249</v>
      </c>
    </row>
    <row r="251" spans="15:27" x14ac:dyDescent="0.25">
      <c r="O251" s="1"/>
      <c r="P251" s="2" t="e">
        <f t="shared" si="46"/>
        <v>#N/A</v>
      </c>
      <c r="Q251" s="2" t="e">
        <f t="shared" si="48"/>
        <v>#N/A</v>
      </c>
      <c r="R251" s="2" t="e">
        <f t="shared" si="47"/>
        <v>#N/A</v>
      </c>
      <c r="S251" s="2" t="e">
        <f t="shared" si="56"/>
        <v>#N/A</v>
      </c>
      <c r="T251">
        <v>24</v>
      </c>
      <c r="U251">
        <v>250</v>
      </c>
      <c r="V251" t="s">
        <v>91</v>
      </c>
      <c r="W251">
        <v>4665162.4400000004</v>
      </c>
      <c r="X251">
        <v>360407.12</v>
      </c>
      <c r="Y251">
        <v>0.67400000000000004</v>
      </c>
      <c r="AA251">
        <v>250</v>
      </c>
    </row>
    <row r="252" spans="15:27" x14ac:dyDescent="0.25">
      <c r="O252" s="1"/>
      <c r="P252" s="2" t="e">
        <f t="shared" si="46"/>
        <v>#N/A</v>
      </c>
      <c r="Q252" s="2" t="e">
        <f t="shared" si="48"/>
        <v>#N/A</v>
      </c>
      <c r="R252" s="2" t="e">
        <f t="shared" si="47"/>
        <v>#N/A</v>
      </c>
      <c r="S252" s="2" t="e">
        <f t="shared" si="56"/>
        <v>#N/A</v>
      </c>
      <c r="T252">
        <v>24</v>
      </c>
      <c r="U252">
        <v>251</v>
      </c>
      <c r="V252" t="s">
        <v>91</v>
      </c>
      <c r="W252">
        <v>4665157.5389999999</v>
      </c>
      <c r="X252">
        <v>360406.14</v>
      </c>
      <c r="Y252">
        <v>0.995</v>
      </c>
      <c r="AA252">
        <v>251</v>
      </c>
    </row>
    <row r="253" spans="15:27" x14ac:dyDescent="0.25">
      <c r="O253" s="1"/>
      <c r="P253" s="2" t="e">
        <f t="shared" si="46"/>
        <v>#N/A</v>
      </c>
      <c r="Q253" s="2" t="e">
        <f t="shared" si="48"/>
        <v>#N/A</v>
      </c>
      <c r="R253" s="2" t="e">
        <f t="shared" si="47"/>
        <v>#N/A</v>
      </c>
      <c r="S253" s="2" t="e">
        <f t="shared" si="56"/>
        <v>#N/A</v>
      </c>
      <c r="T253">
        <v>24</v>
      </c>
      <c r="U253">
        <v>252</v>
      </c>
      <c r="V253" t="s">
        <v>91</v>
      </c>
      <c r="W253">
        <v>4665152.7230000002</v>
      </c>
      <c r="X253">
        <v>360403.43900000001</v>
      </c>
      <c r="Y253">
        <v>0.57099999999999995</v>
      </c>
      <c r="AA253">
        <v>252</v>
      </c>
    </row>
    <row r="254" spans="15:27" x14ac:dyDescent="0.25">
      <c r="O254" s="1"/>
      <c r="P254" s="2" t="e">
        <f t="shared" si="46"/>
        <v>#N/A</v>
      </c>
      <c r="Q254" s="2" t="e">
        <f t="shared" si="48"/>
        <v>#N/A</v>
      </c>
      <c r="R254" s="2" t="e">
        <f t="shared" si="47"/>
        <v>#N/A</v>
      </c>
      <c r="S254" s="2" t="e">
        <f t="shared" si="56"/>
        <v>#N/A</v>
      </c>
      <c r="T254">
        <v>24</v>
      </c>
      <c r="U254">
        <v>253</v>
      </c>
      <c r="V254" t="s">
        <v>91</v>
      </c>
      <c r="W254">
        <v>4665172.415</v>
      </c>
      <c r="X254">
        <v>360413.78</v>
      </c>
      <c r="Y254">
        <v>0.79400000000000004</v>
      </c>
      <c r="AA254">
        <v>253</v>
      </c>
    </row>
    <row r="255" spans="15:27" x14ac:dyDescent="0.25">
      <c r="O255" s="1"/>
      <c r="P255" s="2" t="e">
        <f t="shared" si="46"/>
        <v>#N/A</v>
      </c>
      <c r="Q255" s="2" t="e">
        <f t="shared" si="48"/>
        <v>#N/A</v>
      </c>
      <c r="R255" s="2" t="e">
        <f t="shared" si="47"/>
        <v>#N/A</v>
      </c>
      <c r="S255" s="2" t="e">
        <f t="shared" si="56"/>
        <v>#N/A</v>
      </c>
      <c r="T255">
        <v>24</v>
      </c>
      <c r="U255">
        <v>254</v>
      </c>
      <c r="V255" t="s">
        <v>91</v>
      </c>
      <c r="W255">
        <v>4665171.79</v>
      </c>
      <c r="X255">
        <v>360416.66499999998</v>
      </c>
      <c r="Y255">
        <v>0.84599999999999997</v>
      </c>
      <c r="AA255">
        <v>254</v>
      </c>
    </row>
    <row r="256" spans="15:27" x14ac:dyDescent="0.25">
      <c r="O256" s="1"/>
      <c r="P256" s="2" t="e">
        <f t="shared" si="46"/>
        <v>#N/A</v>
      </c>
      <c r="Q256" s="2" t="e">
        <f t="shared" si="48"/>
        <v>#N/A</v>
      </c>
      <c r="R256" s="2" t="e">
        <f t="shared" si="47"/>
        <v>#N/A</v>
      </c>
      <c r="S256" s="2" t="e">
        <f t="shared" si="56"/>
        <v>#N/A</v>
      </c>
      <c r="T256">
        <v>24</v>
      </c>
      <c r="U256">
        <v>255</v>
      </c>
      <c r="V256" t="s">
        <v>91</v>
      </c>
      <c r="W256">
        <v>4665173.4989999998</v>
      </c>
      <c r="X256">
        <v>360420.93199999997</v>
      </c>
      <c r="Y256">
        <v>1.0860000000000001</v>
      </c>
      <c r="AA256">
        <v>255</v>
      </c>
    </row>
    <row r="257" spans="15:27" x14ac:dyDescent="0.25">
      <c r="O257" s="1"/>
      <c r="P257" s="2" t="e">
        <f t="shared" si="46"/>
        <v>#N/A</v>
      </c>
      <c r="Q257" s="2" t="e">
        <f t="shared" si="48"/>
        <v>#N/A</v>
      </c>
      <c r="R257" s="2" t="e">
        <f t="shared" si="47"/>
        <v>#N/A</v>
      </c>
      <c r="S257" s="2" t="e">
        <f t="shared" si="56"/>
        <v>#N/A</v>
      </c>
      <c r="T257">
        <v>24</v>
      </c>
      <c r="U257">
        <v>256</v>
      </c>
      <c r="V257" t="s">
        <v>91</v>
      </c>
      <c r="W257">
        <v>4665172.0389999999</v>
      </c>
      <c r="X257">
        <v>360422.19</v>
      </c>
      <c r="Y257">
        <v>0.93799999999999994</v>
      </c>
      <c r="AA257">
        <v>256</v>
      </c>
    </row>
    <row r="258" spans="15:27" x14ac:dyDescent="0.25">
      <c r="O258" s="1"/>
      <c r="P258" s="2" t="e">
        <f t="shared" si="46"/>
        <v>#N/A</v>
      </c>
      <c r="Q258" s="2" t="e">
        <f t="shared" si="48"/>
        <v>#N/A</v>
      </c>
      <c r="R258" s="2" t="e">
        <f t="shared" si="47"/>
        <v>#N/A</v>
      </c>
      <c r="S258" s="2" t="e">
        <f t="shared" si="56"/>
        <v>#N/A</v>
      </c>
      <c r="T258">
        <v>24</v>
      </c>
      <c r="U258">
        <v>257</v>
      </c>
      <c r="V258" t="s">
        <v>91</v>
      </c>
      <c r="W258">
        <v>4665169.426</v>
      </c>
      <c r="X258">
        <v>360424.95799999998</v>
      </c>
      <c r="Y258">
        <v>1.218</v>
      </c>
      <c r="AA258">
        <v>257</v>
      </c>
    </row>
    <row r="259" spans="15:27" x14ac:dyDescent="0.25">
      <c r="O259" s="1"/>
      <c r="P259" s="2" t="e">
        <f t="shared" ref="P259:P264" si="57">VLOOKUP(K259,W$1:AA$264,5,FALSE)</f>
        <v>#N/A</v>
      </c>
      <c r="Q259" s="2" t="e">
        <f t="shared" si="48"/>
        <v>#N/A</v>
      </c>
      <c r="R259" s="2" t="e">
        <f t="shared" ref="R259:R264" si="58">VLOOKUP(P259,U$1:Z$264,6)</f>
        <v>#N/A</v>
      </c>
      <c r="S259" s="2" t="e">
        <f t="shared" ref="S259:S264" si="59">IF(N259=R259,TRUE,FALSE)</f>
        <v>#N/A</v>
      </c>
      <c r="T259">
        <v>24</v>
      </c>
      <c r="U259">
        <v>258</v>
      </c>
      <c r="V259" t="s">
        <v>91</v>
      </c>
      <c r="W259">
        <v>4665170.341</v>
      </c>
      <c r="X259">
        <v>360426.495</v>
      </c>
      <c r="Y259">
        <v>1.099</v>
      </c>
      <c r="AA259">
        <v>258</v>
      </c>
    </row>
    <row r="260" spans="15:27" x14ac:dyDescent="0.25">
      <c r="O260" s="1"/>
      <c r="P260" s="2" t="e">
        <f t="shared" si="57"/>
        <v>#N/A</v>
      </c>
      <c r="Q260" s="2" t="e">
        <f t="shared" ref="Q260:Q264" si="60">IF(P260=(P259+1),TRUE, FALSE)</f>
        <v>#N/A</v>
      </c>
      <c r="R260" s="2" t="e">
        <f t="shared" si="58"/>
        <v>#N/A</v>
      </c>
      <c r="S260" s="2" t="e">
        <f t="shared" si="59"/>
        <v>#N/A</v>
      </c>
      <c r="T260">
        <v>24</v>
      </c>
      <c r="U260">
        <v>259</v>
      </c>
      <c r="V260" t="s">
        <v>91</v>
      </c>
      <c r="W260">
        <v>4665172.5250000004</v>
      </c>
      <c r="X260">
        <v>360425.58399999997</v>
      </c>
      <c r="Y260">
        <v>0.67900000000000005</v>
      </c>
      <c r="AA260">
        <v>259</v>
      </c>
    </row>
    <row r="261" spans="15:27" x14ac:dyDescent="0.25">
      <c r="O261" s="1"/>
      <c r="P261" s="2" t="e">
        <f t="shared" si="57"/>
        <v>#N/A</v>
      </c>
      <c r="Q261" s="2" t="e">
        <f t="shared" si="60"/>
        <v>#N/A</v>
      </c>
      <c r="R261" s="2" t="e">
        <f t="shared" si="58"/>
        <v>#N/A</v>
      </c>
      <c r="S261" s="2" t="e">
        <f t="shared" si="59"/>
        <v>#N/A</v>
      </c>
      <c r="T261">
        <v>24</v>
      </c>
      <c r="U261">
        <v>260</v>
      </c>
      <c r="V261" t="s">
        <v>92</v>
      </c>
      <c r="W261">
        <v>4665175.0999999996</v>
      </c>
      <c r="X261">
        <v>360430.76299999998</v>
      </c>
      <c r="Y261">
        <v>0.84099999999999997</v>
      </c>
      <c r="AA261">
        <v>260</v>
      </c>
    </row>
    <row r="262" spans="15:27" x14ac:dyDescent="0.25">
      <c r="O262" s="1"/>
      <c r="P262" s="2" t="e">
        <f t="shared" si="57"/>
        <v>#N/A</v>
      </c>
      <c r="Q262" s="2" t="e">
        <f t="shared" si="60"/>
        <v>#N/A</v>
      </c>
      <c r="R262" s="2" t="e">
        <f t="shared" si="58"/>
        <v>#N/A</v>
      </c>
      <c r="S262" s="2" t="e">
        <f t="shared" si="59"/>
        <v>#N/A</v>
      </c>
      <c r="T262">
        <v>24</v>
      </c>
      <c r="U262">
        <v>261</v>
      </c>
      <c r="V262" t="s">
        <v>92</v>
      </c>
      <c r="W262">
        <v>4665176.6169999996</v>
      </c>
      <c r="X262">
        <v>360436.15500000003</v>
      </c>
      <c r="Y262">
        <v>0.82799999999999996</v>
      </c>
      <c r="AA262">
        <v>261</v>
      </c>
    </row>
    <row r="263" spans="15:27" x14ac:dyDescent="0.25">
      <c r="O263" s="1"/>
      <c r="P263" s="2" t="e">
        <f t="shared" si="57"/>
        <v>#N/A</v>
      </c>
      <c r="Q263" s="2" t="e">
        <f t="shared" si="60"/>
        <v>#N/A</v>
      </c>
      <c r="R263" s="2" t="e">
        <f t="shared" si="58"/>
        <v>#N/A</v>
      </c>
      <c r="S263" s="2" t="e">
        <f t="shared" si="59"/>
        <v>#N/A</v>
      </c>
      <c r="T263">
        <v>24</v>
      </c>
      <c r="U263">
        <v>262</v>
      </c>
      <c r="V263" t="s">
        <v>92</v>
      </c>
      <c r="W263">
        <v>4665179.9400000004</v>
      </c>
      <c r="X263">
        <v>360446.05900000001</v>
      </c>
      <c r="Y263">
        <v>0.92700000000000005</v>
      </c>
      <c r="AA263">
        <v>262</v>
      </c>
    </row>
    <row r="264" spans="15:27" x14ac:dyDescent="0.25">
      <c r="O264" s="1"/>
      <c r="P264" s="2" t="e">
        <f t="shared" si="57"/>
        <v>#N/A</v>
      </c>
      <c r="Q264" s="2" t="e">
        <f t="shared" si="60"/>
        <v>#N/A</v>
      </c>
      <c r="R264" s="2" t="e">
        <f t="shared" si="58"/>
        <v>#N/A</v>
      </c>
      <c r="S264" s="2" t="e">
        <f t="shared" si="59"/>
        <v>#N/A</v>
      </c>
      <c r="T264">
        <v>24</v>
      </c>
      <c r="U264">
        <v>263</v>
      </c>
      <c r="V264" t="s">
        <v>92</v>
      </c>
      <c r="W264">
        <v>4665182.1660000002</v>
      </c>
      <c r="X264">
        <v>360454.89899999998</v>
      </c>
      <c r="Y264">
        <v>0.88</v>
      </c>
      <c r="AA264">
        <v>263</v>
      </c>
    </row>
    <row r="265" spans="15:27" x14ac:dyDescent="0.25">
      <c r="O265" s="1"/>
    </row>
  </sheetData>
  <autoFilter ref="A1:N237" xr:uid="{ECA88211-DE9D-4FD3-A405-56251EC3BCE2}">
    <filterColumn colId="9">
      <filters>
        <filter val="Pol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8641-32D0-4EFB-A11C-31F35393F003}">
  <dimension ref="A1:N142"/>
  <sheetViews>
    <sheetView workbookViewId="0">
      <selection activeCell="H3" sqref="H3"/>
    </sheetView>
  </sheetViews>
  <sheetFormatPr defaultRowHeight="15" x14ac:dyDescent="0.25"/>
  <sheetData>
    <row r="1" spans="1:14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0</v>
      </c>
      <c r="I1" t="s">
        <v>71</v>
      </c>
      <c r="J1" t="s">
        <v>72</v>
      </c>
      <c r="K1" t="s">
        <v>1</v>
      </c>
      <c r="L1" t="s">
        <v>2</v>
      </c>
      <c r="M1" t="s">
        <v>73</v>
      </c>
      <c r="N1" t="s">
        <v>3</v>
      </c>
    </row>
    <row r="2" spans="1:14" x14ac:dyDescent="0.25">
      <c r="A2" t="s">
        <v>74</v>
      </c>
      <c r="B2">
        <v>20</v>
      </c>
      <c r="C2" t="s">
        <v>75</v>
      </c>
      <c r="D2">
        <v>2019</v>
      </c>
      <c r="E2">
        <v>1</v>
      </c>
      <c r="F2">
        <v>1</v>
      </c>
      <c r="G2" t="s">
        <v>4</v>
      </c>
      <c r="H2" s="3">
        <v>3</v>
      </c>
      <c r="I2" t="s">
        <v>97</v>
      </c>
      <c r="J2" t="s">
        <v>98</v>
      </c>
      <c r="K2">
        <v>4665189.8420000002</v>
      </c>
      <c r="L2">
        <v>360125.41100000002</v>
      </c>
      <c r="M2">
        <v>1.266</v>
      </c>
    </row>
    <row r="3" spans="1:14" x14ac:dyDescent="0.25">
      <c r="A3" t="s">
        <v>74</v>
      </c>
      <c r="B3">
        <v>20</v>
      </c>
      <c r="C3" t="s">
        <v>75</v>
      </c>
      <c r="D3">
        <v>2019</v>
      </c>
      <c r="E3">
        <v>1</v>
      </c>
      <c r="F3">
        <v>2</v>
      </c>
      <c r="G3" t="s">
        <v>4</v>
      </c>
      <c r="H3" s="3">
        <v>3</v>
      </c>
      <c r="I3" t="s">
        <v>97</v>
      </c>
      <c r="J3" t="s">
        <v>98</v>
      </c>
      <c r="K3">
        <v>4665196.2240000004</v>
      </c>
      <c r="L3">
        <v>360140.25699999998</v>
      </c>
      <c r="M3">
        <v>1.212</v>
      </c>
    </row>
    <row r="4" spans="1:14" x14ac:dyDescent="0.25">
      <c r="A4" t="s">
        <v>74</v>
      </c>
      <c r="B4">
        <v>20</v>
      </c>
      <c r="C4" t="s">
        <v>75</v>
      </c>
      <c r="D4">
        <v>2019</v>
      </c>
      <c r="E4">
        <v>3</v>
      </c>
      <c r="F4">
        <v>4</v>
      </c>
      <c r="G4" t="s">
        <v>7</v>
      </c>
      <c r="H4" s="3">
        <v>2</v>
      </c>
      <c r="I4" t="s">
        <v>97</v>
      </c>
      <c r="J4" t="s">
        <v>98</v>
      </c>
      <c r="K4">
        <v>4665199.3720000004</v>
      </c>
      <c r="L4">
        <v>360144.728</v>
      </c>
      <c r="M4">
        <v>1.1839999999999999</v>
      </c>
    </row>
    <row r="5" spans="1:14" x14ac:dyDescent="0.25">
      <c r="A5" t="s">
        <v>74</v>
      </c>
      <c r="B5">
        <v>20</v>
      </c>
      <c r="C5" t="s">
        <v>75</v>
      </c>
      <c r="D5">
        <v>2019</v>
      </c>
      <c r="E5">
        <v>3</v>
      </c>
      <c r="F5">
        <v>5</v>
      </c>
      <c r="G5" t="s">
        <v>7</v>
      </c>
      <c r="H5" s="3">
        <v>2</v>
      </c>
      <c r="I5" t="s">
        <v>97</v>
      </c>
      <c r="J5" t="s">
        <v>98</v>
      </c>
      <c r="K5">
        <v>4665202.5240000002</v>
      </c>
      <c r="L5">
        <v>360148.09299999999</v>
      </c>
      <c r="M5">
        <v>1.119</v>
      </c>
    </row>
    <row r="6" spans="1:14" x14ac:dyDescent="0.25">
      <c r="A6" t="s">
        <v>74</v>
      </c>
      <c r="B6">
        <v>20</v>
      </c>
      <c r="C6" t="s">
        <v>75</v>
      </c>
      <c r="D6">
        <v>2019</v>
      </c>
      <c r="E6">
        <v>5</v>
      </c>
      <c r="F6">
        <v>12</v>
      </c>
      <c r="G6" t="s">
        <v>10</v>
      </c>
      <c r="H6" s="3">
        <v>13</v>
      </c>
      <c r="I6" t="s">
        <v>97</v>
      </c>
      <c r="J6" t="s">
        <v>98</v>
      </c>
      <c r="K6">
        <v>4665210.2189999996</v>
      </c>
      <c r="L6">
        <v>360156.14500000002</v>
      </c>
      <c r="M6">
        <v>1.113</v>
      </c>
      <c r="N6" t="s">
        <v>11</v>
      </c>
    </row>
    <row r="7" spans="1:14" x14ac:dyDescent="0.25">
      <c r="A7" t="s">
        <v>74</v>
      </c>
      <c r="B7">
        <v>20</v>
      </c>
      <c r="C7" t="s">
        <v>75</v>
      </c>
      <c r="D7">
        <v>2019</v>
      </c>
      <c r="E7">
        <v>5</v>
      </c>
      <c r="F7">
        <v>13</v>
      </c>
      <c r="G7" t="s">
        <v>10</v>
      </c>
      <c r="H7" s="3">
        <v>13</v>
      </c>
      <c r="I7" t="s">
        <v>97</v>
      </c>
      <c r="J7" t="s">
        <v>98</v>
      </c>
      <c r="K7">
        <v>4665204.4419999998</v>
      </c>
      <c r="L7">
        <v>360142.40399999998</v>
      </c>
      <c r="M7">
        <v>1.1830000000000001</v>
      </c>
      <c r="N7" t="s">
        <v>12</v>
      </c>
    </row>
    <row r="8" spans="1:14" x14ac:dyDescent="0.25">
      <c r="A8" t="s">
        <v>74</v>
      </c>
      <c r="B8">
        <v>20</v>
      </c>
      <c r="C8" t="s">
        <v>75</v>
      </c>
      <c r="D8">
        <v>2019</v>
      </c>
      <c r="E8">
        <v>6</v>
      </c>
      <c r="F8">
        <v>14</v>
      </c>
      <c r="G8" t="s">
        <v>7</v>
      </c>
      <c r="H8" s="3">
        <v>2</v>
      </c>
      <c r="I8" t="s">
        <v>97</v>
      </c>
      <c r="J8" t="s">
        <v>98</v>
      </c>
      <c r="K8">
        <v>4665208.32</v>
      </c>
      <c r="L8">
        <v>360151.261</v>
      </c>
      <c r="M8">
        <v>1.1359999999999999</v>
      </c>
      <c r="N8" t="s">
        <v>13</v>
      </c>
    </row>
    <row r="9" spans="1:14" x14ac:dyDescent="0.25">
      <c r="A9" t="s">
        <v>74</v>
      </c>
      <c r="B9">
        <v>20</v>
      </c>
      <c r="C9" t="s">
        <v>75</v>
      </c>
      <c r="D9">
        <v>2019</v>
      </c>
      <c r="E9">
        <v>6</v>
      </c>
      <c r="F9">
        <v>15</v>
      </c>
      <c r="G9" t="s">
        <v>7</v>
      </c>
      <c r="H9" s="3">
        <v>2</v>
      </c>
      <c r="I9" t="s">
        <v>97</v>
      </c>
      <c r="J9" t="s">
        <v>98</v>
      </c>
      <c r="K9">
        <v>4665217.9890000001</v>
      </c>
      <c r="L9">
        <v>360152.967</v>
      </c>
      <c r="M9">
        <v>1.085</v>
      </c>
    </row>
    <row r="10" spans="1:14" x14ac:dyDescent="0.25">
      <c r="A10" t="s">
        <v>74</v>
      </c>
      <c r="B10">
        <v>20</v>
      </c>
      <c r="C10" t="s">
        <v>75</v>
      </c>
      <c r="D10">
        <v>2019</v>
      </c>
      <c r="E10">
        <v>10</v>
      </c>
      <c r="F10">
        <v>34</v>
      </c>
      <c r="G10" t="s">
        <v>17</v>
      </c>
      <c r="H10" s="3">
        <v>6</v>
      </c>
      <c r="I10" t="s">
        <v>97</v>
      </c>
      <c r="J10" t="s">
        <v>98</v>
      </c>
      <c r="K10">
        <v>4665226.4450000003</v>
      </c>
      <c r="L10">
        <v>360151.016</v>
      </c>
      <c r="M10">
        <v>1.117</v>
      </c>
    </row>
    <row r="11" spans="1:14" x14ac:dyDescent="0.25">
      <c r="A11" t="s">
        <v>74</v>
      </c>
      <c r="B11">
        <v>20</v>
      </c>
      <c r="C11" t="s">
        <v>75</v>
      </c>
      <c r="D11">
        <v>2019</v>
      </c>
      <c r="E11">
        <v>10</v>
      </c>
      <c r="F11">
        <v>35</v>
      </c>
      <c r="G11" t="s">
        <v>17</v>
      </c>
      <c r="H11" s="3">
        <v>6</v>
      </c>
      <c r="I11" t="s">
        <v>97</v>
      </c>
      <c r="J11" t="s">
        <v>98</v>
      </c>
      <c r="K11">
        <v>4665230.5310000004</v>
      </c>
      <c r="L11">
        <v>360151.152</v>
      </c>
      <c r="M11">
        <v>1.177</v>
      </c>
    </row>
    <row r="12" spans="1:14" x14ac:dyDescent="0.25">
      <c r="A12" t="s">
        <v>74</v>
      </c>
      <c r="B12">
        <v>20</v>
      </c>
      <c r="C12" t="s">
        <v>75</v>
      </c>
      <c r="D12">
        <v>2019</v>
      </c>
      <c r="E12">
        <v>13</v>
      </c>
      <c r="F12">
        <v>38</v>
      </c>
      <c r="G12" t="s">
        <v>5</v>
      </c>
      <c r="H12" s="3">
        <v>4</v>
      </c>
      <c r="I12" t="s">
        <v>97</v>
      </c>
      <c r="J12" t="s">
        <v>98</v>
      </c>
      <c r="K12">
        <v>4665234.3310000002</v>
      </c>
      <c r="L12">
        <v>360153.59</v>
      </c>
      <c r="M12">
        <v>1.1819999999999999</v>
      </c>
    </row>
    <row r="13" spans="1:14" x14ac:dyDescent="0.25">
      <c r="A13" t="s">
        <v>74</v>
      </c>
      <c r="B13">
        <v>20</v>
      </c>
      <c r="C13" t="s">
        <v>75</v>
      </c>
      <c r="D13">
        <v>2019</v>
      </c>
      <c r="E13">
        <v>13</v>
      </c>
      <c r="F13">
        <v>39</v>
      </c>
      <c r="G13" t="s">
        <v>5</v>
      </c>
      <c r="H13" s="3">
        <v>4</v>
      </c>
      <c r="I13" t="s">
        <v>97</v>
      </c>
      <c r="J13" t="s">
        <v>98</v>
      </c>
      <c r="K13">
        <v>4665235.9819999998</v>
      </c>
      <c r="L13">
        <v>360160.58299999998</v>
      </c>
      <c r="M13">
        <v>1.1539999999999999</v>
      </c>
    </row>
    <row r="14" spans="1:14" x14ac:dyDescent="0.25">
      <c r="A14" t="s">
        <v>74</v>
      </c>
      <c r="B14">
        <v>20</v>
      </c>
      <c r="C14" t="s">
        <v>75</v>
      </c>
      <c r="D14">
        <v>2019</v>
      </c>
      <c r="E14">
        <v>14</v>
      </c>
      <c r="F14">
        <v>40</v>
      </c>
      <c r="G14" t="s">
        <v>7</v>
      </c>
      <c r="H14" s="3">
        <v>2</v>
      </c>
      <c r="I14" t="s">
        <v>97</v>
      </c>
      <c r="J14" t="s">
        <v>98</v>
      </c>
      <c r="K14">
        <v>4665236.6639999999</v>
      </c>
      <c r="L14">
        <v>360162.48499999999</v>
      </c>
      <c r="M14">
        <v>1.1519999999999999</v>
      </c>
      <c r="N14" t="s">
        <v>13</v>
      </c>
    </row>
    <row r="15" spans="1:14" x14ac:dyDescent="0.25">
      <c r="A15" t="s">
        <v>74</v>
      </c>
      <c r="B15">
        <v>20</v>
      </c>
      <c r="C15" t="s">
        <v>75</v>
      </c>
      <c r="D15">
        <v>2019</v>
      </c>
      <c r="E15">
        <v>14</v>
      </c>
      <c r="F15">
        <v>41</v>
      </c>
      <c r="G15" t="s">
        <v>7</v>
      </c>
      <c r="H15" s="3">
        <v>2</v>
      </c>
      <c r="I15" t="s">
        <v>97</v>
      </c>
      <c r="J15" t="s">
        <v>98</v>
      </c>
      <c r="K15">
        <v>4665240.1720000003</v>
      </c>
      <c r="L15">
        <v>360174.44500000001</v>
      </c>
      <c r="M15">
        <v>1.119</v>
      </c>
      <c r="N15" t="s">
        <v>13</v>
      </c>
    </row>
    <row r="16" spans="1:14" x14ac:dyDescent="0.25">
      <c r="A16" t="s">
        <v>74</v>
      </c>
      <c r="B16">
        <v>20</v>
      </c>
      <c r="C16" t="s">
        <v>75</v>
      </c>
      <c r="D16">
        <v>2019</v>
      </c>
      <c r="E16">
        <v>15</v>
      </c>
      <c r="F16">
        <v>42</v>
      </c>
      <c r="G16" t="s">
        <v>19</v>
      </c>
      <c r="H16" s="3">
        <v>1</v>
      </c>
      <c r="I16" t="s">
        <v>97</v>
      </c>
      <c r="J16" t="s">
        <v>98</v>
      </c>
      <c r="K16">
        <v>4665240.9170000004</v>
      </c>
      <c r="L16">
        <v>360176.45600000001</v>
      </c>
      <c r="M16">
        <v>1.0900000000000001</v>
      </c>
    </row>
    <row r="17" spans="1:14" x14ac:dyDescent="0.25">
      <c r="A17" t="s">
        <v>74</v>
      </c>
      <c r="B17">
        <v>20</v>
      </c>
      <c r="C17" t="s">
        <v>75</v>
      </c>
      <c r="D17">
        <v>2019</v>
      </c>
      <c r="E17">
        <v>15</v>
      </c>
      <c r="F17">
        <v>43</v>
      </c>
      <c r="G17" t="s">
        <v>19</v>
      </c>
      <c r="H17" s="3">
        <v>1</v>
      </c>
      <c r="I17" t="s">
        <v>97</v>
      </c>
      <c r="J17" t="s">
        <v>98</v>
      </c>
      <c r="K17">
        <v>4665253.8439999996</v>
      </c>
      <c r="L17">
        <v>360127.57400000002</v>
      </c>
      <c r="M17">
        <v>0.64400000000000002</v>
      </c>
    </row>
    <row r="18" spans="1:14" x14ac:dyDescent="0.25">
      <c r="A18" t="s">
        <v>74</v>
      </c>
      <c r="B18">
        <v>20</v>
      </c>
      <c r="C18" t="s">
        <v>75</v>
      </c>
      <c r="D18">
        <v>2019</v>
      </c>
      <c r="E18">
        <v>15</v>
      </c>
      <c r="F18">
        <v>44</v>
      </c>
      <c r="G18" t="s">
        <v>19</v>
      </c>
      <c r="H18" s="3">
        <v>1</v>
      </c>
      <c r="I18" t="s">
        <v>97</v>
      </c>
      <c r="J18" t="s">
        <v>98</v>
      </c>
      <c r="K18">
        <v>4665253.8380000005</v>
      </c>
      <c r="L18">
        <v>360135.554</v>
      </c>
      <c r="M18">
        <v>0.56899999999999995</v>
      </c>
    </row>
    <row r="19" spans="1:14" x14ac:dyDescent="0.25">
      <c r="A19" t="s">
        <v>74</v>
      </c>
      <c r="B19">
        <v>20</v>
      </c>
      <c r="C19" t="s">
        <v>75</v>
      </c>
      <c r="D19">
        <v>2019</v>
      </c>
      <c r="E19">
        <v>17</v>
      </c>
      <c r="F19">
        <v>46</v>
      </c>
      <c r="G19" t="s">
        <v>17</v>
      </c>
      <c r="H19" s="3">
        <v>6</v>
      </c>
      <c r="I19" t="s">
        <v>97</v>
      </c>
      <c r="J19" t="s">
        <v>98</v>
      </c>
      <c r="K19">
        <v>4665250.8159999996</v>
      </c>
      <c r="L19">
        <v>360133.86099999998</v>
      </c>
      <c r="M19">
        <v>1.161</v>
      </c>
    </row>
    <row r="20" spans="1:14" x14ac:dyDescent="0.25">
      <c r="A20" t="s">
        <v>74</v>
      </c>
      <c r="B20">
        <v>20</v>
      </c>
      <c r="C20" t="s">
        <v>75</v>
      </c>
      <c r="D20">
        <v>2019</v>
      </c>
      <c r="E20">
        <v>17</v>
      </c>
      <c r="F20">
        <v>47</v>
      </c>
      <c r="G20" t="s">
        <v>17</v>
      </c>
      <c r="H20" s="3">
        <v>6</v>
      </c>
      <c r="I20" t="s">
        <v>97</v>
      </c>
      <c r="J20" t="s">
        <v>98</v>
      </c>
      <c r="K20">
        <v>4665241.466</v>
      </c>
      <c r="L20">
        <v>360130.842</v>
      </c>
      <c r="M20">
        <v>1.2470000000000001</v>
      </c>
    </row>
    <row r="21" spans="1:14" x14ac:dyDescent="0.25">
      <c r="A21" t="s">
        <v>74</v>
      </c>
      <c r="B21">
        <v>20</v>
      </c>
      <c r="C21" t="s">
        <v>75</v>
      </c>
      <c r="D21">
        <v>2019</v>
      </c>
      <c r="E21">
        <v>18</v>
      </c>
      <c r="F21">
        <v>48</v>
      </c>
      <c r="G21" t="s">
        <v>5</v>
      </c>
      <c r="H21" s="3">
        <v>4</v>
      </c>
      <c r="I21" t="s">
        <v>97</v>
      </c>
      <c r="J21" t="s">
        <v>98</v>
      </c>
      <c r="K21">
        <v>4665239.3849999998</v>
      </c>
      <c r="L21">
        <v>360130.076</v>
      </c>
      <c r="M21">
        <v>1.246</v>
      </c>
    </row>
    <row r="22" spans="1:14" x14ac:dyDescent="0.25">
      <c r="A22" t="s">
        <v>74</v>
      </c>
      <c r="B22">
        <v>20</v>
      </c>
      <c r="C22" t="s">
        <v>75</v>
      </c>
      <c r="D22">
        <v>2019</v>
      </c>
      <c r="E22">
        <v>18</v>
      </c>
      <c r="F22">
        <v>49</v>
      </c>
      <c r="G22" t="s">
        <v>5</v>
      </c>
      <c r="H22" s="3">
        <v>4</v>
      </c>
      <c r="I22" t="s">
        <v>97</v>
      </c>
      <c r="J22" t="s">
        <v>98</v>
      </c>
      <c r="K22">
        <v>4665233.4110000003</v>
      </c>
      <c r="L22">
        <v>360129.01699999999</v>
      </c>
      <c r="M22">
        <v>1.242</v>
      </c>
      <c r="N22" t="s">
        <v>20</v>
      </c>
    </row>
    <row r="23" spans="1:14" x14ac:dyDescent="0.25">
      <c r="A23" t="s">
        <v>74</v>
      </c>
      <c r="B23">
        <v>20</v>
      </c>
      <c r="C23" t="s">
        <v>75</v>
      </c>
      <c r="D23">
        <v>2019</v>
      </c>
      <c r="E23">
        <v>19</v>
      </c>
      <c r="F23">
        <v>50</v>
      </c>
      <c r="G23" t="s">
        <v>17</v>
      </c>
      <c r="H23" s="3">
        <v>6</v>
      </c>
      <c r="I23" t="s">
        <v>97</v>
      </c>
      <c r="J23" t="s">
        <v>98</v>
      </c>
      <c r="K23">
        <v>4665231.3020000001</v>
      </c>
      <c r="L23">
        <v>360128.47899999999</v>
      </c>
      <c r="M23">
        <v>1.1950000000000001</v>
      </c>
    </row>
    <row r="24" spans="1:14" x14ac:dyDescent="0.25">
      <c r="A24" t="s">
        <v>74</v>
      </c>
      <c r="B24">
        <v>20</v>
      </c>
      <c r="C24" t="s">
        <v>75</v>
      </c>
      <c r="D24">
        <v>2019</v>
      </c>
      <c r="E24">
        <v>19</v>
      </c>
      <c r="F24">
        <v>51</v>
      </c>
      <c r="G24" t="s">
        <v>17</v>
      </c>
      <c r="H24" s="3">
        <v>6</v>
      </c>
      <c r="I24" t="s">
        <v>97</v>
      </c>
      <c r="J24" t="s">
        <v>98</v>
      </c>
      <c r="K24">
        <v>4665230.5049999999</v>
      </c>
      <c r="L24">
        <v>360122.5</v>
      </c>
      <c r="M24">
        <v>1.2050000000000001</v>
      </c>
    </row>
    <row r="25" spans="1:14" x14ac:dyDescent="0.25">
      <c r="A25" t="s">
        <v>74</v>
      </c>
      <c r="B25">
        <v>20</v>
      </c>
      <c r="C25" t="s">
        <v>75</v>
      </c>
      <c r="D25">
        <v>2019</v>
      </c>
      <c r="E25">
        <v>20</v>
      </c>
      <c r="F25">
        <v>52</v>
      </c>
      <c r="G25" t="s">
        <v>7</v>
      </c>
      <c r="H25" s="3">
        <v>2</v>
      </c>
      <c r="I25" t="s">
        <v>97</v>
      </c>
      <c r="J25" t="s">
        <v>98</v>
      </c>
      <c r="K25">
        <v>4665230.0120000001</v>
      </c>
      <c r="L25">
        <v>360120.43900000001</v>
      </c>
      <c r="M25">
        <v>1.204</v>
      </c>
    </row>
    <row r="26" spans="1:14" x14ac:dyDescent="0.25">
      <c r="A26" t="s">
        <v>74</v>
      </c>
      <c r="B26">
        <v>20</v>
      </c>
      <c r="C26" t="s">
        <v>75</v>
      </c>
      <c r="D26">
        <v>2019</v>
      </c>
      <c r="E26">
        <v>20</v>
      </c>
      <c r="F26">
        <v>53</v>
      </c>
      <c r="G26" t="s">
        <v>7</v>
      </c>
      <c r="H26" s="3">
        <v>2</v>
      </c>
      <c r="I26" t="s">
        <v>97</v>
      </c>
      <c r="J26" t="s">
        <v>98</v>
      </c>
      <c r="K26">
        <v>4665229.6140000001</v>
      </c>
      <c r="L26">
        <v>360117.85499999998</v>
      </c>
      <c r="M26">
        <v>1.107</v>
      </c>
    </row>
    <row r="27" spans="1:14" x14ac:dyDescent="0.25">
      <c r="A27" t="s">
        <v>74</v>
      </c>
      <c r="B27">
        <v>20</v>
      </c>
      <c r="C27" t="s">
        <v>75</v>
      </c>
      <c r="D27">
        <v>2019</v>
      </c>
      <c r="E27">
        <v>21</v>
      </c>
      <c r="F27">
        <v>54</v>
      </c>
      <c r="G27" t="s">
        <v>19</v>
      </c>
      <c r="H27" s="3">
        <v>1</v>
      </c>
      <c r="I27" t="s">
        <v>97</v>
      </c>
      <c r="J27" t="s">
        <v>98</v>
      </c>
      <c r="K27">
        <v>4665229.3909999998</v>
      </c>
      <c r="L27">
        <v>360116.43099999998</v>
      </c>
      <c r="M27">
        <v>1.0349999999999999</v>
      </c>
      <c r="N27" t="s">
        <v>21</v>
      </c>
    </row>
    <row r="28" spans="1:14" x14ac:dyDescent="0.25">
      <c r="A28" t="s">
        <v>74</v>
      </c>
      <c r="B28">
        <v>20</v>
      </c>
      <c r="C28" t="s">
        <v>75</v>
      </c>
      <c r="D28">
        <v>2019</v>
      </c>
      <c r="E28">
        <v>21</v>
      </c>
      <c r="F28">
        <v>55</v>
      </c>
      <c r="G28" t="s">
        <v>19</v>
      </c>
      <c r="H28" s="3">
        <v>1</v>
      </c>
      <c r="I28" t="s">
        <v>97</v>
      </c>
      <c r="J28" t="s">
        <v>98</v>
      </c>
      <c r="K28">
        <v>4665221.4160000002</v>
      </c>
      <c r="L28">
        <v>360115.78700000001</v>
      </c>
      <c r="M28">
        <v>1.0269999999999999</v>
      </c>
    </row>
    <row r="29" spans="1:14" x14ac:dyDescent="0.25">
      <c r="A29" t="s">
        <v>74</v>
      </c>
      <c r="B29">
        <v>20</v>
      </c>
      <c r="C29" t="s">
        <v>75</v>
      </c>
      <c r="D29">
        <v>2019</v>
      </c>
      <c r="E29">
        <v>22</v>
      </c>
      <c r="F29">
        <v>56</v>
      </c>
      <c r="G29" t="s">
        <v>17</v>
      </c>
      <c r="H29" s="3">
        <v>6</v>
      </c>
      <c r="I29" t="s">
        <v>97</v>
      </c>
      <c r="J29" t="s">
        <v>98</v>
      </c>
      <c r="K29">
        <v>4665220.7450000001</v>
      </c>
      <c r="L29">
        <v>360117.71</v>
      </c>
      <c r="M29">
        <v>1.1970000000000001</v>
      </c>
    </row>
    <row r="30" spans="1:14" x14ac:dyDescent="0.25">
      <c r="A30" t="s">
        <v>74</v>
      </c>
      <c r="B30">
        <v>20</v>
      </c>
      <c r="C30" t="s">
        <v>75</v>
      </c>
      <c r="D30">
        <v>2019</v>
      </c>
      <c r="E30">
        <v>22</v>
      </c>
      <c r="F30">
        <v>57</v>
      </c>
      <c r="G30" t="s">
        <v>17</v>
      </c>
      <c r="H30" s="3">
        <v>6</v>
      </c>
      <c r="I30" t="s">
        <v>97</v>
      </c>
      <c r="J30" t="s">
        <v>98</v>
      </c>
      <c r="K30">
        <v>4665216.5350000001</v>
      </c>
      <c r="L30">
        <v>360126.65700000001</v>
      </c>
      <c r="M30">
        <v>1.1499999999999999</v>
      </c>
    </row>
    <row r="31" spans="1:14" x14ac:dyDescent="0.25">
      <c r="A31" t="s">
        <v>74</v>
      </c>
      <c r="B31">
        <v>20</v>
      </c>
      <c r="C31" t="s">
        <v>75</v>
      </c>
      <c r="D31">
        <v>2019</v>
      </c>
      <c r="E31">
        <v>23</v>
      </c>
      <c r="F31">
        <v>58</v>
      </c>
      <c r="G31" t="s">
        <v>7</v>
      </c>
      <c r="H31" s="3">
        <v>2</v>
      </c>
      <c r="I31" t="s">
        <v>97</v>
      </c>
      <c r="J31" t="s">
        <v>98</v>
      </c>
      <c r="K31">
        <v>4665215.4000000004</v>
      </c>
      <c r="L31">
        <v>360128.27399999998</v>
      </c>
      <c r="M31">
        <v>1.0860000000000001</v>
      </c>
    </row>
    <row r="32" spans="1:14" x14ac:dyDescent="0.25">
      <c r="A32" t="s">
        <v>74</v>
      </c>
      <c r="B32">
        <v>20</v>
      </c>
      <c r="C32" t="s">
        <v>75</v>
      </c>
      <c r="D32">
        <v>2019</v>
      </c>
      <c r="E32">
        <v>23</v>
      </c>
      <c r="F32">
        <v>59</v>
      </c>
      <c r="G32" t="s">
        <v>7</v>
      </c>
      <c r="H32" s="3">
        <v>2</v>
      </c>
      <c r="I32" t="s">
        <v>97</v>
      </c>
      <c r="J32" t="s">
        <v>98</v>
      </c>
      <c r="K32">
        <v>4665206.68</v>
      </c>
      <c r="L32">
        <v>360109.663</v>
      </c>
      <c r="M32">
        <v>1.1719999999999999</v>
      </c>
    </row>
    <row r="33" spans="1:14" x14ac:dyDescent="0.25">
      <c r="A33" t="s">
        <v>74</v>
      </c>
      <c r="B33">
        <v>20</v>
      </c>
      <c r="C33" t="s">
        <v>75</v>
      </c>
      <c r="D33">
        <v>2019</v>
      </c>
      <c r="E33">
        <v>24</v>
      </c>
      <c r="F33">
        <v>60</v>
      </c>
      <c r="G33" t="s">
        <v>17</v>
      </c>
      <c r="H33" s="3">
        <v>6</v>
      </c>
      <c r="I33" t="s">
        <v>97</v>
      </c>
      <c r="J33" t="s">
        <v>98</v>
      </c>
      <c r="K33">
        <v>4665206.0839999998</v>
      </c>
      <c r="L33">
        <v>360107.47200000001</v>
      </c>
      <c r="M33">
        <v>1.2130000000000001</v>
      </c>
    </row>
    <row r="34" spans="1:14" x14ac:dyDescent="0.25">
      <c r="A34" t="s">
        <v>74</v>
      </c>
      <c r="B34">
        <v>20</v>
      </c>
      <c r="C34" t="s">
        <v>75</v>
      </c>
      <c r="D34">
        <v>2019</v>
      </c>
      <c r="E34">
        <v>24</v>
      </c>
      <c r="F34">
        <v>61</v>
      </c>
      <c r="G34" t="s">
        <v>17</v>
      </c>
      <c r="H34" s="3">
        <v>6</v>
      </c>
      <c r="I34" t="s">
        <v>97</v>
      </c>
      <c r="J34" t="s">
        <v>98</v>
      </c>
      <c r="K34">
        <v>4665202.4929999998</v>
      </c>
      <c r="L34">
        <v>360099.34600000002</v>
      </c>
      <c r="M34">
        <v>1.3049999999999999</v>
      </c>
    </row>
    <row r="35" spans="1:14" x14ac:dyDescent="0.25">
      <c r="A35" t="s">
        <v>74</v>
      </c>
      <c r="B35">
        <v>20</v>
      </c>
      <c r="C35" t="s">
        <v>75</v>
      </c>
      <c r="D35">
        <v>2019</v>
      </c>
      <c r="E35">
        <v>28</v>
      </c>
      <c r="F35">
        <v>65</v>
      </c>
      <c r="G35" t="s">
        <v>7</v>
      </c>
      <c r="H35" s="3">
        <v>2</v>
      </c>
      <c r="I35" t="s">
        <v>97</v>
      </c>
      <c r="J35" t="s">
        <v>98</v>
      </c>
      <c r="K35">
        <v>4665092.7980000004</v>
      </c>
      <c r="L35">
        <v>360175.701</v>
      </c>
      <c r="M35">
        <v>1.2170000000000001</v>
      </c>
      <c r="N35" t="s">
        <v>23</v>
      </c>
    </row>
    <row r="36" spans="1:14" x14ac:dyDescent="0.25">
      <c r="A36" t="s">
        <v>74</v>
      </c>
      <c r="B36">
        <v>20</v>
      </c>
      <c r="C36" t="s">
        <v>75</v>
      </c>
      <c r="D36">
        <v>2019</v>
      </c>
      <c r="E36">
        <v>28</v>
      </c>
      <c r="F36">
        <v>66</v>
      </c>
      <c r="G36" t="s">
        <v>7</v>
      </c>
      <c r="H36" s="3">
        <v>2</v>
      </c>
      <c r="I36" t="s">
        <v>97</v>
      </c>
      <c r="J36" t="s">
        <v>98</v>
      </c>
      <c r="K36">
        <v>4665095.7</v>
      </c>
      <c r="L36">
        <v>360180.815</v>
      </c>
      <c r="M36">
        <v>1.1879999999999999</v>
      </c>
      <c r="N36" t="s">
        <v>23</v>
      </c>
    </row>
    <row r="37" spans="1:14" x14ac:dyDescent="0.25">
      <c r="A37" t="s">
        <v>74</v>
      </c>
      <c r="B37">
        <v>20</v>
      </c>
      <c r="C37" t="s">
        <v>75</v>
      </c>
      <c r="D37">
        <v>2019</v>
      </c>
      <c r="E37">
        <v>29</v>
      </c>
      <c r="F37">
        <v>67</v>
      </c>
      <c r="G37" t="s">
        <v>22</v>
      </c>
      <c r="H37" s="3">
        <v>12</v>
      </c>
      <c r="I37" t="s">
        <v>97</v>
      </c>
      <c r="J37" t="s">
        <v>98</v>
      </c>
      <c r="K37">
        <v>4665096.8509999998</v>
      </c>
      <c r="L37">
        <v>360182.61200000002</v>
      </c>
      <c r="M37">
        <v>1.145</v>
      </c>
    </row>
    <row r="38" spans="1:14" x14ac:dyDescent="0.25">
      <c r="A38" t="s">
        <v>74</v>
      </c>
      <c r="B38">
        <v>20</v>
      </c>
      <c r="C38" t="s">
        <v>75</v>
      </c>
      <c r="D38">
        <v>2019</v>
      </c>
      <c r="E38">
        <v>29</v>
      </c>
      <c r="F38">
        <v>68</v>
      </c>
      <c r="G38" t="s">
        <v>22</v>
      </c>
      <c r="H38" s="3">
        <v>12</v>
      </c>
      <c r="I38" t="s">
        <v>97</v>
      </c>
      <c r="J38" t="s">
        <v>98</v>
      </c>
      <c r="K38">
        <v>4665101.0470000003</v>
      </c>
      <c r="L38">
        <v>360191.91200000001</v>
      </c>
      <c r="M38">
        <v>0.98099999999999998</v>
      </c>
      <c r="N38" t="s">
        <v>24</v>
      </c>
    </row>
    <row r="39" spans="1:14" x14ac:dyDescent="0.25">
      <c r="A39" t="s">
        <v>74</v>
      </c>
      <c r="B39">
        <v>20</v>
      </c>
      <c r="C39" t="s">
        <v>75</v>
      </c>
      <c r="D39">
        <v>2019</v>
      </c>
      <c r="E39">
        <v>31</v>
      </c>
      <c r="F39">
        <v>88</v>
      </c>
      <c r="G39" t="s">
        <v>19</v>
      </c>
      <c r="H39" s="3">
        <v>1</v>
      </c>
      <c r="I39" t="s">
        <v>97</v>
      </c>
      <c r="J39" t="s">
        <v>98</v>
      </c>
      <c r="K39">
        <v>4665103.7769999998</v>
      </c>
      <c r="L39">
        <v>360194.41700000002</v>
      </c>
      <c r="M39">
        <v>0.997</v>
      </c>
    </row>
    <row r="40" spans="1:14" x14ac:dyDescent="0.25">
      <c r="A40" t="s">
        <v>74</v>
      </c>
      <c r="B40">
        <v>20</v>
      </c>
      <c r="C40" t="s">
        <v>75</v>
      </c>
      <c r="D40">
        <v>2019</v>
      </c>
      <c r="E40">
        <v>31</v>
      </c>
      <c r="F40">
        <v>89</v>
      </c>
      <c r="G40" t="s">
        <v>19</v>
      </c>
      <c r="H40" s="3">
        <v>1</v>
      </c>
      <c r="I40" t="s">
        <v>97</v>
      </c>
      <c r="J40" t="s">
        <v>98</v>
      </c>
      <c r="K40">
        <v>4665104.9280000003</v>
      </c>
      <c r="L40">
        <v>360197.261</v>
      </c>
      <c r="M40">
        <v>0.97799999999999998</v>
      </c>
    </row>
    <row r="41" spans="1:14" x14ac:dyDescent="0.25">
      <c r="A41" t="s">
        <v>74</v>
      </c>
      <c r="B41">
        <v>20</v>
      </c>
      <c r="C41" t="s">
        <v>75</v>
      </c>
      <c r="D41">
        <v>2019</v>
      </c>
      <c r="E41">
        <v>32</v>
      </c>
      <c r="F41">
        <v>90</v>
      </c>
      <c r="G41" t="s">
        <v>10</v>
      </c>
      <c r="H41" s="3">
        <v>13</v>
      </c>
      <c r="I41" t="s">
        <v>97</v>
      </c>
      <c r="J41" t="s">
        <v>98</v>
      </c>
      <c r="K41">
        <v>4665105.8619999997</v>
      </c>
      <c r="L41">
        <v>360197.65100000001</v>
      </c>
      <c r="M41">
        <v>1.048</v>
      </c>
    </row>
    <row r="42" spans="1:14" x14ac:dyDescent="0.25">
      <c r="A42" t="s">
        <v>74</v>
      </c>
      <c r="B42">
        <v>20</v>
      </c>
      <c r="C42" t="s">
        <v>75</v>
      </c>
      <c r="D42">
        <v>2019</v>
      </c>
      <c r="E42">
        <v>32</v>
      </c>
      <c r="F42">
        <v>91</v>
      </c>
      <c r="G42" t="s">
        <v>10</v>
      </c>
      <c r="H42" s="3">
        <v>13</v>
      </c>
      <c r="I42" t="s">
        <v>97</v>
      </c>
      <c r="J42" t="s">
        <v>98</v>
      </c>
      <c r="K42">
        <v>4665114.6220000004</v>
      </c>
      <c r="L42">
        <v>360211.913</v>
      </c>
      <c r="M42">
        <v>0.94499999999999995</v>
      </c>
    </row>
    <row r="43" spans="1:14" x14ac:dyDescent="0.25">
      <c r="A43" t="s">
        <v>74</v>
      </c>
      <c r="B43">
        <v>20</v>
      </c>
      <c r="C43" t="s">
        <v>75</v>
      </c>
      <c r="D43">
        <v>2019</v>
      </c>
      <c r="E43">
        <v>32</v>
      </c>
      <c r="F43">
        <v>92</v>
      </c>
      <c r="G43" t="s">
        <v>10</v>
      </c>
      <c r="H43" s="3">
        <v>13</v>
      </c>
      <c r="I43" t="s">
        <v>97</v>
      </c>
      <c r="J43" t="s">
        <v>98</v>
      </c>
      <c r="K43">
        <v>4665120.5039999997</v>
      </c>
      <c r="L43">
        <v>360222.51699999999</v>
      </c>
      <c r="M43">
        <v>1.1319999999999999</v>
      </c>
    </row>
    <row r="44" spans="1:14" x14ac:dyDescent="0.25">
      <c r="A44" t="s">
        <v>74</v>
      </c>
      <c r="B44">
        <v>20</v>
      </c>
      <c r="C44" t="s">
        <v>75</v>
      </c>
      <c r="D44">
        <v>2019</v>
      </c>
      <c r="E44">
        <v>34</v>
      </c>
      <c r="F44">
        <v>100</v>
      </c>
      <c r="G44" t="s">
        <v>10</v>
      </c>
      <c r="H44" s="3">
        <v>13</v>
      </c>
      <c r="I44" t="s">
        <v>97</v>
      </c>
      <c r="J44" t="s">
        <v>98</v>
      </c>
      <c r="K44">
        <v>4665114.5760000004</v>
      </c>
      <c r="L44">
        <v>360224.86700000003</v>
      </c>
      <c r="M44">
        <v>1.1220000000000001</v>
      </c>
    </row>
    <row r="45" spans="1:14" x14ac:dyDescent="0.25">
      <c r="A45" t="s">
        <v>74</v>
      </c>
      <c r="B45">
        <v>20</v>
      </c>
      <c r="C45" t="s">
        <v>75</v>
      </c>
      <c r="D45">
        <v>2019</v>
      </c>
      <c r="E45">
        <v>34</v>
      </c>
      <c r="F45">
        <v>101</v>
      </c>
      <c r="G45" t="s">
        <v>10</v>
      </c>
      <c r="H45" s="3">
        <v>13</v>
      </c>
      <c r="I45" t="s">
        <v>97</v>
      </c>
      <c r="J45" t="s">
        <v>98</v>
      </c>
      <c r="K45">
        <v>4665108.5580000002</v>
      </c>
      <c r="L45">
        <v>360215.33299999998</v>
      </c>
      <c r="M45">
        <v>1.194</v>
      </c>
    </row>
    <row r="46" spans="1:14" x14ac:dyDescent="0.25">
      <c r="A46" t="s">
        <v>74</v>
      </c>
      <c r="B46">
        <v>20</v>
      </c>
      <c r="C46" t="s">
        <v>75</v>
      </c>
      <c r="D46">
        <v>2019</v>
      </c>
      <c r="E46">
        <v>34</v>
      </c>
      <c r="F46">
        <v>102</v>
      </c>
      <c r="G46" t="s">
        <v>10</v>
      </c>
      <c r="H46" s="3">
        <v>13</v>
      </c>
      <c r="I46" t="s">
        <v>97</v>
      </c>
      <c r="J46" t="s">
        <v>98</v>
      </c>
      <c r="K46">
        <v>4665100.25</v>
      </c>
      <c r="L46">
        <v>360200.18900000001</v>
      </c>
      <c r="M46">
        <v>1.228</v>
      </c>
    </row>
    <row r="47" spans="1:14" x14ac:dyDescent="0.25">
      <c r="A47" t="s">
        <v>74</v>
      </c>
      <c r="B47">
        <v>20</v>
      </c>
      <c r="C47" t="s">
        <v>75</v>
      </c>
      <c r="D47">
        <v>2019</v>
      </c>
      <c r="E47">
        <v>35</v>
      </c>
      <c r="F47">
        <v>103</v>
      </c>
      <c r="G47" t="s">
        <v>17</v>
      </c>
      <c r="H47" s="3">
        <v>6</v>
      </c>
      <c r="I47" t="s">
        <v>97</v>
      </c>
      <c r="J47" t="s">
        <v>98</v>
      </c>
      <c r="K47">
        <v>4665099.3030000003</v>
      </c>
      <c r="L47">
        <v>360201.69</v>
      </c>
      <c r="M47">
        <v>1.24</v>
      </c>
    </row>
    <row r="48" spans="1:14" x14ac:dyDescent="0.25">
      <c r="A48" t="s">
        <v>74</v>
      </c>
      <c r="B48">
        <v>20</v>
      </c>
      <c r="C48" t="s">
        <v>75</v>
      </c>
      <c r="D48">
        <v>2019</v>
      </c>
      <c r="E48">
        <v>35</v>
      </c>
      <c r="F48">
        <v>104</v>
      </c>
      <c r="G48" t="s">
        <v>17</v>
      </c>
      <c r="H48" s="3">
        <v>6</v>
      </c>
      <c r="I48" t="s">
        <v>97</v>
      </c>
      <c r="J48" t="s">
        <v>98</v>
      </c>
      <c r="K48">
        <v>4665099.0769999996</v>
      </c>
      <c r="L48">
        <v>360203.53700000001</v>
      </c>
      <c r="M48">
        <v>1.262</v>
      </c>
    </row>
    <row r="49" spans="1:14" x14ac:dyDescent="0.25">
      <c r="A49" t="s">
        <v>74</v>
      </c>
      <c r="B49">
        <v>20</v>
      </c>
      <c r="C49" t="s">
        <v>75</v>
      </c>
      <c r="D49">
        <v>2019</v>
      </c>
      <c r="E49">
        <v>37</v>
      </c>
      <c r="F49">
        <v>106</v>
      </c>
      <c r="G49" t="s">
        <v>4</v>
      </c>
      <c r="H49" s="3">
        <v>3</v>
      </c>
      <c r="I49" t="s">
        <v>97</v>
      </c>
      <c r="J49" t="s">
        <v>98</v>
      </c>
      <c r="K49">
        <v>4665097.2170000002</v>
      </c>
      <c r="L49">
        <v>360208.93800000002</v>
      </c>
      <c r="M49">
        <v>1.292</v>
      </c>
      <c r="N49" t="s">
        <v>28</v>
      </c>
    </row>
    <row r="50" spans="1:14" x14ac:dyDescent="0.25">
      <c r="A50" t="s">
        <v>74</v>
      </c>
      <c r="B50">
        <v>20</v>
      </c>
      <c r="C50" t="s">
        <v>75</v>
      </c>
      <c r="D50">
        <v>2019</v>
      </c>
      <c r="E50">
        <v>37</v>
      </c>
      <c r="F50">
        <v>107</v>
      </c>
      <c r="G50" t="s">
        <v>4</v>
      </c>
      <c r="H50" s="3">
        <v>3</v>
      </c>
      <c r="I50" t="s">
        <v>97</v>
      </c>
      <c r="J50" t="s">
        <v>98</v>
      </c>
      <c r="K50">
        <v>4665093.2369999997</v>
      </c>
      <c r="L50">
        <v>360221.48</v>
      </c>
      <c r="M50">
        <v>1.26</v>
      </c>
    </row>
    <row r="51" spans="1:14" x14ac:dyDescent="0.25">
      <c r="A51" t="s">
        <v>74</v>
      </c>
      <c r="B51">
        <v>20</v>
      </c>
      <c r="C51" t="s">
        <v>75</v>
      </c>
      <c r="D51">
        <v>2019</v>
      </c>
      <c r="E51">
        <v>38</v>
      </c>
      <c r="F51">
        <v>108</v>
      </c>
      <c r="G51" t="s">
        <v>5</v>
      </c>
      <c r="H51" s="3">
        <v>4</v>
      </c>
      <c r="I51" t="s">
        <v>97</v>
      </c>
      <c r="J51" t="s">
        <v>98</v>
      </c>
      <c r="K51">
        <v>4665092.4939999999</v>
      </c>
      <c r="L51">
        <v>360223.51500000001</v>
      </c>
      <c r="M51">
        <v>1.276</v>
      </c>
    </row>
    <row r="52" spans="1:14" x14ac:dyDescent="0.25">
      <c r="A52" t="s">
        <v>74</v>
      </c>
      <c r="B52">
        <v>20</v>
      </c>
      <c r="C52" t="s">
        <v>75</v>
      </c>
      <c r="D52">
        <v>2019</v>
      </c>
      <c r="E52">
        <v>38</v>
      </c>
      <c r="F52">
        <v>109</v>
      </c>
      <c r="G52" t="s">
        <v>5</v>
      </c>
      <c r="H52" s="3">
        <v>4</v>
      </c>
      <c r="I52" t="s">
        <v>97</v>
      </c>
      <c r="J52" t="s">
        <v>98</v>
      </c>
      <c r="K52">
        <v>4665091.5</v>
      </c>
      <c r="L52">
        <v>360226.10399999999</v>
      </c>
      <c r="M52">
        <v>1.226</v>
      </c>
    </row>
    <row r="53" spans="1:14" x14ac:dyDescent="0.25">
      <c r="A53" t="s">
        <v>74</v>
      </c>
      <c r="B53">
        <v>20</v>
      </c>
      <c r="C53" t="s">
        <v>75</v>
      </c>
      <c r="D53">
        <v>2019</v>
      </c>
      <c r="E53">
        <v>39</v>
      </c>
      <c r="F53">
        <v>110</v>
      </c>
      <c r="G53" t="s">
        <v>7</v>
      </c>
      <c r="H53" s="3">
        <v>2</v>
      </c>
      <c r="I53" t="s">
        <v>97</v>
      </c>
      <c r="J53" t="s">
        <v>98</v>
      </c>
      <c r="K53">
        <v>4665090.6449999996</v>
      </c>
      <c r="L53">
        <v>360227.99900000001</v>
      </c>
      <c r="M53">
        <v>1.167</v>
      </c>
    </row>
    <row r="54" spans="1:14" x14ac:dyDescent="0.25">
      <c r="A54" t="s">
        <v>74</v>
      </c>
      <c r="B54">
        <v>20</v>
      </c>
      <c r="C54" t="s">
        <v>75</v>
      </c>
      <c r="D54">
        <v>2019</v>
      </c>
      <c r="E54">
        <v>39</v>
      </c>
      <c r="F54">
        <v>111</v>
      </c>
      <c r="G54" t="s">
        <v>7</v>
      </c>
      <c r="H54" s="3">
        <v>2</v>
      </c>
      <c r="I54" t="s">
        <v>97</v>
      </c>
      <c r="J54" t="s">
        <v>98</v>
      </c>
      <c r="K54">
        <v>4665089.47</v>
      </c>
      <c r="L54">
        <v>360231.15100000001</v>
      </c>
      <c r="M54">
        <v>1.1659999999999999</v>
      </c>
    </row>
    <row r="55" spans="1:14" x14ac:dyDescent="0.25">
      <c r="A55" t="s">
        <v>74</v>
      </c>
      <c r="B55">
        <v>20</v>
      </c>
      <c r="C55" t="s">
        <v>75</v>
      </c>
      <c r="D55">
        <v>2019</v>
      </c>
      <c r="E55">
        <v>39</v>
      </c>
      <c r="F55">
        <v>112</v>
      </c>
      <c r="G55" t="s">
        <v>7</v>
      </c>
      <c r="H55" s="3">
        <v>2</v>
      </c>
      <c r="I55" t="s">
        <v>97</v>
      </c>
      <c r="J55" t="s">
        <v>98</v>
      </c>
      <c r="K55">
        <v>4665088.3559999997</v>
      </c>
      <c r="L55">
        <v>360229.277</v>
      </c>
      <c r="M55">
        <v>1.1499999999999999</v>
      </c>
    </row>
    <row r="56" spans="1:14" x14ac:dyDescent="0.25">
      <c r="A56" t="s">
        <v>74</v>
      </c>
      <c r="B56">
        <v>20</v>
      </c>
      <c r="C56" t="s">
        <v>75</v>
      </c>
      <c r="D56">
        <v>2019</v>
      </c>
      <c r="E56">
        <v>39</v>
      </c>
      <c r="F56">
        <v>113</v>
      </c>
      <c r="G56" t="s">
        <v>7</v>
      </c>
      <c r="H56" s="3">
        <v>2</v>
      </c>
      <c r="I56" t="s">
        <v>97</v>
      </c>
      <c r="J56" t="s">
        <v>98</v>
      </c>
      <c r="K56">
        <v>4665087.4359999998</v>
      </c>
      <c r="L56">
        <v>360227.12900000002</v>
      </c>
      <c r="M56">
        <v>1.1779999999999999</v>
      </c>
    </row>
    <row r="57" spans="1:14" x14ac:dyDescent="0.25">
      <c r="A57" t="s">
        <v>74</v>
      </c>
      <c r="B57">
        <v>20</v>
      </c>
      <c r="C57" t="s">
        <v>75</v>
      </c>
      <c r="D57">
        <v>2019</v>
      </c>
      <c r="E57">
        <v>40</v>
      </c>
      <c r="F57">
        <v>114</v>
      </c>
      <c r="G57" t="s">
        <v>29</v>
      </c>
      <c r="H57" s="3">
        <v>1</v>
      </c>
      <c r="I57" t="s">
        <v>99</v>
      </c>
      <c r="J57" t="s">
        <v>98</v>
      </c>
      <c r="K57">
        <v>4665086.1370000001</v>
      </c>
      <c r="L57">
        <v>360225.223</v>
      </c>
      <c r="M57">
        <v>1.1299999999999999</v>
      </c>
      <c r="N57" t="s">
        <v>30</v>
      </c>
    </row>
    <row r="58" spans="1:14" x14ac:dyDescent="0.25">
      <c r="A58" t="s">
        <v>74</v>
      </c>
      <c r="B58">
        <v>20</v>
      </c>
      <c r="C58" t="s">
        <v>75</v>
      </c>
      <c r="D58">
        <v>2019</v>
      </c>
      <c r="E58">
        <v>40</v>
      </c>
      <c r="F58">
        <v>115</v>
      </c>
      <c r="G58" t="s">
        <v>29</v>
      </c>
      <c r="H58" s="3">
        <v>1</v>
      </c>
      <c r="I58" t="s">
        <v>99</v>
      </c>
      <c r="J58" t="s">
        <v>98</v>
      </c>
      <c r="K58">
        <v>4665084.574</v>
      </c>
      <c r="L58">
        <v>360222.163</v>
      </c>
      <c r="M58">
        <v>1.1719999999999999</v>
      </c>
      <c r="N58" t="s">
        <v>31</v>
      </c>
    </row>
    <row r="59" spans="1:14" x14ac:dyDescent="0.25">
      <c r="A59" t="s">
        <v>74</v>
      </c>
      <c r="B59">
        <v>20</v>
      </c>
      <c r="C59" t="s">
        <v>75</v>
      </c>
      <c r="D59">
        <v>2019</v>
      </c>
      <c r="E59">
        <v>41</v>
      </c>
      <c r="F59">
        <v>116</v>
      </c>
      <c r="G59" t="s">
        <v>10</v>
      </c>
      <c r="H59" s="3">
        <v>13</v>
      </c>
      <c r="I59" t="s">
        <v>97</v>
      </c>
      <c r="J59" t="s">
        <v>98</v>
      </c>
      <c r="K59">
        <v>4665083.9840000002</v>
      </c>
      <c r="L59">
        <v>360220.17700000003</v>
      </c>
      <c r="M59">
        <v>1.22</v>
      </c>
    </row>
    <row r="60" spans="1:14" x14ac:dyDescent="0.25">
      <c r="A60" t="s">
        <v>74</v>
      </c>
      <c r="B60">
        <v>20</v>
      </c>
      <c r="C60" t="s">
        <v>75</v>
      </c>
      <c r="D60">
        <v>2019</v>
      </c>
      <c r="E60">
        <v>41</v>
      </c>
      <c r="F60">
        <v>117</v>
      </c>
      <c r="G60" t="s">
        <v>10</v>
      </c>
      <c r="H60" s="3">
        <v>13</v>
      </c>
      <c r="I60" t="s">
        <v>97</v>
      </c>
      <c r="J60" t="s">
        <v>98</v>
      </c>
      <c r="K60">
        <v>4665077.949</v>
      </c>
      <c r="L60">
        <v>360209.78499999997</v>
      </c>
      <c r="M60">
        <v>1.226</v>
      </c>
    </row>
    <row r="61" spans="1:14" x14ac:dyDescent="0.25">
      <c r="A61" t="s">
        <v>74</v>
      </c>
      <c r="B61">
        <v>20</v>
      </c>
      <c r="C61" t="s">
        <v>75</v>
      </c>
      <c r="D61">
        <v>2019</v>
      </c>
      <c r="E61">
        <v>41</v>
      </c>
      <c r="F61">
        <v>118</v>
      </c>
      <c r="G61" t="s">
        <v>10</v>
      </c>
      <c r="H61" s="3">
        <v>13</v>
      </c>
      <c r="I61" t="s">
        <v>97</v>
      </c>
      <c r="J61" t="s">
        <v>98</v>
      </c>
      <c r="K61">
        <v>4665072.5760000004</v>
      </c>
      <c r="L61">
        <v>360201.342</v>
      </c>
      <c r="M61">
        <v>1.2070000000000001</v>
      </c>
      <c r="N61" t="s">
        <v>32</v>
      </c>
    </row>
    <row r="62" spans="1:14" x14ac:dyDescent="0.25">
      <c r="A62" t="s">
        <v>74</v>
      </c>
      <c r="B62">
        <v>20</v>
      </c>
      <c r="C62" t="s">
        <v>75</v>
      </c>
      <c r="D62">
        <v>2019</v>
      </c>
      <c r="E62">
        <v>43</v>
      </c>
      <c r="F62">
        <v>125</v>
      </c>
      <c r="G62" t="s">
        <v>5</v>
      </c>
      <c r="H62" s="3">
        <v>4</v>
      </c>
      <c r="I62" t="s">
        <v>97</v>
      </c>
      <c r="J62" t="s">
        <v>98</v>
      </c>
      <c r="K62">
        <v>4665073.2750000004</v>
      </c>
      <c r="L62">
        <v>360207.85200000001</v>
      </c>
      <c r="M62">
        <v>1.2210000000000001</v>
      </c>
    </row>
    <row r="63" spans="1:14" x14ac:dyDescent="0.25">
      <c r="A63" t="s">
        <v>74</v>
      </c>
      <c r="B63">
        <v>20</v>
      </c>
      <c r="C63" t="s">
        <v>75</v>
      </c>
      <c r="D63">
        <v>2019</v>
      </c>
      <c r="E63">
        <v>43</v>
      </c>
      <c r="F63">
        <v>126</v>
      </c>
      <c r="G63" t="s">
        <v>5</v>
      </c>
      <c r="H63" s="3">
        <v>4</v>
      </c>
      <c r="I63" t="s">
        <v>97</v>
      </c>
      <c r="J63" t="s">
        <v>98</v>
      </c>
      <c r="K63">
        <v>4665075.9579999996</v>
      </c>
      <c r="L63">
        <v>360213.408</v>
      </c>
      <c r="M63">
        <v>1.19</v>
      </c>
    </row>
    <row r="64" spans="1:14" x14ac:dyDescent="0.25">
      <c r="A64" t="s">
        <v>74</v>
      </c>
      <c r="B64">
        <v>20</v>
      </c>
      <c r="C64" t="s">
        <v>75</v>
      </c>
      <c r="D64">
        <v>2019</v>
      </c>
      <c r="E64">
        <v>44</v>
      </c>
      <c r="F64">
        <v>127</v>
      </c>
      <c r="G64" t="s">
        <v>10</v>
      </c>
      <c r="H64" s="3">
        <v>13</v>
      </c>
      <c r="I64" t="s">
        <v>97</v>
      </c>
      <c r="J64" t="s">
        <v>98</v>
      </c>
      <c r="K64">
        <v>4665077.0269999998</v>
      </c>
      <c r="L64">
        <v>360215.16700000002</v>
      </c>
      <c r="M64">
        <v>1.169</v>
      </c>
    </row>
    <row r="65" spans="1:14" x14ac:dyDescent="0.25">
      <c r="A65" t="s">
        <v>74</v>
      </c>
      <c r="B65">
        <v>20</v>
      </c>
      <c r="C65" t="s">
        <v>75</v>
      </c>
      <c r="D65">
        <v>2019</v>
      </c>
      <c r="E65">
        <v>44</v>
      </c>
      <c r="F65">
        <v>128</v>
      </c>
      <c r="G65" t="s">
        <v>10</v>
      </c>
      <c r="H65" s="3">
        <v>13</v>
      </c>
      <c r="I65" t="s">
        <v>97</v>
      </c>
      <c r="J65" t="s">
        <v>98</v>
      </c>
      <c r="K65">
        <v>4665079.9539999999</v>
      </c>
      <c r="L65">
        <v>360223.18400000001</v>
      </c>
      <c r="M65">
        <v>1.1879999999999999</v>
      </c>
    </row>
    <row r="66" spans="1:14" x14ac:dyDescent="0.25">
      <c r="A66" t="s">
        <v>74</v>
      </c>
      <c r="B66">
        <v>20</v>
      </c>
      <c r="C66" t="s">
        <v>75</v>
      </c>
      <c r="D66">
        <v>2019</v>
      </c>
      <c r="E66">
        <v>45</v>
      </c>
      <c r="F66">
        <v>129</v>
      </c>
      <c r="G66" t="s">
        <v>17</v>
      </c>
      <c r="H66" s="3">
        <v>6</v>
      </c>
      <c r="I66" t="s">
        <v>97</v>
      </c>
      <c r="J66" t="s">
        <v>98</v>
      </c>
      <c r="K66">
        <v>4665080.3770000003</v>
      </c>
      <c r="L66">
        <v>360224.14</v>
      </c>
      <c r="M66">
        <v>1.212</v>
      </c>
    </row>
    <row r="67" spans="1:14" x14ac:dyDescent="0.25">
      <c r="A67" t="s">
        <v>74</v>
      </c>
      <c r="B67">
        <v>20</v>
      </c>
      <c r="C67" t="s">
        <v>75</v>
      </c>
      <c r="D67">
        <v>2019</v>
      </c>
      <c r="E67">
        <v>45</v>
      </c>
      <c r="F67">
        <v>130</v>
      </c>
      <c r="G67" t="s">
        <v>17</v>
      </c>
      <c r="H67" s="3">
        <v>6</v>
      </c>
      <c r="I67" t="s">
        <v>97</v>
      </c>
      <c r="J67" t="s">
        <v>98</v>
      </c>
      <c r="K67">
        <v>4665085.3760000002</v>
      </c>
      <c r="L67">
        <v>360233.30699999997</v>
      </c>
      <c r="M67">
        <v>1.1419999999999999</v>
      </c>
    </row>
    <row r="68" spans="1:14" x14ac:dyDescent="0.25">
      <c r="A68" t="s">
        <v>74</v>
      </c>
      <c r="B68">
        <v>20</v>
      </c>
      <c r="C68" t="s">
        <v>75</v>
      </c>
      <c r="D68">
        <v>2019</v>
      </c>
      <c r="E68">
        <v>46</v>
      </c>
      <c r="F68">
        <v>131</v>
      </c>
      <c r="G68" t="s">
        <v>34</v>
      </c>
      <c r="H68" s="3">
        <v>9</v>
      </c>
      <c r="I68" t="s">
        <v>97</v>
      </c>
      <c r="J68" t="s">
        <v>98</v>
      </c>
      <c r="K68">
        <v>4665086.3480000002</v>
      </c>
      <c r="L68">
        <v>360234.90700000001</v>
      </c>
      <c r="M68">
        <v>1.1499999999999999</v>
      </c>
    </row>
    <row r="69" spans="1:14" x14ac:dyDescent="0.25">
      <c r="A69" t="s">
        <v>74</v>
      </c>
      <c r="B69">
        <v>20</v>
      </c>
      <c r="C69" t="s">
        <v>75</v>
      </c>
      <c r="D69">
        <v>2019</v>
      </c>
      <c r="E69">
        <v>46</v>
      </c>
      <c r="F69">
        <v>132</v>
      </c>
      <c r="G69" t="s">
        <v>34</v>
      </c>
      <c r="H69" s="3">
        <v>9</v>
      </c>
      <c r="I69" t="s">
        <v>97</v>
      </c>
      <c r="J69" t="s">
        <v>98</v>
      </c>
      <c r="K69">
        <v>4665090.1960000005</v>
      </c>
      <c r="L69">
        <v>360241.28100000002</v>
      </c>
      <c r="M69">
        <v>1.1779999999999999</v>
      </c>
    </row>
    <row r="70" spans="1:14" x14ac:dyDescent="0.25">
      <c r="A70" t="s">
        <v>74</v>
      </c>
      <c r="B70">
        <v>20</v>
      </c>
      <c r="C70" t="s">
        <v>75</v>
      </c>
      <c r="D70">
        <v>2019</v>
      </c>
      <c r="E70">
        <v>47</v>
      </c>
      <c r="F70">
        <v>133</v>
      </c>
      <c r="G70" t="s">
        <v>17</v>
      </c>
      <c r="H70" s="3">
        <v>6</v>
      </c>
      <c r="I70" t="s">
        <v>97</v>
      </c>
      <c r="J70" t="s">
        <v>98</v>
      </c>
      <c r="K70">
        <v>4665091.4230000004</v>
      </c>
      <c r="L70">
        <v>360242.995</v>
      </c>
      <c r="M70">
        <v>1.1359999999999999</v>
      </c>
    </row>
    <row r="71" spans="1:14" x14ac:dyDescent="0.25">
      <c r="A71" t="s">
        <v>74</v>
      </c>
      <c r="B71">
        <v>20</v>
      </c>
      <c r="C71" t="s">
        <v>75</v>
      </c>
      <c r="D71">
        <v>2019</v>
      </c>
      <c r="E71">
        <v>47</v>
      </c>
      <c r="F71">
        <v>134</v>
      </c>
      <c r="G71" t="s">
        <v>17</v>
      </c>
      <c r="H71" s="3">
        <v>6</v>
      </c>
      <c r="I71" t="s">
        <v>97</v>
      </c>
      <c r="J71" t="s">
        <v>98</v>
      </c>
      <c r="K71">
        <v>4665093.9380000001</v>
      </c>
      <c r="L71">
        <v>360248.74900000001</v>
      </c>
      <c r="M71">
        <v>1.202</v>
      </c>
    </row>
    <row r="72" spans="1:14" x14ac:dyDescent="0.25">
      <c r="A72" t="s">
        <v>74</v>
      </c>
      <c r="B72">
        <v>20</v>
      </c>
      <c r="C72" t="s">
        <v>75</v>
      </c>
      <c r="D72">
        <v>2019</v>
      </c>
      <c r="E72">
        <v>49</v>
      </c>
      <c r="F72">
        <v>136</v>
      </c>
      <c r="G72" t="s">
        <v>17</v>
      </c>
      <c r="H72" s="3">
        <v>6</v>
      </c>
      <c r="I72" t="s">
        <v>97</v>
      </c>
      <c r="J72" t="s">
        <v>98</v>
      </c>
      <c r="K72">
        <v>4665096.0310000004</v>
      </c>
      <c r="L72">
        <v>360252.64299999998</v>
      </c>
      <c r="M72">
        <v>1.1870000000000001</v>
      </c>
    </row>
    <row r="73" spans="1:14" x14ac:dyDescent="0.25">
      <c r="A73" t="s">
        <v>74</v>
      </c>
      <c r="B73">
        <v>20</v>
      </c>
      <c r="C73" t="s">
        <v>75</v>
      </c>
      <c r="D73">
        <v>2019</v>
      </c>
      <c r="E73">
        <v>49</v>
      </c>
      <c r="F73">
        <v>137</v>
      </c>
      <c r="G73" t="s">
        <v>17</v>
      </c>
      <c r="H73" s="3">
        <v>6</v>
      </c>
      <c r="I73" t="s">
        <v>97</v>
      </c>
      <c r="J73" t="s">
        <v>98</v>
      </c>
      <c r="K73">
        <v>4665096.93</v>
      </c>
      <c r="L73">
        <v>360253.82900000003</v>
      </c>
      <c r="M73">
        <v>1.2</v>
      </c>
    </row>
    <row r="74" spans="1:14" x14ac:dyDescent="0.25">
      <c r="A74" t="s">
        <v>74</v>
      </c>
      <c r="B74">
        <v>20</v>
      </c>
      <c r="C74" t="s">
        <v>75</v>
      </c>
      <c r="D74">
        <v>2019</v>
      </c>
      <c r="E74">
        <v>51</v>
      </c>
      <c r="F74">
        <v>139</v>
      </c>
      <c r="G74" t="s">
        <v>17</v>
      </c>
      <c r="H74" s="3">
        <v>6</v>
      </c>
      <c r="I74" t="s">
        <v>97</v>
      </c>
      <c r="J74" t="s">
        <v>98</v>
      </c>
      <c r="K74">
        <v>4665099.0290000001</v>
      </c>
      <c r="L74">
        <v>360257.45799999998</v>
      </c>
      <c r="M74">
        <v>1.167</v>
      </c>
      <c r="N74" t="s">
        <v>38</v>
      </c>
    </row>
    <row r="75" spans="1:14" x14ac:dyDescent="0.25">
      <c r="A75" t="s">
        <v>74</v>
      </c>
      <c r="B75">
        <v>20</v>
      </c>
      <c r="C75" t="s">
        <v>75</v>
      </c>
      <c r="D75">
        <v>2019</v>
      </c>
      <c r="E75">
        <v>51</v>
      </c>
      <c r="F75">
        <v>140</v>
      </c>
      <c r="G75" t="s">
        <v>17</v>
      </c>
      <c r="H75" s="3">
        <v>6</v>
      </c>
      <c r="I75" t="s">
        <v>97</v>
      </c>
      <c r="J75" t="s">
        <v>98</v>
      </c>
      <c r="K75">
        <v>4665103.6409999998</v>
      </c>
      <c r="L75">
        <v>360265.99</v>
      </c>
      <c r="M75">
        <v>1.137</v>
      </c>
      <c r="N75" t="s">
        <v>38</v>
      </c>
    </row>
    <row r="76" spans="1:14" x14ac:dyDescent="0.25">
      <c r="A76" t="s">
        <v>74</v>
      </c>
      <c r="B76">
        <v>20</v>
      </c>
      <c r="C76" t="s">
        <v>75</v>
      </c>
      <c r="D76">
        <v>2019</v>
      </c>
      <c r="E76">
        <v>52</v>
      </c>
      <c r="F76">
        <v>141</v>
      </c>
      <c r="G76" t="s">
        <v>39</v>
      </c>
      <c r="H76" s="3">
        <v>8</v>
      </c>
      <c r="I76" t="s">
        <v>99</v>
      </c>
      <c r="J76" t="s">
        <v>98</v>
      </c>
      <c r="K76">
        <v>4665104.5130000003</v>
      </c>
      <c r="L76">
        <v>360268.08500000002</v>
      </c>
      <c r="M76">
        <v>1.135</v>
      </c>
    </row>
    <row r="77" spans="1:14" x14ac:dyDescent="0.25">
      <c r="A77" t="s">
        <v>74</v>
      </c>
      <c r="B77">
        <v>20</v>
      </c>
      <c r="C77" t="s">
        <v>75</v>
      </c>
      <c r="D77">
        <v>2019</v>
      </c>
      <c r="E77">
        <v>52</v>
      </c>
      <c r="F77">
        <v>142</v>
      </c>
      <c r="G77" t="s">
        <v>39</v>
      </c>
      <c r="H77" s="3">
        <v>8</v>
      </c>
      <c r="I77" t="s">
        <v>99</v>
      </c>
      <c r="J77" t="s">
        <v>98</v>
      </c>
      <c r="K77">
        <v>4665107.7819999997</v>
      </c>
      <c r="L77">
        <v>360275.05800000002</v>
      </c>
      <c r="M77">
        <v>1.157</v>
      </c>
    </row>
    <row r="78" spans="1:14" x14ac:dyDescent="0.25">
      <c r="A78" t="s">
        <v>74</v>
      </c>
      <c r="B78">
        <v>20</v>
      </c>
      <c r="C78" t="s">
        <v>75</v>
      </c>
      <c r="D78">
        <v>2019</v>
      </c>
      <c r="E78">
        <v>53</v>
      </c>
      <c r="F78">
        <v>143</v>
      </c>
      <c r="G78" t="s">
        <v>40</v>
      </c>
      <c r="H78" s="3">
        <v>7</v>
      </c>
      <c r="I78" t="s">
        <v>97</v>
      </c>
      <c r="J78" t="s">
        <v>98</v>
      </c>
      <c r="K78">
        <v>4665108.78</v>
      </c>
      <c r="L78">
        <v>360277.03700000001</v>
      </c>
      <c r="M78">
        <v>1.181</v>
      </c>
      <c r="N78" t="s">
        <v>41</v>
      </c>
    </row>
    <row r="79" spans="1:14" x14ac:dyDescent="0.25">
      <c r="A79" t="s">
        <v>74</v>
      </c>
      <c r="B79">
        <v>20</v>
      </c>
      <c r="C79" t="s">
        <v>75</v>
      </c>
      <c r="D79">
        <v>2019</v>
      </c>
      <c r="E79">
        <v>53</v>
      </c>
      <c r="F79">
        <v>144</v>
      </c>
      <c r="G79" t="s">
        <v>40</v>
      </c>
      <c r="H79" s="3">
        <v>7</v>
      </c>
      <c r="I79" t="s">
        <v>97</v>
      </c>
      <c r="J79" t="s">
        <v>98</v>
      </c>
      <c r="K79">
        <v>4665110.017</v>
      </c>
      <c r="L79">
        <v>360279.20500000002</v>
      </c>
      <c r="M79">
        <v>1.1299999999999999</v>
      </c>
      <c r="N79" t="s">
        <v>41</v>
      </c>
    </row>
    <row r="80" spans="1:14" x14ac:dyDescent="0.25">
      <c r="A80" t="s">
        <v>74</v>
      </c>
      <c r="B80">
        <v>20</v>
      </c>
      <c r="C80" t="s">
        <v>75</v>
      </c>
      <c r="D80">
        <v>2019</v>
      </c>
      <c r="E80">
        <v>54</v>
      </c>
      <c r="F80">
        <v>145</v>
      </c>
      <c r="G80" t="s">
        <v>17</v>
      </c>
      <c r="H80" s="3">
        <v>6</v>
      </c>
      <c r="I80" t="s">
        <v>97</v>
      </c>
      <c r="J80" t="s">
        <v>98</v>
      </c>
      <c r="K80">
        <v>4665110.9170000004</v>
      </c>
      <c r="L80">
        <v>360281.18099999998</v>
      </c>
      <c r="M80">
        <v>1.1499999999999999</v>
      </c>
    </row>
    <row r="81" spans="1:14" x14ac:dyDescent="0.25">
      <c r="A81" t="s">
        <v>74</v>
      </c>
      <c r="B81">
        <v>20</v>
      </c>
      <c r="C81" t="s">
        <v>75</v>
      </c>
      <c r="D81">
        <v>2019</v>
      </c>
      <c r="E81">
        <v>54</v>
      </c>
      <c r="F81">
        <v>146</v>
      </c>
      <c r="G81" t="s">
        <v>17</v>
      </c>
      <c r="H81" s="3">
        <v>6</v>
      </c>
      <c r="I81" t="s">
        <v>97</v>
      </c>
      <c r="J81" t="s">
        <v>98</v>
      </c>
      <c r="K81">
        <v>4665111.6540000001</v>
      </c>
      <c r="L81">
        <v>360283.22399999999</v>
      </c>
      <c r="M81">
        <v>1.147</v>
      </c>
    </row>
    <row r="82" spans="1:14" x14ac:dyDescent="0.25">
      <c r="A82" t="s">
        <v>74</v>
      </c>
      <c r="B82">
        <v>20</v>
      </c>
      <c r="C82" t="s">
        <v>75</v>
      </c>
      <c r="D82">
        <v>2019</v>
      </c>
      <c r="E82">
        <v>55</v>
      </c>
      <c r="F82">
        <v>147</v>
      </c>
      <c r="G82" t="s">
        <v>10</v>
      </c>
      <c r="H82" s="3">
        <v>13</v>
      </c>
      <c r="I82" t="s">
        <v>97</v>
      </c>
      <c r="J82" t="s">
        <v>98</v>
      </c>
      <c r="K82">
        <v>4665117.8770000003</v>
      </c>
      <c r="L82">
        <v>360283.00599999999</v>
      </c>
      <c r="M82">
        <v>0.79700000000000004</v>
      </c>
      <c r="N82" t="s">
        <v>42</v>
      </c>
    </row>
    <row r="83" spans="1:14" x14ac:dyDescent="0.25">
      <c r="A83" t="s">
        <v>74</v>
      </c>
      <c r="B83">
        <v>20</v>
      </c>
      <c r="C83" t="s">
        <v>75</v>
      </c>
      <c r="D83">
        <v>2019</v>
      </c>
      <c r="E83">
        <v>55</v>
      </c>
      <c r="F83">
        <v>148</v>
      </c>
      <c r="G83" t="s">
        <v>10</v>
      </c>
      <c r="H83" s="3">
        <v>13</v>
      </c>
      <c r="I83" t="s">
        <v>97</v>
      </c>
      <c r="J83" t="s">
        <v>98</v>
      </c>
      <c r="K83">
        <v>4665113.2209999999</v>
      </c>
      <c r="L83">
        <v>360284.11</v>
      </c>
      <c r="M83">
        <v>1.1839999999999999</v>
      </c>
      <c r="N83" t="s">
        <v>42</v>
      </c>
    </row>
    <row r="84" spans="1:14" x14ac:dyDescent="0.25">
      <c r="A84" t="s">
        <v>74</v>
      </c>
      <c r="B84">
        <v>20</v>
      </c>
      <c r="C84" t="s">
        <v>75</v>
      </c>
      <c r="D84">
        <v>2019</v>
      </c>
      <c r="E84">
        <v>55</v>
      </c>
      <c r="F84">
        <v>149</v>
      </c>
      <c r="G84" t="s">
        <v>10</v>
      </c>
      <c r="H84" s="3">
        <v>13</v>
      </c>
      <c r="I84" t="s">
        <v>97</v>
      </c>
      <c r="J84" t="s">
        <v>98</v>
      </c>
      <c r="K84">
        <v>4665109.7039999999</v>
      </c>
      <c r="L84">
        <v>360284.90500000003</v>
      </c>
      <c r="M84">
        <v>1.175</v>
      </c>
      <c r="N84" t="s">
        <v>42</v>
      </c>
    </row>
    <row r="85" spans="1:14" x14ac:dyDescent="0.25">
      <c r="A85" t="s">
        <v>74</v>
      </c>
      <c r="B85">
        <v>20</v>
      </c>
      <c r="C85" t="s">
        <v>75</v>
      </c>
      <c r="D85">
        <v>2019</v>
      </c>
      <c r="E85">
        <v>57</v>
      </c>
      <c r="F85">
        <v>156</v>
      </c>
      <c r="G85" t="s">
        <v>10</v>
      </c>
      <c r="H85" s="3">
        <v>13</v>
      </c>
      <c r="I85" t="s">
        <v>97</v>
      </c>
      <c r="J85" t="s">
        <v>98</v>
      </c>
      <c r="K85">
        <v>4665110.6459999997</v>
      </c>
      <c r="L85">
        <v>360289.15</v>
      </c>
      <c r="M85">
        <v>1.173</v>
      </c>
      <c r="N85" t="s">
        <v>44</v>
      </c>
    </row>
    <row r="86" spans="1:14" x14ac:dyDescent="0.25">
      <c r="A86" t="s">
        <v>74</v>
      </c>
      <c r="B86">
        <v>20</v>
      </c>
      <c r="C86" t="s">
        <v>75</v>
      </c>
      <c r="D86">
        <v>2019</v>
      </c>
      <c r="E86">
        <v>57</v>
      </c>
      <c r="F86">
        <v>157</v>
      </c>
      <c r="G86" t="s">
        <v>10</v>
      </c>
      <c r="H86" s="3">
        <v>13</v>
      </c>
      <c r="I86" t="s">
        <v>97</v>
      </c>
      <c r="J86" t="s">
        <v>98</v>
      </c>
      <c r="K86">
        <v>4665115.3969999999</v>
      </c>
      <c r="L86">
        <v>360288.66399999999</v>
      </c>
      <c r="M86">
        <v>1.1100000000000001</v>
      </c>
      <c r="N86" t="s">
        <v>44</v>
      </c>
    </row>
    <row r="87" spans="1:14" x14ac:dyDescent="0.25">
      <c r="A87" t="s">
        <v>74</v>
      </c>
      <c r="B87">
        <v>20</v>
      </c>
      <c r="C87" t="s">
        <v>75</v>
      </c>
      <c r="D87">
        <v>2019</v>
      </c>
      <c r="E87">
        <v>57</v>
      </c>
      <c r="F87">
        <v>158</v>
      </c>
      <c r="G87" t="s">
        <v>10</v>
      </c>
      <c r="H87" s="3">
        <v>13</v>
      </c>
      <c r="I87" t="s">
        <v>97</v>
      </c>
      <c r="J87" t="s">
        <v>98</v>
      </c>
      <c r="K87">
        <v>4665120.2029999997</v>
      </c>
      <c r="L87">
        <v>360287.03200000001</v>
      </c>
      <c r="M87">
        <v>0.58699999999999997</v>
      </c>
      <c r="N87" t="s">
        <v>44</v>
      </c>
    </row>
    <row r="88" spans="1:14" x14ac:dyDescent="0.25">
      <c r="A88" t="s">
        <v>74</v>
      </c>
      <c r="B88">
        <v>20</v>
      </c>
      <c r="C88" t="s">
        <v>75</v>
      </c>
      <c r="D88">
        <v>2019</v>
      </c>
      <c r="E88">
        <v>58</v>
      </c>
      <c r="F88">
        <v>159</v>
      </c>
      <c r="G88" t="s">
        <v>19</v>
      </c>
      <c r="H88" s="3">
        <v>1</v>
      </c>
      <c r="I88" t="s">
        <v>97</v>
      </c>
      <c r="J88" t="s">
        <v>98</v>
      </c>
      <c r="K88">
        <v>4665118.3770000003</v>
      </c>
      <c r="L88">
        <v>360289.11700000003</v>
      </c>
      <c r="M88">
        <v>1.036</v>
      </c>
    </row>
    <row r="89" spans="1:14" x14ac:dyDescent="0.25">
      <c r="A89" t="s">
        <v>74</v>
      </c>
      <c r="B89">
        <v>20</v>
      </c>
      <c r="C89" t="s">
        <v>75</v>
      </c>
      <c r="D89">
        <v>2019</v>
      </c>
      <c r="E89">
        <v>58</v>
      </c>
      <c r="F89">
        <v>160</v>
      </c>
      <c r="G89" t="s">
        <v>19</v>
      </c>
      <c r="H89" s="3">
        <v>1</v>
      </c>
      <c r="I89" t="s">
        <v>97</v>
      </c>
      <c r="J89" t="s">
        <v>98</v>
      </c>
      <c r="K89">
        <v>4665129.9309999999</v>
      </c>
      <c r="L89">
        <v>360307.92700000003</v>
      </c>
      <c r="M89">
        <v>1.002</v>
      </c>
    </row>
    <row r="90" spans="1:14" x14ac:dyDescent="0.25">
      <c r="A90" t="s">
        <v>74</v>
      </c>
      <c r="B90">
        <v>20</v>
      </c>
      <c r="C90" t="s">
        <v>75</v>
      </c>
      <c r="D90">
        <v>2019</v>
      </c>
      <c r="E90">
        <v>58</v>
      </c>
      <c r="F90">
        <v>161</v>
      </c>
      <c r="G90" t="s">
        <v>19</v>
      </c>
      <c r="H90" s="3">
        <v>1</v>
      </c>
      <c r="I90" t="s">
        <v>97</v>
      </c>
      <c r="J90" t="s">
        <v>98</v>
      </c>
      <c r="K90">
        <v>4665117.6239999998</v>
      </c>
      <c r="L90">
        <v>360312.49599999998</v>
      </c>
      <c r="M90">
        <v>0.96899999999999997</v>
      </c>
    </row>
    <row r="91" spans="1:14" x14ac:dyDescent="0.25">
      <c r="A91" t="s">
        <v>74</v>
      </c>
      <c r="B91">
        <v>20</v>
      </c>
      <c r="C91" t="s">
        <v>75</v>
      </c>
      <c r="D91">
        <v>2019</v>
      </c>
      <c r="E91">
        <v>60</v>
      </c>
      <c r="F91">
        <v>163</v>
      </c>
      <c r="G91" t="s">
        <v>17</v>
      </c>
      <c r="H91" s="3">
        <v>6</v>
      </c>
      <c r="I91" t="s">
        <v>97</v>
      </c>
      <c r="J91" t="s">
        <v>98</v>
      </c>
      <c r="K91">
        <v>4665116.01</v>
      </c>
      <c r="L91">
        <v>360308.674</v>
      </c>
      <c r="M91">
        <v>1.085</v>
      </c>
    </row>
    <row r="92" spans="1:14" x14ac:dyDescent="0.25">
      <c r="A92" t="s">
        <v>74</v>
      </c>
      <c r="B92">
        <v>20</v>
      </c>
      <c r="C92" t="s">
        <v>75</v>
      </c>
      <c r="D92">
        <v>2019</v>
      </c>
      <c r="E92">
        <v>60</v>
      </c>
      <c r="F92">
        <v>164</v>
      </c>
      <c r="G92" t="s">
        <v>17</v>
      </c>
      <c r="H92" s="3">
        <v>6</v>
      </c>
      <c r="I92" t="s">
        <v>97</v>
      </c>
      <c r="J92" t="s">
        <v>98</v>
      </c>
      <c r="K92">
        <v>4665101.8470000001</v>
      </c>
      <c r="L92">
        <v>360284.52299999999</v>
      </c>
      <c r="M92">
        <v>1.1779999999999999</v>
      </c>
    </row>
    <row r="93" spans="1:14" x14ac:dyDescent="0.25">
      <c r="A93" t="s">
        <v>74</v>
      </c>
      <c r="B93">
        <v>20</v>
      </c>
      <c r="C93" t="s">
        <v>75</v>
      </c>
      <c r="D93">
        <v>2019</v>
      </c>
      <c r="E93">
        <v>61</v>
      </c>
      <c r="F93">
        <v>165</v>
      </c>
      <c r="G93" t="s">
        <v>39</v>
      </c>
      <c r="H93" s="3">
        <v>8</v>
      </c>
      <c r="I93" t="s">
        <v>99</v>
      </c>
      <c r="J93" t="s">
        <v>98</v>
      </c>
      <c r="K93">
        <v>4665100.9869999997</v>
      </c>
      <c r="L93">
        <v>360282.43900000001</v>
      </c>
      <c r="M93">
        <v>1.194</v>
      </c>
    </row>
    <row r="94" spans="1:14" x14ac:dyDescent="0.25">
      <c r="A94" t="s">
        <v>74</v>
      </c>
      <c r="B94">
        <v>20</v>
      </c>
      <c r="C94" t="s">
        <v>75</v>
      </c>
      <c r="D94">
        <v>2019</v>
      </c>
      <c r="E94">
        <v>61</v>
      </c>
      <c r="F94">
        <v>166</v>
      </c>
      <c r="G94" t="s">
        <v>39</v>
      </c>
      <c r="H94" s="3">
        <v>8</v>
      </c>
      <c r="I94" t="s">
        <v>99</v>
      </c>
      <c r="J94" t="s">
        <v>98</v>
      </c>
      <c r="K94">
        <v>4665098.4539999999</v>
      </c>
      <c r="L94">
        <v>360277.17800000001</v>
      </c>
      <c r="M94">
        <v>1.1970000000000001</v>
      </c>
    </row>
    <row r="95" spans="1:14" x14ac:dyDescent="0.25">
      <c r="A95" t="s">
        <v>74</v>
      </c>
      <c r="B95">
        <v>20</v>
      </c>
      <c r="C95" t="s">
        <v>75</v>
      </c>
      <c r="D95">
        <v>2019</v>
      </c>
      <c r="E95">
        <v>62</v>
      </c>
      <c r="F95">
        <v>167</v>
      </c>
      <c r="G95" t="s">
        <v>45</v>
      </c>
      <c r="H95" s="3">
        <v>8</v>
      </c>
      <c r="I95" t="s">
        <v>97</v>
      </c>
      <c r="J95" t="s">
        <v>98</v>
      </c>
      <c r="K95">
        <v>4665097.3509999998</v>
      </c>
      <c r="L95">
        <v>360275.37300000002</v>
      </c>
      <c r="M95">
        <v>1.1970000000000001</v>
      </c>
      <c r="N95" t="s">
        <v>46</v>
      </c>
    </row>
    <row r="96" spans="1:14" x14ac:dyDescent="0.25">
      <c r="A96" t="s">
        <v>74</v>
      </c>
      <c r="B96">
        <v>20</v>
      </c>
      <c r="C96" t="s">
        <v>75</v>
      </c>
      <c r="D96">
        <v>2019</v>
      </c>
      <c r="E96">
        <v>62</v>
      </c>
      <c r="F96">
        <v>168</v>
      </c>
      <c r="G96" t="s">
        <v>45</v>
      </c>
      <c r="H96" s="3">
        <v>8</v>
      </c>
      <c r="I96" t="s">
        <v>97</v>
      </c>
      <c r="J96" t="s">
        <v>98</v>
      </c>
      <c r="K96">
        <v>4665092.4479999999</v>
      </c>
      <c r="L96">
        <v>360266.84100000001</v>
      </c>
      <c r="M96">
        <v>1.1879999999999999</v>
      </c>
    </row>
    <row r="97" spans="1:14" x14ac:dyDescent="0.25">
      <c r="A97" t="s">
        <v>74</v>
      </c>
      <c r="B97">
        <v>20</v>
      </c>
      <c r="C97" t="s">
        <v>75</v>
      </c>
      <c r="D97">
        <v>2019</v>
      </c>
      <c r="E97">
        <v>64</v>
      </c>
      <c r="F97">
        <v>170</v>
      </c>
      <c r="G97" t="s">
        <v>45</v>
      </c>
      <c r="H97" s="3">
        <v>8</v>
      </c>
      <c r="I97" t="s">
        <v>97</v>
      </c>
      <c r="J97" t="s">
        <v>98</v>
      </c>
      <c r="K97">
        <v>4665090.0080000004</v>
      </c>
      <c r="L97">
        <v>360263.49099999998</v>
      </c>
      <c r="M97">
        <v>1.1679999999999999</v>
      </c>
    </row>
    <row r="98" spans="1:14" x14ac:dyDescent="0.25">
      <c r="A98" t="s">
        <v>74</v>
      </c>
      <c r="B98">
        <v>20</v>
      </c>
      <c r="C98" t="s">
        <v>75</v>
      </c>
      <c r="D98">
        <v>2019</v>
      </c>
      <c r="E98">
        <v>64</v>
      </c>
      <c r="F98">
        <v>171</v>
      </c>
      <c r="G98" t="s">
        <v>45</v>
      </c>
      <c r="H98" s="3">
        <v>8</v>
      </c>
      <c r="I98" t="s">
        <v>97</v>
      </c>
      <c r="J98" t="s">
        <v>98</v>
      </c>
      <c r="K98">
        <v>4665089.0049999999</v>
      </c>
      <c r="L98">
        <v>360262.33100000001</v>
      </c>
      <c r="M98">
        <v>1.165</v>
      </c>
    </row>
    <row r="99" spans="1:14" x14ac:dyDescent="0.25">
      <c r="A99" t="s">
        <v>74</v>
      </c>
      <c r="B99">
        <v>20</v>
      </c>
      <c r="C99" t="s">
        <v>75</v>
      </c>
      <c r="D99">
        <v>2019</v>
      </c>
      <c r="E99">
        <v>66</v>
      </c>
      <c r="F99">
        <v>173</v>
      </c>
      <c r="G99" t="s">
        <v>39</v>
      </c>
      <c r="H99" s="3">
        <v>8</v>
      </c>
      <c r="I99" t="s">
        <v>99</v>
      </c>
      <c r="J99" t="s">
        <v>98</v>
      </c>
      <c r="K99">
        <v>4665086.3059999999</v>
      </c>
      <c r="L99">
        <v>360259.10499999998</v>
      </c>
      <c r="M99">
        <v>1.181</v>
      </c>
    </row>
    <row r="100" spans="1:14" x14ac:dyDescent="0.25">
      <c r="A100" t="s">
        <v>74</v>
      </c>
      <c r="B100">
        <v>20</v>
      </c>
      <c r="C100" t="s">
        <v>75</v>
      </c>
      <c r="D100">
        <v>2019</v>
      </c>
      <c r="E100">
        <v>66</v>
      </c>
      <c r="F100">
        <v>174</v>
      </c>
      <c r="G100" t="s">
        <v>39</v>
      </c>
      <c r="H100" s="3">
        <v>8</v>
      </c>
      <c r="I100" t="s">
        <v>99</v>
      </c>
      <c r="J100" t="s">
        <v>98</v>
      </c>
      <c r="K100">
        <v>4665085.2300000004</v>
      </c>
      <c r="L100">
        <v>360257.02500000002</v>
      </c>
      <c r="M100">
        <v>1.1970000000000001</v>
      </c>
      <c r="N100" t="s">
        <v>47</v>
      </c>
    </row>
    <row r="101" spans="1:14" x14ac:dyDescent="0.25">
      <c r="A101" t="s">
        <v>74</v>
      </c>
      <c r="B101">
        <v>20</v>
      </c>
      <c r="C101" t="s">
        <v>75</v>
      </c>
      <c r="D101">
        <v>2019</v>
      </c>
      <c r="E101">
        <v>67</v>
      </c>
      <c r="F101">
        <v>175</v>
      </c>
      <c r="G101" t="s">
        <v>45</v>
      </c>
      <c r="H101" s="3">
        <v>8</v>
      </c>
      <c r="I101" t="s">
        <v>97</v>
      </c>
      <c r="J101" t="s">
        <v>98</v>
      </c>
      <c r="K101">
        <v>4665084.2850000001</v>
      </c>
      <c r="L101">
        <v>360255.39299999998</v>
      </c>
      <c r="M101">
        <v>1.2270000000000001</v>
      </c>
    </row>
    <row r="102" spans="1:14" x14ac:dyDescent="0.25">
      <c r="A102" t="s">
        <v>74</v>
      </c>
      <c r="B102">
        <v>20</v>
      </c>
      <c r="C102" t="s">
        <v>75</v>
      </c>
      <c r="D102">
        <v>2019</v>
      </c>
      <c r="E102">
        <v>67</v>
      </c>
      <c r="F102">
        <v>176</v>
      </c>
      <c r="G102" t="s">
        <v>45</v>
      </c>
      <c r="H102" s="3">
        <v>8</v>
      </c>
      <c r="I102" t="s">
        <v>97</v>
      </c>
      <c r="J102" t="s">
        <v>98</v>
      </c>
      <c r="K102">
        <v>4665079.1500000004</v>
      </c>
      <c r="L102">
        <v>360245.94300000003</v>
      </c>
      <c r="M102">
        <v>1.2689999999999999</v>
      </c>
      <c r="N102" t="s">
        <v>48</v>
      </c>
    </row>
    <row r="103" spans="1:14" x14ac:dyDescent="0.25">
      <c r="A103" t="s">
        <v>74</v>
      </c>
      <c r="B103">
        <v>20</v>
      </c>
      <c r="C103" t="s">
        <v>75</v>
      </c>
      <c r="D103">
        <v>2019</v>
      </c>
      <c r="E103">
        <v>68</v>
      </c>
      <c r="F103">
        <v>177</v>
      </c>
      <c r="G103" t="s">
        <v>17</v>
      </c>
      <c r="H103" s="3">
        <v>6</v>
      </c>
      <c r="I103" t="s">
        <v>97</v>
      </c>
      <c r="J103" t="s">
        <v>98</v>
      </c>
      <c r="K103">
        <v>4665078.3689999999</v>
      </c>
      <c r="L103">
        <v>360243.89799999999</v>
      </c>
      <c r="M103">
        <v>1.204</v>
      </c>
    </row>
    <row r="104" spans="1:14" x14ac:dyDescent="0.25">
      <c r="A104" t="s">
        <v>74</v>
      </c>
      <c r="B104">
        <v>20</v>
      </c>
      <c r="C104" t="s">
        <v>75</v>
      </c>
      <c r="D104">
        <v>2019</v>
      </c>
      <c r="E104">
        <v>68</v>
      </c>
      <c r="F104">
        <v>178</v>
      </c>
      <c r="G104" t="s">
        <v>17</v>
      </c>
      <c r="H104" s="3">
        <v>6</v>
      </c>
      <c r="I104" t="s">
        <v>97</v>
      </c>
      <c r="J104" t="s">
        <v>98</v>
      </c>
      <c r="K104">
        <v>4665077.62</v>
      </c>
      <c r="L104">
        <v>360240.72399999999</v>
      </c>
      <c r="M104">
        <v>1.214</v>
      </c>
    </row>
    <row r="105" spans="1:14" x14ac:dyDescent="0.25">
      <c r="A105" t="s">
        <v>74</v>
      </c>
      <c r="B105">
        <v>20</v>
      </c>
      <c r="C105" t="s">
        <v>75</v>
      </c>
      <c r="D105">
        <v>2019</v>
      </c>
      <c r="E105">
        <v>70</v>
      </c>
      <c r="F105">
        <v>180</v>
      </c>
      <c r="G105" t="s">
        <v>40</v>
      </c>
      <c r="H105" s="3">
        <v>7</v>
      </c>
      <c r="I105" t="s">
        <v>97</v>
      </c>
      <c r="J105" t="s">
        <v>98</v>
      </c>
      <c r="K105">
        <v>4665076.517</v>
      </c>
      <c r="L105">
        <v>360236.64</v>
      </c>
      <c r="M105">
        <v>1.2230000000000001</v>
      </c>
      <c r="N105" t="s">
        <v>50</v>
      </c>
    </row>
    <row r="106" spans="1:14" x14ac:dyDescent="0.25">
      <c r="A106" t="s">
        <v>74</v>
      </c>
      <c r="B106">
        <v>20</v>
      </c>
      <c r="C106" t="s">
        <v>75</v>
      </c>
      <c r="D106">
        <v>2019</v>
      </c>
      <c r="E106">
        <v>70</v>
      </c>
      <c r="F106">
        <v>181</v>
      </c>
      <c r="G106" t="s">
        <v>40</v>
      </c>
      <c r="H106" s="3">
        <v>7</v>
      </c>
      <c r="I106" t="s">
        <v>97</v>
      </c>
      <c r="J106" t="s">
        <v>98</v>
      </c>
      <c r="K106">
        <v>4665075.9029999999</v>
      </c>
      <c r="L106">
        <v>360234.18300000002</v>
      </c>
      <c r="M106">
        <v>1.2150000000000001</v>
      </c>
      <c r="N106" t="s">
        <v>50</v>
      </c>
    </row>
    <row r="107" spans="1:14" x14ac:dyDescent="0.25">
      <c r="A107" t="s">
        <v>74</v>
      </c>
      <c r="B107">
        <v>20</v>
      </c>
      <c r="C107" t="s">
        <v>75</v>
      </c>
      <c r="D107">
        <v>2019</v>
      </c>
      <c r="E107">
        <v>73</v>
      </c>
      <c r="F107">
        <v>184</v>
      </c>
      <c r="G107" t="s">
        <v>5</v>
      </c>
      <c r="H107" s="3">
        <v>4</v>
      </c>
      <c r="I107" t="s">
        <v>97</v>
      </c>
      <c r="J107" t="s">
        <v>98</v>
      </c>
      <c r="K107">
        <v>4665072.5779999997</v>
      </c>
      <c r="L107">
        <v>360228.89399999997</v>
      </c>
      <c r="M107">
        <v>1.216</v>
      </c>
    </row>
    <row r="108" spans="1:14" x14ac:dyDescent="0.25">
      <c r="A108" t="s">
        <v>74</v>
      </c>
      <c r="B108">
        <v>20</v>
      </c>
      <c r="C108" t="s">
        <v>75</v>
      </c>
      <c r="D108">
        <v>2019</v>
      </c>
      <c r="E108">
        <v>73</v>
      </c>
      <c r="F108">
        <v>185</v>
      </c>
      <c r="G108" t="s">
        <v>5</v>
      </c>
      <c r="H108" s="3">
        <v>4</v>
      </c>
      <c r="I108" t="s">
        <v>97</v>
      </c>
      <c r="J108" t="s">
        <v>98</v>
      </c>
      <c r="K108">
        <v>4665070.318</v>
      </c>
      <c r="L108">
        <v>360225.08299999998</v>
      </c>
      <c r="M108">
        <v>1.2410000000000001</v>
      </c>
    </row>
    <row r="109" spans="1:14" x14ac:dyDescent="0.25">
      <c r="A109" t="s">
        <v>74</v>
      </c>
      <c r="B109">
        <v>20</v>
      </c>
      <c r="C109" t="s">
        <v>75</v>
      </c>
      <c r="D109">
        <v>2019</v>
      </c>
      <c r="E109">
        <v>75</v>
      </c>
      <c r="F109">
        <v>187</v>
      </c>
      <c r="G109" t="s">
        <v>5</v>
      </c>
      <c r="H109" s="3">
        <v>4</v>
      </c>
      <c r="I109" t="s">
        <v>97</v>
      </c>
      <c r="J109" t="s">
        <v>98</v>
      </c>
      <c r="K109">
        <v>4665068.3619999997</v>
      </c>
      <c r="L109">
        <v>360221.36900000001</v>
      </c>
      <c r="M109">
        <v>1.2569999999999999</v>
      </c>
    </row>
    <row r="110" spans="1:14" x14ac:dyDescent="0.25">
      <c r="A110" t="s">
        <v>74</v>
      </c>
      <c r="B110">
        <v>20</v>
      </c>
      <c r="C110" t="s">
        <v>75</v>
      </c>
      <c r="D110">
        <v>2019</v>
      </c>
      <c r="E110">
        <v>75</v>
      </c>
      <c r="F110">
        <v>188</v>
      </c>
      <c r="G110" t="s">
        <v>5</v>
      </c>
      <c r="H110" s="3">
        <v>4</v>
      </c>
      <c r="I110" t="s">
        <v>97</v>
      </c>
      <c r="J110" t="s">
        <v>98</v>
      </c>
      <c r="K110">
        <v>4665067.6909999996</v>
      </c>
      <c r="L110">
        <v>360219.06400000001</v>
      </c>
      <c r="M110">
        <v>1.266</v>
      </c>
    </row>
    <row r="111" spans="1:14" x14ac:dyDescent="0.25">
      <c r="A111" t="s">
        <v>74</v>
      </c>
      <c r="B111">
        <v>20</v>
      </c>
      <c r="C111" t="s">
        <v>75</v>
      </c>
      <c r="D111">
        <v>2019</v>
      </c>
      <c r="E111">
        <v>76</v>
      </c>
      <c r="F111">
        <v>189</v>
      </c>
      <c r="G111" t="s">
        <v>4</v>
      </c>
      <c r="H111" s="3">
        <v>3</v>
      </c>
      <c r="I111" t="s">
        <v>97</v>
      </c>
      <c r="J111" t="s">
        <v>98</v>
      </c>
      <c r="K111">
        <v>4665066.9539999999</v>
      </c>
      <c r="L111">
        <v>360217.09899999999</v>
      </c>
      <c r="M111">
        <v>1.28</v>
      </c>
    </row>
    <row r="112" spans="1:14" x14ac:dyDescent="0.25">
      <c r="A112" t="s">
        <v>74</v>
      </c>
      <c r="B112">
        <v>20</v>
      </c>
      <c r="C112" t="s">
        <v>75</v>
      </c>
      <c r="D112">
        <v>2019</v>
      </c>
      <c r="E112">
        <v>76</v>
      </c>
      <c r="F112">
        <v>190</v>
      </c>
      <c r="G112" t="s">
        <v>4</v>
      </c>
      <c r="H112" s="3">
        <v>3</v>
      </c>
      <c r="I112" t="s">
        <v>97</v>
      </c>
      <c r="J112" t="s">
        <v>98</v>
      </c>
      <c r="K112">
        <v>4665065.5369999995</v>
      </c>
      <c r="L112">
        <v>360213.76400000002</v>
      </c>
      <c r="M112">
        <v>1.254</v>
      </c>
    </row>
    <row r="113" spans="1:14" x14ac:dyDescent="0.25">
      <c r="A113" t="s">
        <v>74</v>
      </c>
      <c r="B113">
        <v>20</v>
      </c>
      <c r="C113" t="s">
        <v>75</v>
      </c>
      <c r="D113">
        <v>2019</v>
      </c>
      <c r="E113">
        <v>76</v>
      </c>
      <c r="F113">
        <v>191</v>
      </c>
      <c r="G113" t="s">
        <v>4</v>
      </c>
      <c r="H113" s="3">
        <v>3</v>
      </c>
      <c r="I113" t="s">
        <v>97</v>
      </c>
      <c r="J113" t="s">
        <v>98</v>
      </c>
      <c r="K113">
        <v>4665064.6519999998</v>
      </c>
      <c r="L113">
        <v>360211.103</v>
      </c>
      <c r="M113">
        <v>1.3140000000000001</v>
      </c>
    </row>
    <row r="114" spans="1:14" x14ac:dyDescent="0.25">
      <c r="A114" t="s">
        <v>74</v>
      </c>
      <c r="B114">
        <v>20</v>
      </c>
      <c r="C114" t="s">
        <v>75</v>
      </c>
      <c r="D114">
        <v>2019</v>
      </c>
      <c r="E114">
        <v>81</v>
      </c>
      <c r="F114">
        <v>196</v>
      </c>
      <c r="G114">
        <v>33</v>
      </c>
      <c r="H114" s="3">
        <v>33</v>
      </c>
      <c r="I114" t="s">
        <v>100</v>
      </c>
      <c r="J114" t="s">
        <v>98</v>
      </c>
      <c r="K114">
        <v>4665061.5350000001</v>
      </c>
      <c r="L114">
        <v>360212.29599999997</v>
      </c>
      <c r="M114">
        <v>1.3120000000000001</v>
      </c>
    </row>
    <row r="115" spans="1:14" x14ac:dyDescent="0.25">
      <c r="A115" t="s">
        <v>74</v>
      </c>
      <c r="B115">
        <v>20</v>
      </c>
      <c r="C115" t="s">
        <v>75</v>
      </c>
      <c r="D115">
        <v>2019</v>
      </c>
      <c r="E115">
        <v>81</v>
      </c>
      <c r="F115">
        <v>197</v>
      </c>
      <c r="G115">
        <v>33</v>
      </c>
      <c r="H115" s="3">
        <v>33</v>
      </c>
      <c r="I115" t="s">
        <v>100</v>
      </c>
      <c r="J115" t="s">
        <v>98</v>
      </c>
      <c r="K115">
        <v>4665056.5750000002</v>
      </c>
      <c r="L115">
        <v>360211.66600000003</v>
      </c>
      <c r="M115">
        <v>1.2929999999999999</v>
      </c>
    </row>
    <row r="116" spans="1:14" x14ac:dyDescent="0.25">
      <c r="A116" t="s">
        <v>74</v>
      </c>
      <c r="B116">
        <v>20</v>
      </c>
      <c r="C116" t="s">
        <v>75</v>
      </c>
      <c r="D116">
        <v>2019</v>
      </c>
      <c r="E116">
        <v>81</v>
      </c>
      <c r="F116">
        <v>198</v>
      </c>
      <c r="G116">
        <v>33</v>
      </c>
      <c r="H116" s="3">
        <v>33</v>
      </c>
      <c r="I116" t="s">
        <v>100</v>
      </c>
      <c r="J116" t="s">
        <v>98</v>
      </c>
      <c r="K116">
        <v>4665059.7620000001</v>
      </c>
      <c r="L116">
        <v>360216.495</v>
      </c>
      <c r="M116">
        <v>1.2729999999999999</v>
      </c>
    </row>
    <row r="117" spans="1:14" x14ac:dyDescent="0.25">
      <c r="A117" t="s">
        <v>74</v>
      </c>
      <c r="B117">
        <v>20</v>
      </c>
      <c r="C117" t="s">
        <v>75</v>
      </c>
      <c r="D117">
        <v>2019</v>
      </c>
      <c r="E117">
        <v>82</v>
      </c>
      <c r="F117">
        <v>199</v>
      </c>
      <c r="G117">
        <v>32</v>
      </c>
      <c r="H117" s="3">
        <v>32</v>
      </c>
      <c r="I117" t="s">
        <v>100</v>
      </c>
      <c r="J117" t="s">
        <v>98</v>
      </c>
      <c r="K117">
        <v>4665158.102</v>
      </c>
      <c r="L117">
        <v>360542.98100000003</v>
      </c>
      <c r="M117">
        <v>1.0089999999999999</v>
      </c>
      <c r="N117" t="s">
        <v>55</v>
      </c>
    </row>
    <row r="118" spans="1:14" x14ac:dyDescent="0.25">
      <c r="A118" t="s">
        <v>74</v>
      </c>
      <c r="B118">
        <v>20</v>
      </c>
      <c r="C118" t="s">
        <v>75</v>
      </c>
      <c r="D118">
        <v>2019</v>
      </c>
      <c r="E118">
        <v>82</v>
      </c>
      <c r="F118">
        <v>200</v>
      </c>
      <c r="G118">
        <v>32</v>
      </c>
      <c r="H118" s="3">
        <v>32</v>
      </c>
      <c r="I118" t="s">
        <v>100</v>
      </c>
      <c r="J118" t="s">
        <v>98</v>
      </c>
      <c r="K118">
        <v>4665166.8389999997</v>
      </c>
      <c r="L118">
        <v>360537.68900000001</v>
      </c>
      <c r="M118">
        <v>1.0549999999999999</v>
      </c>
      <c r="N118" t="s">
        <v>55</v>
      </c>
    </row>
    <row r="119" spans="1:14" x14ac:dyDescent="0.25">
      <c r="A119" t="s">
        <v>74</v>
      </c>
      <c r="B119">
        <v>20</v>
      </c>
      <c r="C119" t="s">
        <v>75</v>
      </c>
      <c r="D119">
        <v>2019</v>
      </c>
      <c r="E119">
        <v>83</v>
      </c>
      <c r="F119">
        <v>201</v>
      </c>
      <c r="G119" t="s">
        <v>29</v>
      </c>
      <c r="H119" s="3">
        <v>1</v>
      </c>
      <c r="I119" t="s">
        <v>99</v>
      </c>
      <c r="J119" t="s">
        <v>98</v>
      </c>
      <c r="K119">
        <v>4665168.8590000002</v>
      </c>
      <c r="L119">
        <v>360537.27100000001</v>
      </c>
      <c r="M119">
        <v>1.044</v>
      </c>
      <c r="N119" t="s">
        <v>56</v>
      </c>
    </row>
    <row r="120" spans="1:14" x14ac:dyDescent="0.25">
      <c r="A120" t="s">
        <v>74</v>
      </c>
      <c r="B120">
        <v>20</v>
      </c>
      <c r="C120" t="s">
        <v>75</v>
      </c>
      <c r="D120">
        <v>2019</v>
      </c>
      <c r="E120">
        <v>83</v>
      </c>
      <c r="F120">
        <v>202</v>
      </c>
      <c r="G120" t="s">
        <v>29</v>
      </c>
      <c r="H120" s="3">
        <v>1</v>
      </c>
      <c r="I120" t="s">
        <v>99</v>
      </c>
      <c r="J120" t="s">
        <v>98</v>
      </c>
      <c r="K120">
        <v>4665174.0460000001</v>
      </c>
      <c r="L120">
        <v>360535.26799999998</v>
      </c>
      <c r="M120">
        <v>0.996</v>
      </c>
    </row>
    <row r="121" spans="1:14" x14ac:dyDescent="0.25">
      <c r="A121" t="s">
        <v>74</v>
      </c>
      <c r="B121">
        <v>20</v>
      </c>
      <c r="C121" t="s">
        <v>75</v>
      </c>
      <c r="D121">
        <v>2019</v>
      </c>
      <c r="E121">
        <v>83</v>
      </c>
      <c r="F121">
        <v>203</v>
      </c>
      <c r="G121" t="s">
        <v>29</v>
      </c>
      <c r="H121" s="3">
        <v>1</v>
      </c>
      <c r="I121" t="s">
        <v>99</v>
      </c>
      <c r="J121" t="s">
        <v>98</v>
      </c>
      <c r="K121">
        <v>4665172.6279999996</v>
      </c>
      <c r="L121">
        <v>360530.54100000003</v>
      </c>
      <c r="M121">
        <v>0.91800000000000004</v>
      </c>
    </row>
    <row r="122" spans="1:14" x14ac:dyDescent="0.25">
      <c r="A122" t="s">
        <v>74</v>
      </c>
      <c r="B122">
        <v>20</v>
      </c>
      <c r="C122" t="s">
        <v>75</v>
      </c>
      <c r="D122">
        <v>2019</v>
      </c>
      <c r="E122">
        <v>86</v>
      </c>
      <c r="F122">
        <v>206</v>
      </c>
      <c r="G122" t="s">
        <v>37</v>
      </c>
      <c r="H122" s="3">
        <v>6</v>
      </c>
      <c r="I122" t="s">
        <v>101</v>
      </c>
      <c r="J122" t="s">
        <v>98</v>
      </c>
      <c r="K122">
        <v>4665189.3049999997</v>
      </c>
      <c r="L122">
        <v>360518.25199999998</v>
      </c>
      <c r="M122">
        <v>1.198</v>
      </c>
      <c r="N122" t="s">
        <v>57</v>
      </c>
    </row>
    <row r="123" spans="1:14" x14ac:dyDescent="0.25">
      <c r="A123" t="s">
        <v>74</v>
      </c>
      <c r="B123">
        <v>20</v>
      </c>
      <c r="C123" t="s">
        <v>75</v>
      </c>
      <c r="D123">
        <v>2019</v>
      </c>
      <c r="E123">
        <v>86</v>
      </c>
      <c r="F123">
        <v>207</v>
      </c>
      <c r="G123" t="s">
        <v>37</v>
      </c>
      <c r="H123" s="3">
        <v>6</v>
      </c>
      <c r="I123" t="s">
        <v>101</v>
      </c>
      <c r="J123" t="s">
        <v>98</v>
      </c>
      <c r="K123">
        <v>4665192.13</v>
      </c>
      <c r="L123">
        <v>360497.53399999999</v>
      </c>
      <c r="M123">
        <v>1.2070000000000001</v>
      </c>
      <c r="N123" t="s">
        <v>57</v>
      </c>
    </row>
    <row r="124" spans="1:14" x14ac:dyDescent="0.25">
      <c r="A124" t="s">
        <v>74</v>
      </c>
      <c r="B124">
        <v>20</v>
      </c>
      <c r="C124" t="s">
        <v>75</v>
      </c>
      <c r="D124">
        <v>2019</v>
      </c>
      <c r="E124">
        <v>87</v>
      </c>
      <c r="F124">
        <v>208</v>
      </c>
      <c r="G124" t="s">
        <v>7</v>
      </c>
      <c r="H124" s="3">
        <v>2</v>
      </c>
      <c r="I124" t="s">
        <v>97</v>
      </c>
      <c r="J124" t="s">
        <v>98</v>
      </c>
      <c r="K124">
        <v>4665192.4620000003</v>
      </c>
      <c r="L124">
        <v>360495.321</v>
      </c>
      <c r="M124">
        <v>1.2250000000000001</v>
      </c>
      <c r="N124" t="s">
        <v>58</v>
      </c>
    </row>
    <row r="125" spans="1:14" x14ac:dyDescent="0.25">
      <c r="A125" t="s">
        <v>74</v>
      </c>
      <c r="B125">
        <v>20</v>
      </c>
      <c r="C125" t="s">
        <v>75</v>
      </c>
      <c r="D125">
        <v>2019</v>
      </c>
      <c r="E125">
        <v>87</v>
      </c>
      <c r="F125">
        <v>209</v>
      </c>
      <c r="G125" t="s">
        <v>7</v>
      </c>
      <c r="H125" s="3">
        <v>2</v>
      </c>
      <c r="I125" t="s">
        <v>97</v>
      </c>
      <c r="J125" t="s">
        <v>98</v>
      </c>
      <c r="K125">
        <v>4665189.1629999997</v>
      </c>
      <c r="L125">
        <v>360483.62</v>
      </c>
      <c r="M125">
        <v>1.173</v>
      </c>
      <c r="N125" t="s">
        <v>59</v>
      </c>
    </row>
    <row r="126" spans="1:14" x14ac:dyDescent="0.25">
      <c r="A126" t="s">
        <v>74</v>
      </c>
      <c r="B126">
        <v>20</v>
      </c>
      <c r="C126" t="s">
        <v>75</v>
      </c>
      <c r="D126">
        <v>2019</v>
      </c>
      <c r="E126">
        <v>88</v>
      </c>
      <c r="F126">
        <v>210</v>
      </c>
      <c r="G126" t="s">
        <v>19</v>
      </c>
      <c r="H126" s="3">
        <v>1</v>
      </c>
      <c r="I126" t="s">
        <v>97</v>
      </c>
      <c r="J126" t="s">
        <v>98</v>
      </c>
      <c r="K126">
        <v>4665188.7110000001</v>
      </c>
      <c r="L126">
        <v>360481.65100000001</v>
      </c>
      <c r="M126">
        <v>1.119</v>
      </c>
    </row>
    <row r="127" spans="1:14" x14ac:dyDescent="0.25">
      <c r="A127" t="s">
        <v>74</v>
      </c>
      <c r="B127">
        <v>20</v>
      </c>
      <c r="C127" t="s">
        <v>75</v>
      </c>
      <c r="D127">
        <v>2019</v>
      </c>
      <c r="E127">
        <v>88</v>
      </c>
      <c r="F127">
        <v>211</v>
      </c>
      <c r="G127" t="s">
        <v>19</v>
      </c>
      <c r="H127" s="3">
        <v>1</v>
      </c>
      <c r="I127" t="s">
        <v>97</v>
      </c>
      <c r="J127" t="s">
        <v>98</v>
      </c>
      <c r="K127">
        <v>4665185.102</v>
      </c>
      <c r="L127">
        <v>360470.826</v>
      </c>
      <c r="M127">
        <v>1.0669999999999999</v>
      </c>
    </row>
    <row r="128" spans="1:14" x14ac:dyDescent="0.25">
      <c r="A128" t="s">
        <v>74</v>
      </c>
      <c r="B128">
        <v>20</v>
      </c>
      <c r="C128" t="s">
        <v>75</v>
      </c>
      <c r="D128">
        <v>2019</v>
      </c>
      <c r="E128">
        <v>90</v>
      </c>
      <c r="F128">
        <v>221</v>
      </c>
      <c r="G128" t="s">
        <v>62</v>
      </c>
      <c r="H128" s="3">
        <v>10</v>
      </c>
      <c r="I128" t="s">
        <v>97</v>
      </c>
      <c r="J128" t="s">
        <v>98</v>
      </c>
      <c r="K128">
        <v>4665183.4479999999</v>
      </c>
      <c r="L128">
        <v>360469.12800000003</v>
      </c>
      <c r="M128">
        <v>0.99199999999999999</v>
      </c>
    </row>
    <row r="129" spans="1:14" x14ac:dyDescent="0.25">
      <c r="A129" t="s">
        <v>74</v>
      </c>
      <c r="B129">
        <v>20</v>
      </c>
      <c r="C129" t="s">
        <v>75</v>
      </c>
      <c r="D129">
        <v>2019</v>
      </c>
      <c r="E129">
        <v>90</v>
      </c>
      <c r="F129">
        <v>222</v>
      </c>
      <c r="G129" t="s">
        <v>62</v>
      </c>
      <c r="H129" s="3">
        <v>10</v>
      </c>
      <c r="I129" t="s">
        <v>97</v>
      </c>
      <c r="J129" t="s">
        <v>98</v>
      </c>
      <c r="K129">
        <v>4665182.93</v>
      </c>
      <c r="L129">
        <v>360468.88699999999</v>
      </c>
      <c r="M129">
        <v>1.05</v>
      </c>
    </row>
    <row r="130" spans="1:14" x14ac:dyDescent="0.25">
      <c r="A130" t="s">
        <v>74</v>
      </c>
      <c r="B130">
        <v>20</v>
      </c>
      <c r="C130" t="s">
        <v>75</v>
      </c>
      <c r="D130">
        <v>2019</v>
      </c>
      <c r="E130">
        <v>90</v>
      </c>
      <c r="F130">
        <v>223</v>
      </c>
      <c r="G130" t="s">
        <v>62</v>
      </c>
      <c r="H130" s="3">
        <v>10</v>
      </c>
      <c r="I130" t="s">
        <v>97</v>
      </c>
      <c r="J130" t="s">
        <v>98</v>
      </c>
      <c r="K130">
        <v>4665182.3629999999</v>
      </c>
      <c r="L130">
        <v>360469.14799999999</v>
      </c>
      <c r="M130">
        <v>0.99</v>
      </c>
    </row>
    <row r="131" spans="1:14" x14ac:dyDescent="0.25">
      <c r="A131" t="s">
        <v>74</v>
      </c>
      <c r="B131">
        <v>20</v>
      </c>
      <c r="C131" t="s">
        <v>75</v>
      </c>
      <c r="D131">
        <v>2019</v>
      </c>
      <c r="E131">
        <v>90</v>
      </c>
      <c r="F131">
        <v>224</v>
      </c>
      <c r="G131" t="s">
        <v>62</v>
      </c>
      <c r="H131" s="3">
        <v>10</v>
      </c>
      <c r="I131" t="s">
        <v>97</v>
      </c>
      <c r="J131" t="s">
        <v>98</v>
      </c>
      <c r="K131">
        <v>4665181.784</v>
      </c>
      <c r="L131">
        <v>360470.11</v>
      </c>
      <c r="M131">
        <v>1.107</v>
      </c>
    </row>
    <row r="132" spans="1:14" x14ac:dyDescent="0.25">
      <c r="A132" t="s">
        <v>74</v>
      </c>
      <c r="B132">
        <v>20</v>
      </c>
      <c r="C132" t="s">
        <v>75</v>
      </c>
      <c r="D132">
        <v>2019</v>
      </c>
      <c r="E132">
        <v>90</v>
      </c>
      <c r="F132">
        <v>225</v>
      </c>
      <c r="G132" t="s">
        <v>62</v>
      </c>
      <c r="H132" s="3">
        <v>10</v>
      </c>
      <c r="I132" t="s">
        <v>97</v>
      </c>
      <c r="J132" t="s">
        <v>98</v>
      </c>
      <c r="K132">
        <v>4665183.75</v>
      </c>
      <c r="L132">
        <v>360470.35100000002</v>
      </c>
      <c r="M132">
        <v>1.056</v>
      </c>
    </row>
    <row r="133" spans="1:14" x14ac:dyDescent="0.25">
      <c r="A133" t="s">
        <v>74</v>
      </c>
      <c r="B133">
        <v>20</v>
      </c>
      <c r="C133" t="s">
        <v>75</v>
      </c>
      <c r="D133">
        <v>2019</v>
      </c>
      <c r="E133">
        <v>91</v>
      </c>
      <c r="F133">
        <v>226</v>
      </c>
      <c r="G133" t="s">
        <v>19</v>
      </c>
      <c r="H133" s="3">
        <v>1</v>
      </c>
      <c r="I133" t="s">
        <v>97</v>
      </c>
      <c r="J133" t="s">
        <v>98</v>
      </c>
      <c r="K133">
        <v>4665184.2110000001</v>
      </c>
      <c r="L133">
        <v>360467.79599999997</v>
      </c>
      <c r="M133">
        <v>1.075</v>
      </c>
      <c r="N133" t="s">
        <v>63</v>
      </c>
    </row>
    <row r="134" spans="1:14" x14ac:dyDescent="0.25">
      <c r="A134" t="s">
        <v>74</v>
      </c>
      <c r="B134">
        <v>20</v>
      </c>
      <c r="C134" t="s">
        <v>75</v>
      </c>
      <c r="D134">
        <v>2019</v>
      </c>
      <c r="E134">
        <v>91</v>
      </c>
      <c r="F134">
        <v>227</v>
      </c>
      <c r="G134" t="s">
        <v>19</v>
      </c>
      <c r="H134" s="3">
        <v>1</v>
      </c>
      <c r="I134" t="s">
        <v>97</v>
      </c>
      <c r="J134" t="s">
        <v>98</v>
      </c>
      <c r="K134">
        <v>4665176.9189999998</v>
      </c>
      <c r="L134">
        <v>360445.63699999999</v>
      </c>
      <c r="M134">
        <v>1.1859999999999999</v>
      </c>
    </row>
    <row r="135" spans="1:14" x14ac:dyDescent="0.25">
      <c r="A135" t="s">
        <v>74</v>
      </c>
      <c r="B135">
        <v>20</v>
      </c>
      <c r="C135" t="s">
        <v>75</v>
      </c>
      <c r="D135">
        <v>2019</v>
      </c>
      <c r="E135">
        <v>92</v>
      </c>
      <c r="F135">
        <v>228</v>
      </c>
      <c r="G135" t="s">
        <v>7</v>
      </c>
      <c r="H135" s="3">
        <v>2</v>
      </c>
      <c r="I135" t="s">
        <v>97</v>
      </c>
      <c r="J135" t="s">
        <v>98</v>
      </c>
      <c r="K135">
        <v>4665176.0990000004</v>
      </c>
      <c r="L135">
        <v>360443.60800000001</v>
      </c>
      <c r="M135">
        <v>1.1499999999999999</v>
      </c>
    </row>
    <row r="136" spans="1:14" x14ac:dyDescent="0.25">
      <c r="A136" t="s">
        <v>74</v>
      </c>
      <c r="B136">
        <v>20</v>
      </c>
      <c r="C136" t="s">
        <v>75</v>
      </c>
      <c r="D136">
        <v>2019</v>
      </c>
      <c r="E136">
        <v>92</v>
      </c>
      <c r="F136">
        <v>229</v>
      </c>
      <c r="G136" t="s">
        <v>7</v>
      </c>
      <c r="H136" s="3">
        <v>2</v>
      </c>
      <c r="I136" t="s">
        <v>97</v>
      </c>
      <c r="J136" t="s">
        <v>98</v>
      </c>
      <c r="K136">
        <v>4665171.4179999996</v>
      </c>
      <c r="L136">
        <v>360428.59399999998</v>
      </c>
      <c r="M136">
        <v>1.206</v>
      </c>
    </row>
    <row r="137" spans="1:14" x14ac:dyDescent="0.25">
      <c r="A137" t="s">
        <v>74</v>
      </c>
      <c r="B137">
        <v>20</v>
      </c>
      <c r="C137" t="s">
        <v>75</v>
      </c>
      <c r="D137">
        <v>2019</v>
      </c>
      <c r="E137">
        <v>94</v>
      </c>
      <c r="F137">
        <v>231</v>
      </c>
      <c r="G137" t="s">
        <v>5</v>
      </c>
      <c r="H137" s="3">
        <v>4</v>
      </c>
      <c r="I137" t="s">
        <v>97</v>
      </c>
      <c r="J137" t="s">
        <v>98</v>
      </c>
      <c r="K137">
        <v>4665168.4309999999</v>
      </c>
      <c r="L137">
        <v>360431.41</v>
      </c>
      <c r="M137">
        <v>1.2090000000000001</v>
      </c>
    </row>
    <row r="138" spans="1:14" x14ac:dyDescent="0.25">
      <c r="A138" t="s">
        <v>74</v>
      </c>
      <c r="B138">
        <v>20</v>
      </c>
      <c r="C138" t="s">
        <v>75</v>
      </c>
      <c r="D138">
        <v>2019</v>
      </c>
      <c r="E138">
        <v>94</v>
      </c>
      <c r="F138">
        <v>232</v>
      </c>
      <c r="G138" t="s">
        <v>5</v>
      </c>
      <c r="H138" s="3">
        <v>4</v>
      </c>
      <c r="I138" t="s">
        <v>97</v>
      </c>
      <c r="J138" t="s">
        <v>98</v>
      </c>
      <c r="K138">
        <v>4665151.699</v>
      </c>
      <c r="L138">
        <v>360410.66600000003</v>
      </c>
      <c r="M138">
        <v>1.17</v>
      </c>
    </row>
    <row r="139" spans="1:14" x14ac:dyDescent="0.25">
      <c r="A139" t="s">
        <v>74</v>
      </c>
      <c r="B139">
        <v>20</v>
      </c>
      <c r="C139" t="s">
        <v>75</v>
      </c>
      <c r="D139">
        <v>2019</v>
      </c>
      <c r="E139">
        <v>95</v>
      </c>
      <c r="F139">
        <v>233</v>
      </c>
      <c r="G139" t="s">
        <v>7</v>
      </c>
      <c r="H139" s="3">
        <v>2</v>
      </c>
      <c r="I139" t="s">
        <v>97</v>
      </c>
      <c r="J139" t="s">
        <v>98</v>
      </c>
      <c r="K139">
        <v>4665150.852</v>
      </c>
      <c r="L139">
        <v>360408.772</v>
      </c>
      <c r="M139">
        <v>1.1759999999999999</v>
      </c>
    </row>
    <row r="140" spans="1:14" x14ac:dyDescent="0.25">
      <c r="A140" t="s">
        <v>74</v>
      </c>
      <c r="B140">
        <v>20</v>
      </c>
      <c r="C140" t="s">
        <v>75</v>
      </c>
      <c r="D140">
        <v>2019</v>
      </c>
      <c r="E140">
        <v>95</v>
      </c>
      <c r="F140">
        <v>234</v>
      </c>
      <c r="G140" t="s">
        <v>7</v>
      </c>
      <c r="H140" s="3">
        <v>2</v>
      </c>
      <c r="I140" t="s">
        <v>97</v>
      </c>
      <c r="J140" t="s">
        <v>98</v>
      </c>
      <c r="K140">
        <v>4665149.47</v>
      </c>
      <c r="L140">
        <v>360405.321</v>
      </c>
      <c r="M140">
        <v>1.099</v>
      </c>
    </row>
    <row r="141" spans="1:14" x14ac:dyDescent="0.25">
      <c r="A141" t="s">
        <v>74</v>
      </c>
      <c r="B141">
        <v>20</v>
      </c>
      <c r="C141" t="s">
        <v>75</v>
      </c>
      <c r="D141">
        <v>2019</v>
      </c>
      <c r="E141">
        <v>96</v>
      </c>
      <c r="F141">
        <v>235</v>
      </c>
      <c r="G141" t="s">
        <v>19</v>
      </c>
      <c r="H141" s="3">
        <v>1</v>
      </c>
      <c r="I141" t="s">
        <v>97</v>
      </c>
      <c r="J141" t="s">
        <v>98</v>
      </c>
      <c r="K141">
        <v>4665148.6160000004</v>
      </c>
      <c r="L141">
        <v>360403.429</v>
      </c>
      <c r="M141">
        <v>1.0489999999999999</v>
      </c>
      <c r="N141" t="s">
        <v>21</v>
      </c>
    </row>
    <row r="142" spans="1:14" x14ac:dyDescent="0.25">
      <c r="A142" t="s">
        <v>74</v>
      </c>
      <c r="B142">
        <v>20</v>
      </c>
      <c r="C142" t="s">
        <v>75</v>
      </c>
      <c r="D142">
        <v>2019</v>
      </c>
      <c r="E142">
        <v>96</v>
      </c>
      <c r="F142">
        <v>236</v>
      </c>
      <c r="G142" t="s">
        <v>19</v>
      </c>
      <c r="H142" s="3">
        <v>1</v>
      </c>
      <c r="I142" t="s">
        <v>97</v>
      </c>
      <c r="J142" t="s">
        <v>98</v>
      </c>
      <c r="K142">
        <v>4665171.4620000003</v>
      </c>
      <c r="L142">
        <v>360412.72700000001</v>
      </c>
      <c r="M142">
        <v>1.18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8BB6-6594-4269-8A07-08EBDB7658BF}">
  <dimension ref="A1:N26"/>
  <sheetViews>
    <sheetView workbookViewId="0">
      <selection activeCell="K20" sqref="K20"/>
    </sheetView>
  </sheetViews>
  <sheetFormatPr defaultRowHeight="15" x14ac:dyDescent="0.25"/>
  <sheetData>
    <row r="1" spans="1:14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0</v>
      </c>
      <c r="I1" t="s">
        <v>71</v>
      </c>
      <c r="J1" t="s">
        <v>72</v>
      </c>
      <c r="K1" t="s">
        <v>1</v>
      </c>
      <c r="L1" t="s">
        <v>2</v>
      </c>
      <c r="M1" t="s">
        <v>73</v>
      </c>
      <c r="N1" t="s">
        <v>3</v>
      </c>
    </row>
    <row r="2" spans="1:14" x14ac:dyDescent="0.25">
      <c r="A2" t="s">
        <v>74</v>
      </c>
      <c r="B2">
        <v>20</v>
      </c>
      <c r="C2" t="s">
        <v>75</v>
      </c>
      <c r="D2">
        <v>2019</v>
      </c>
      <c r="E2">
        <v>2</v>
      </c>
      <c r="F2">
        <v>3</v>
      </c>
      <c r="G2" t="s">
        <v>5</v>
      </c>
      <c r="H2" s="3">
        <v>4</v>
      </c>
      <c r="I2" t="s">
        <v>97</v>
      </c>
      <c r="J2" t="s">
        <v>77</v>
      </c>
      <c r="K2">
        <v>4665198.693</v>
      </c>
      <c r="L2">
        <v>360143.77100000001</v>
      </c>
      <c r="M2">
        <v>1.1739999999999999</v>
      </c>
      <c r="N2" t="s">
        <v>6</v>
      </c>
    </row>
    <row r="3" spans="1:14" x14ac:dyDescent="0.25">
      <c r="A3" t="s">
        <v>74</v>
      </c>
      <c r="B3">
        <v>20</v>
      </c>
      <c r="C3" t="s">
        <v>75</v>
      </c>
      <c r="D3">
        <v>2019</v>
      </c>
      <c r="E3">
        <v>11</v>
      </c>
      <c r="F3">
        <v>36</v>
      </c>
      <c r="G3" t="s">
        <v>18</v>
      </c>
      <c r="H3" s="3">
        <v>5</v>
      </c>
      <c r="I3" t="s">
        <v>97</v>
      </c>
      <c r="J3" t="s">
        <v>77</v>
      </c>
      <c r="K3">
        <v>4665232.6090000002</v>
      </c>
      <c r="L3">
        <v>360151.33600000001</v>
      </c>
      <c r="M3">
        <v>1.131</v>
      </c>
      <c r="N3" t="s">
        <v>6</v>
      </c>
    </row>
    <row r="4" spans="1:14" x14ac:dyDescent="0.25">
      <c r="A4" t="s">
        <v>74</v>
      </c>
      <c r="B4">
        <v>20</v>
      </c>
      <c r="C4" t="s">
        <v>75</v>
      </c>
      <c r="D4">
        <v>2019</v>
      </c>
      <c r="E4">
        <v>12</v>
      </c>
      <c r="F4">
        <v>37</v>
      </c>
      <c r="G4" t="s">
        <v>7</v>
      </c>
      <c r="H4" s="3">
        <v>2</v>
      </c>
      <c r="I4" t="s">
        <v>97</v>
      </c>
      <c r="J4" t="s">
        <v>77</v>
      </c>
      <c r="K4">
        <v>4665234.727</v>
      </c>
      <c r="L4">
        <v>360151.576</v>
      </c>
      <c r="M4">
        <v>1.139</v>
      </c>
    </row>
    <row r="5" spans="1:14" x14ac:dyDescent="0.25">
      <c r="A5" t="s">
        <v>74</v>
      </c>
      <c r="B5">
        <v>20</v>
      </c>
      <c r="C5" t="s">
        <v>75</v>
      </c>
      <c r="D5">
        <v>2019</v>
      </c>
      <c r="E5">
        <v>16</v>
      </c>
      <c r="F5">
        <v>45</v>
      </c>
      <c r="G5" t="s">
        <v>7</v>
      </c>
      <c r="H5" s="3">
        <v>2</v>
      </c>
      <c r="I5" t="s">
        <v>97</v>
      </c>
      <c r="J5" t="s">
        <v>77</v>
      </c>
      <c r="K5">
        <v>4665251.8109999998</v>
      </c>
      <c r="L5">
        <v>360134.33600000001</v>
      </c>
      <c r="M5">
        <v>1.127</v>
      </c>
      <c r="N5" t="s">
        <v>6</v>
      </c>
    </row>
    <row r="6" spans="1:14" x14ac:dyDescent="0.25">
      <c r="A6" t="s">
        <v>74</v>
      </c>
      <c r="B6">
        <v>20</v>
      </c>
      <c r="C6" t="s">
        <v>75</v>
      </c>
      <c r="D6">
        <v>2019</v>
      </c>
      <c r="E6">
        <v>25</v>
      </c>
      <c r="F6">
        <v>62</v>
      </c>
      <c r="G6" t="s">
        <v>18</v>
      </c>
      <c r="H6" s="3">
        <v>5</v>
      </c>
      <c r="I6" t="s">
        <v>97</v>
      </c>
      <c r="J6" t="s">
        <v>77</v>
      </c>
      <c r="K6">
        <v>4665202.0269999998</v>
      </c>
      <c r="L6">
        <v>360097.299</v>
      </c>
      <c r="M6">
        <v>1.3280000000000001</v>
      </c>
      <c r="N6" t="s">
        <v>6</v>
      </c>
    </row>
    <row r="7" spans="1:14" x14ac:dyDescent="0.25">
      <c r="A7" t="s">
        <v>74</v>
      </c>
      <c r="B7">
        <v>20</v>
      </c>
      <c r="C7" t="s">
        <v>75</v>
      </c>
      <c r="D7">
        <v>2019</v>
      </c>
      <c r="E7">
        <v>26</v>
      </c>
      <c r="F7">
        <v>63</v>
      </c>
      <c r="G7" t="s">
        <v>4</v>
      </c>
      <c r="H7" s="3">
        <v>3</v>
      </c>
      <c r="I7" t="s">
        <v>97</v>
      </c>
      <c r="J7" t="s">
        <v>77</v>
      </c>
      <c r="K7">
        <v>4665200.8779999996</v>
      </c>
      <c r="L7">
        <v>360095.48700000002</v>
      </c>
      <c r="M7">
        <v>1.353</v>
      </c>
      <c r="N7" t="s">
        <v>6</v>
      </c>
    </row>
    <row r="8" spans="1:14" x14ac:dyDescent="0.25">
      <c r="A8" t="s">
        <v>74</v>
      </c>
      <c r="B8">
        <v>20</v>
      </c>
      <c r="C8" t="s">
        <v>75</v>
      </c>
      <c r="D8">
        <v>2019</v>
      </c>
      <c r="E8">
        <v>27</v>
      </c>
      <c r="F8">
        <v>64</v>
      </c>
      <c r="G8" t="s">
        <v>22</v>
      </c>
      <c r="H8" s="3">
        <v>12</v>
      </c>
      <c r="I8" t="s">
        <v>97</v>
      </c>
      <c r="J8" t="s">
        <v>77</v>
      </c>
      <c r="K8">
        <v>4665199.0599999996</v>
      </c>
      <c r="L8">
        <v>360094.359</v>
      </c>
      <c r="M8">
        <v>1.2649999999999999</v>
      </c>
    </row>
    <row r="9" spans="1:14" x14ac:dyDescent="0.25">
      <c r="A9" t="s">
        <v>74</v>
      </c>
      <c r="B9">
        <v>20</v>
      </c>
      <c r="C9" t="s">
        <v>75</v>
      </c>
      <c r="D9">
        <v>2019</v>
      </c>
      <c r="E9">
        <v>33</v>
      </c>
      <c r="F9">
        <v>93</v>
      </c>
      <c r="G9" t="s">
        <v>27</v>
      </c>
      <c r="H9" s="3">
        <v>21</v>
      </c>
      <c r="I9" t="s">
        <v>102</v>
      </c>
      <c r="J9" t="s">
        <v>77</v>
      </c>
      <c r="K9">
        <v>4665112.6469999999</v>
      </c>
      <c r="L9">
        <v>360214.48700000002</v>
      </c>
      <c r="M9">
        <v>0.54800000000000004</v>
      </c>
    </row>
    <row r="10" spans="1:14" x14ac:dyDescent="0.25">
      <c r="A10" t="s">
        <v>74</v>
      </c>
      <c r="B10">
        <v>20</v>
      </c>
      <c r="C10" t="s">
        <v>75</v>
      </c>
      <c r="D10">
        <v>2019</v>
      </c>
      <c r="E10">
        <v>36</v>
      </c>
      <c r="F10">
        <v>105</v>
      </c>
      <c r="G10" t="s">
        <v>5</v>
      </c>
      <c r="H10" s="3">
        <v>4</v>
      </c>
      <c r="I10" t="s">
        <v>97</v>
      </c>
      <c r="J10" t="s">
        <v>77</v>
      </c>
      <c r="K10">
        <v>4665098.2189999996</v>
      </c>
      <c r="L10">
        <v>360205.55599999998</v>
      </c>
      <c r="M10">
        <v>1.282</v>
      </c>
      <c r="N10" t="s">
        <v>6</v>
      </c>
    </row>
    <row r="11" spans="1:14" x14ac:dyDescent="0.25">
      <c r="A11" t="s">
        <v>74</v>
      </c>
      <c r="B11">
        <v>20</v>
      </c>
      <c r="C11" t="s">
        <v>75</v>
      </c>
      <c r="D11">
        <v>2019</v>
      </c>
      <c r="E11">
        <v>48</v>
      </c>
      <c r="F11">
        <v>135</v>
      </c>
      <c r="G11" t="s">
        <v>35</v>
      </c>
      <c r="H11" s="3">
        <v>6</v>
      </c>
      <c r="I11" t="s">
        <v>99</v>
      </c>
      <c r="J11" t="s">
        <v>77</v>
      </c>
      <c r="K11">
        <v>4665095.0810000002</v>
      </c>
      <c r="L11">
        <v>360250.658</v>
      </c>
      <c r="M11">
        <v>1.1739999999999999</v>
      </c>
      <c r="N11" t="s">
        <v>36</v>
      </c>
    </row>
    <row r="12" spans="1:14" x14ac:dyDescent="0.25">
      <c r="A12" t="s">
        <v>74</v>
      </c>
      <c r="B12">
        <v>20</v>
      </c>
      <c r="C12" t="s">
        <v>75</v>
      </c>
      <c r="D12">
        <v>2019</v>
      </c>
      <c r="E12">
        <v>50</v>
      </c>
      <c r="F12">
        <v>138</v>
      </c>
      <c r="G12" t="s">
        <v>37</v>
      </c>
      <c r="H12" s="3">
        <v>6</v>
      </c>
      <c r="I12" t="s">
        <v>101</v>
      </c>
      <c r="J12" t="s">
        <v>77</v>
      </c>
      <c r="K12">
        <v>4665097.9309999999</v>
      </c>
      <c r="L12">
        <v>360255.77299999999</v>
      </c>
      <c r="M12">
        <v>1.149</v>
      </c>
    </row>
    <row r="13" spans="1:14" x14ac:dyDescent="0.25">
      <c r="A13" t="s">
        <v>74</v>
      </c>
      <c r="B13">
        <v>20</v>
      </c>
      <c r="C13" t="s">
        <v>75</v>
      </c>
      <c r="D13">
        <v>2019</v>
      </c>
      <c r="E13">
        <v>59</v>
      </c>
      <c r="F13">
        <v>162</v>
      </c>
      <c r="G13" t="s">
        <v>7</v>
      </c>
      <c r="H13" s="3">
        <v>2</v>
      </c>
      <c r="I13" t="s">
        <v>97</v>
      </c>
      <c r="J13" t="s">
        <v>77</v>
      </c>
      <c r="K13">
        <v>4665116.9539999999</v>
      </c>
      <c r="L13">
        <v>360310.63199999998</v>
      </c>
      <c r="M13">
        <v>1.0640000000000001</v>
      </c>
      <c r="N13" t="s">
        <v>6</v>
      </c>
    </row>
    <row r="14" spans="1:14" x14ac:dyDescent="0.25">
      <c r="A14" t="s">
        <v>74</v>
      </c>
      <c r="B14">
        <v>20</v>
      </c>
      <c r="C14" t="s">
        <v>75</v>
      </c>
      <c r="D14">
        <v>2019</v>
      </c>
      <c r="E14">
        <v>63</v>
      </c>
      <c r="F14">
        <v>169</v>
      </c>
      <c r="G14" t="s">
        <v>39</v>
      </c>
      <c r="H14" s="3">
        <v>8</v>
      </c>
      <c r="I14" t="s">
        <v>99</v>
      </c>
      <c r="J14" t="s">
        <v>77</v>
      </c>
      <c r="K14">
        <v>4665091.3370000003</v>
      </c>
      <c r="L14">
        <v>360265.09700000001</v>
      </c>
      <c r="M14">
        <v>1.1639999999999999</v>
      </c>
      <c r="N14" t="s">
        <v>6</v>
      </c>
    </row>
    <row r="15" spans="1:14" x14ac:dyDescent="0.25">
      <c r="A15" t="s">
        <v>74</v>
      </c>
      <c r="B15">
        <v>20</v>
      </c>
      <c r="C15" t="s">
        <v>75</v>
      </c>
      <c r="D15">
        <v>2019</v>
      </c>
      <c r="E15">
        <v>65</v>
      </c>
      <c r="F15">
        <v>172</v>
      </c>
      <c r="G15" t="s">
        <v>17</v>
      </c>
      <c r="H15" s="3">
        <v>6</v>
      </c>
      <c r="I15" t="s">
        <v>97</v>
      </c>
      <c r="J15" t="s">
        <v>77</v>
      </c>
      <c r="K15">
        <v>4665087.59</v>
      </c>
      <c r="L15">
        <v>360260.745</v>
      </c>
      <c r="M15">
        <v>1.149</v>
      </c>
      <c r="N15" t="s">
        <v>6</v>
      </c>
    </row>
    <row r="16" spans="1:14" x14ac:dyDescent="0.25">
      <c r="A16" t="s">
        <v>74</v>
      </c>
      <c r="B16">
        <v>20</v>
      </c>
      <c r="C16" t="s">
        <v>75</v>
      </c>
      <c r="D16">
        <v>2019</v>
      </c>
      <c r="E16">
        <v>69</v>
      </c>
      <c r="F16">
        <v>179</v>
      </c>
      <c r="G16" t="s">
        <v>39</v>
      </c>
      <c r="H16" s="3">
        <v>8</v>
      </c>
      <c r="I16" t="s">
        <v>99</v>
      </c>
      <c r="J16" t="s">
        <v>77</v>
      </c>
      <c r="K16">
        <v>4665077.074</v>
      </c>
      <c r="L16">
        <v>360238.63299999997</v>
      </c>
      <c r="M16">
        <v>1.2010000000000001</v>
      </c>
      <c r="N16" t="s">
        <v>49</v>
      </c>
    </row>
    <row r="17" spans="1:14" x14ac:dyDescent="0.25">
      <c r="A17" t="s">
        <v>74</v>
      </c>
      <c r="B17">
        <v>20</v>
      </c>
      <c r="C17" t="s">
        <v>75</v>
      </c>
      <c r="D17">
        <v>2019</v>
      </c>
      <c r="E17">
        <v>71</v>
      </c>
      <c r="F17">
        <v>182</v>
      </c>
      <c r="G17" t="s">
        <v>39</v>
      </c>
      <c r="H17" s="3">
        <v>8</v>
      </c>
      <c r="I17" t="s">
        <v>99</v>
      </c>
      <c r="J17" t="s">
        <v>77</v>
      </c>
      <c r="K17">
        <v>4665074.8269999996</v>
      </c>
      <c r="L17">
        <v>360232.39899999998</v>
      </c>
      <c r="M17">
        <v>1.224</v>
      </c>
      <c r="N17" t="s">
        <v>6</v>
      </c>
    </row>
    <row r="18" spans="1:14" x14ac:dyDescent="0.25">
      <c r="A18" t="s">
        <v>74</v>
      </c>
      <c r="B18">
        <v>20</v>
      </c>
      <c r="C18" t="s">
        <v>75</v>
      </c>
      <c r="D18">
        <v>2019</v>
      </c>
      <c r="E18">
        <v>72</v>
      </c>
      <c r="F18">
        <v>183</v>
      </c>
      <c r="G18" t="s">
        <v>45</v>
      </c>
      <c r="H18" s="3">
        <v>8</v>
      </c>
      <c r="I18" t="s">
        <v>97</v>
      </c>
      <c r="J18" t="s">
        <v>77</v>
      </c>
      <c r="K18">
        <v>4665073.4749999996</v>
      </c>
      <c r="L18">
        <v>360230.663</v>
      </c>
      <c r="M18">
        <v>1.202</v>
      </c>
      <c r="N18" t="s">
        <v>51</v>
      </c>
    </row>
    <row r="19" spans="1:14" x14ac:dyDescent="0.25">
      <c r="A19" t="s">
        <v>74</v>
      </c>
      <c r="B19">
        <v>20</v>
      </c>
      <c r="C19" t="s">
        <v>75</v>
      </c>
      <c r="D19">
        <v>2019</v>
      </c>
      <c r="E19">
        <v>74</v>
      </c>
      <c r="F19">
        <v>186</v>
      </c>
      <c r="G19" t="s">
        <v>4</v>
      </c>
      <c r="H19" s="3">
        <v>3</v>
      </c>
      <c r="I19" t="s">
        <v>97</v>
      </c>
      <c r="J19" t="s">
        <v>77</v>
      </c>
      <c r="K19">
        <v>4665069.1610000003</v>
      </c>
      <c r="L19">
        <v>360223.35499999998</v>
      </c>
      <c r="M19">
        <v>1.256</v>
      </c>
      <c r="N19" t="s">
        <v>6</v>
      </c>
    </row>
    <row r="20" spans="1:14" x14ac:dyDescent="0.25">
      <c r="A20" t="s">
        <v>74</v>
      </c>
      <c r="B20">
        <v>20</v>
      </c>
      <c r="C20" t="s">
        <v>75</v>
      </c>
      <c r="D20">
        <v>2019</v>
      </c>
      <c r="E20">
        <v>77</v>
      </c>
      <c r="F20">
        <v>192</v>
      </c>
      <c r="G20">
        <v>33</v>
      </c>
      <c r="H20" s="3">
        <v>33</v>
      </c>
      <c r="I20" t="s">
        <v>100</v>
      </c>
      <c r="J20" t="s">
        <v>77</v>
      </c>
      <c r="K20">
        <v>4665063.7340000002</v>
      </c>
      <c r="L20">
        <v>360209.158</v>
      </c>
      <c r="M20">
        <v>1.234</v>
      </c>
      <c r="N20" t="s">
        <v>52</v>
      </c>
    </row>
    <row r="21" spans="1:14" x14ac:dyDescent="0.25">
      <c r="A21" t="s">
        <v>74</v>
      </c>
      <c r="B21">
        <v>20</v>
      </c>
      <c r="C21" t="s">
        <v>75</v>
      </c>
      <c r="D21">
        <v>2019</v>
      </c>
      <c r="E21">
        <v>78</v>
      </c>
      <c r="F21">
        <v>193</v>
      </c>
      <c r="G21" t="s">
        <v>5</v>
      </c>
      <c r="H21" s="3">
        <v>4</v>
      </c>
      <c r="I21" t="s">
        <v>97</v>
      </c>
      <c r="J21" t="s">
        <v>77</v>
      </c>
      <c r="K21">
        <v>4665062.7039999999</v>
      </c>
      <c r="L21">
        <v>360207.288</v>
      </c>
      <c r="M21">
        <v>1.2769999999999999</v>
      </c>
      <c r="N21" t="s">
        <v>53</v>
      </c>
    </row>
    <row r="22" spans="1:14" x14ac:dyDescent="0.25">
      <c r="A22" t="s">
        <v>74</v>
      </c>
      <c r="B22">
        <v>20</v>
      </c>
      <c r="C22" t="s">
        <v>75</v>
      </c>
      <c r="D22">
        <v>2019</v>
      </c>
      <c r="E22">
        <v>79</v>
      </c>
      <c r="F22">
        <v>194</v>
      </c>
      <c r="G22" t="s">
        <v>54</v>
      </c>
      <c r="H22" s="3">
        <v>3</v>
      </c>
      <c r="I22" t="s">
        <v>99</v>
      </c>
      <c r="J22" t="s">
        <v>77</v>
      </c>
      <c r="K22">
        <v>4665061.3890000004</v>
      </c>
      <c r="L22">
        <v>360205.54300000001</v>
      </c>
      <c r="M22">
        <v>1.3129999999999999</v>
      </c>
    </row>
    <row r="23" spans="1:14" x14ac:dyDescent="0.25">
      <c r="A23" t="s">
        <v>74</v>
      </c>
      <c r="B23">
        <v>20</v>
      </c>
      <c r="C23" t="s">
        <v>75</v>
      </c>
      <c r="D23">
        <v>2019</v>
      </c>
      <c r="E23">
        <v>80</v>
      </c>
      <c r="F23">
        <v>195</v>
      </c>
      <c r="G23" t="s">
        <v>17</v>
      </c>
      <c r="H23" s="3">
        <v>6</v>
      </c>
      <c r="I23" t="s">
        <v>97</v>
      </c>
      <c r="J23" t="s">
        <v>77</v>
      </c>
      <c r="K23">
        <v>4665060.0319999997</v>
      </c>
      <c r="L23">
        <v>360203.88</v>
      </c>
      <c r="M23">
        <v>1.3029999999999999</v>
      </c>
      <c r="N23" t="s">
        <v>6</v>
      </c>
    </row>
    <row r="24" spans="1:14" x14ac:dyDescent="0.25">
      <c r="A24" t="s">
        <v>74</v>
      </c>
      <c r="B24">
        <v>20</v>
      </c>
      <c r="C24" t="s">
        <v>75</v>
      </c>
      <c r="D24">
        <v>2019</v>
      </c>
      <c r="E24">
        <v>84</v>
      </c>
      <c r="F24">
        <v>204</v>
      </c>
      <c r="G24" t="s">
        <v>19</v>
      </c>
      <c r="H24" s="3">
        <v>1</v>
      </c>
      <c r="I24" t="s">
        <v>97</v>
      </c>
      <c r="J24" t="s">
        <v>77</v>
      </c>
      <c r="K24">
        <v>4665172.3030000003</v>
      </c>
      <c r="L24">
        <v>360528.64399999997</v>
      </c>
      <c r="M24">
        <v>0.96799999999999997</v>
      </c>
    </row>
    <row r="25" spans="1:14" x14ac:dyDescent="0.25">
      <c r="A25" t="s">
        <v>74</v>
      </c>
      <c r="B25">
        <v>20</v>
      </c>
      <c r="C25" t="s">
        <v>75</v>
      </c>
      <c r="D25">
        <v>2019</v>
      </c>
      <c r="E25">
        <v>85</v>
      </c>
      <c r="F25">
        <v>205</v>
      </c>
      <c r="G25" t="s">
        <v>5</v>
      </c>
      <c r="H25" s="3">
        <v>4</v>
      </c>
      <c r="I25" t="s">
        <v>97</v>
      </c>
      <c r="J25" t="s">
        <v>77</v>
      </c>
      <c r="K25">
        <v>4665188.68</v>
      </c>
      <c r="L25">
        <v>360520.23200000002</v>
      </c>
      <c r="M25">
        <v>1.0649999999999999</v>
      </c>
    </row>
    <row r="26" spans="1:14" x14ac:dyDescent="0.25">
      <c r="A26" t="s">
        <v>74</v>
      </c>
      <c r="B26">
        <v>20</v>
      </c>
      <c r="C26" t="s">
        <v>75</v>
      </c>
      <c r="D26">
        <v>2019</v>
      </c>
      <c r="E26">
        <v>93</v>
      </c>
      <c r="F26">
        <v>230</v>
      </c>
      <c r="G26" t="s">
        <v>19</v>
      </c>
      <c r="H26" s="3">
        <v>1</v>
      </c>
      <c r="I26" t="s">
        <v>97</v>
      </c>
      <c r="J26" t="s">
        <v>77</v>
      </c>
      <c r="K26">
        <v>4665171.2220000001</v>
      </c>
      <c r="L26">
        <v>360427.48499999999</v>
      </c>
      <c r="M26">
        <v>1.1950000000000001</v>
      </c>
      <c r="N26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41F9-85CB-42A6-96A1-97123D63AD17}">
  <dimension ref="A1:N71"/>
  <sheetViews>
    <sheetView tabSelected="1" workbookViewId="0"/>
  </sheetViews>
  <sheetFormatPr defaultRowHeight="15" x14ac:dyDescent="0.25"/>
  <sheetData>
    <row r="1" spans="1:14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0</v>
      </c>
      <c r="I1" t="s">
        <v>71</v>
      </c>
      <c r="J1" t="s">
        <v>72</v>
      </c>
      <c r="K1" t="s">
        <v>1</v>
      </c>
      <c r="L1" t="s">
        <v>2</v>
      </c>
      <c r="M1" t="s">
        <v>73</v>
      </c>
      <c r="N1" t="s">
        <v>3</v>
      </c>
    </row>
    <row r="2" spans="1:14" x14ac:dyDescent="0.25">
      <c r="A2" t="s">
        <v>74</v>
      </c>
      <c r="B2">
        <v>20</v>
      </c>
      <c r="C2" t="s">
        <v>75</v>
      </c>
      <c r="D2">
        <v>2019</v>
      </c>
      <c r="E2">
        <v>4</v>
      </c>
      <c r="F2">
        <v>6</v>
      </c>
      <c r="G2" t="s">
        <v>8</v>
      </c>
      <c r="H2" s="3">
        <v>21</v>
      </c>
      <c r="I2" t="s">
        <v>103</v>
      </c>
      <c r="J2" t="s">
        <v>76</v>
      </c>
      <c r="K2">
        <v>4665207.0999999996</v>
      </c>
      <c r="L2">
        <v>360158.07199999999</v>
      </c>
      <c r="M2">
        <v>0.80300000000000005</v>
      </c>
      <c r="N2" t="s">
        <v>9</v>
      </c>
    </row>
    <row r="3" spans="1:14" x14ac:dyDescent="0.25">
      <c r="A3" t="s">
        <v>74</v>
      </c>
      <c r="B3">
        <v>20</v>
      </c>
      <c r="C3" t="s">
        <v>75</v>
      </c>
      <c r="D3">
        <v>2019</v>
      </c>
      <c r="E3">
        <v>4</v>
      </c>
      <c r="F3">
        <v>7</v>
      </c>
      <c r="G3" t="s">
        <v>8</v>
      </c>
      <c r="H3" s="3">
        <v>21</v>
      </c>
      <c r="I3" t="s">
        <v>103</v>
      </c>
      <c r="J3" t="s">
        <v>76</v>
      </c>
      <c r="K3">
        <v>4665203.7640000004</v>
      </c>
      <c r="L3">
        <v>360148.53100000002</v>
      </c>
      <c r="M3">
        <v>1.071</v>
      </c>
      <c r="N3" t="s">
        <v>9</v>
      </c>
    </row>
    <row r="4" spans="1:14" x14ac:dyDescent="0.25">
      <c r="A4" t="s">
        <v>74</v>
      </c>
      <c r="B4">
        <v>20</v>
      </c>
      <c r="C4" t="s">
        <v>75</v>
      </c>
      <c r="D4">
        <v>2019</v>
      </c>
      <c r="E4">
        <v>4</v>
      </c>
      <c r="F4">
        <v>8</v>
      </c>
      <c r="G4" t="s">
        <v>8</v>
      </c>
      <c r="H4" s="3">
        <v>21</v>
      </c>
      <c r="I4" t="s">
        <v>103</v>
      </c>
      <c r="J4" t="s">
        <v>76</v>
      </c>
      <c r="K4">
        <v>4665203.0669999998</v>
      </c>
      <c r="L4">
        <v>360144.73599999998</v>
      </c>
      <c r="M4">
        <v>0.879</v>
      </c>
      <c r="N4" t="s">
        <v>9</v>
      </c>
    </row>
    <row r="5" spans="1:14" x14ac:dyDescent="0.25">
      <c r="A5" t="s">
        <v>74</v>
      </c>
      <c r="B5">
        <v>20</v>
      </c>
      <c r="C5" t="s">
        <v>75</v>
      </c>
      <c r="D5">
        <v>2019</v>
      </c>
      <c r="E5">
        <v>4</v>
      </c>
      <c r="F5">
        <v>9</v>
      </c>
      <c r="G5" t="s">
        <v>8</v>
      </c>
      <c r="H5" s="3">
        <v>21</v>
      </c>
      <c r="I5" t="s">
        <v>103</v>
      </c>
      <c r="J5" t="s">
        <v>76</v>
      </c>
      <c r="K5">
        <v>4665203.9469999997</v>
      </c>
      <c r="L5">
        <v>360145.20799999998</v>
      </c>
      <c r="M5">
        <v>1.0229999999999999</v>
      </c>
      <c r="N5" t="s">
        <v>9</v>
      </c>
    </row>
    <row r="6" spans="1:14" x14ac:dyDescent="0.25">
      <c r="A6" t="s">
        <v>74</v>
      </c>
      <c r="B6">
        <v>20</v>
      </c>
      <c r="C6" t="s">
        <v>75</v>
      </c>
      <c r="D6">
        <v>2019</v>
      </c>
      <c r="E6">
        <v>4</v>
      </c>
      <c r="F6">
        <v>10</v>
      </c>
      <c r="G6" t="s">
        <v>8</v>
      </c>
      <c r="H6" s="3">
        <v>21</v>
      </c>
      <c r="I6" t="s">
        <v>103</v>
      </c>
      <c r="J6" t="s">
        <v>76</v>
      </c>
      <c r="K6">
        <v>4665204.642</v>
      </c>
      <c r="L6">
        <v>360148.51199999999</v>
      </c>
      <c r="M6">
        <v>0.93600000000000005</v>
      </c>
      <c r="N6" t="s">
        <v>9</v>
      </c>
    </row>
    <row r="7" spans="1:14" x14ac:dyDescent="0.25">
      <c r="A7" t="s">
        <v>74</v>
      </c>
      <c r="B7">
        <v>20</v>
      </c>
      <c r="C7" t="s">
        <v>75</v>
      </c>
      <c r="D7">
        <v>2019</v>
      </c>
      <c r="E7">
        <v>4</v>
      </c>
      <c r="F7">
        <v>11</v>
      </c>
      <c r="G7" t="s">
        <v>8</v>
      </c>
      <c r="H7" s="3">
        <v>21</v>
      </c>
      <c r="I7" t="s">
        <v>103</v>
      </c>
      <c r="J7" t="s">
        <v>76</v>
      </c>
      <c r="K7">
        <v>4665208.409</v>
      </c>
      <c r="L7">
        <v>360157.533</v>
      </c>
      <c r="M7">
        <v>1.01</v>
      </c>
      <c r="N7" t="s">
        <v>9</v>
      </c>
    </row>
    <row r="8" spans="1:14" x14ac:dyDescent="0.25">
      <c r="A8" t="s">
        <v>74</v>
      </c>
      <c r="B8">
        <v>20</v>
      </c>
      <c r="C8" t="s">
        <v>75</v>
      </c>
      <c r="D8">
        <v>2019</v>
      </c>
      <c r="E8">
        <v>7</v>
      </c>
      <c r="F8">
        <v>16</v>
      </c>
      <c r="G8" t="s">
        <v>10</v>
      </c>
      <c r="H8" s="3">
        <v>13</v>
      </c>
      <c r="I8" t="s">
        <v>97</v>
      </c>
      <c r="J8" t="s">
        <v>76</v>
      </c>
      <c r="K8">
        <v>4665215.5559999999</v>
      </c>
      <c r="L8">
        <v>360144.79499999998</v>
      </c>
      <c r="M8">
        <v>1.077</v>
      </c>
      <c r="N8" t="s">
        <v>14</v>
      </c>
    </row>
    <row r="9" spans="1:14" x14ac:dyDescent="0.25">
      <c r="A9" t="s">
        <v>74</v>
      </c>
      <c r="B9">
        <v>20</v>
      </c>
      <c r="C9" t="s">
        <v>75</v>
      </c>
      <c r="D9">
        <v>2019</v>
      </c>
      <c r="E9">
        <v>7</v>
      </c>
      <c r="F9">
        <v>17</v>
      </c>
      <c r="G9" t="s">
        <v>10</v>
      </c>
      <c r="H9" s="3">
        <v>13</v>
      </c>
      <c r="I9" t="s">
        <v>97</v>
      </c>
      <c r="J9" t="s">
        <v>76</v>
      </c>
      <c r="K9">
        <v>4665219.0939999996</v>
      </c>
      <c r="L9">
        <v>360152.96600000001</v>
      </c>
      <c r="M9">
        <v>1.038</v>
      </c>
      <c r="N9" t="s">
        <v>14</v>
      </c>
    </row>
    <row r="10" spans="1:14" x14ac:dyDescent="0.25">
      <c r="A10" t="s">
        <v>74</v>
      </c>
      <c r="B10">
        <v>20</v>
      </c>
      <c r="C10" t="s">
        <v>75</v>
      </c>
      <c r="D10">
        <v>2019</v>
      </c>
      <c r="E10">
        <v>7</v>
      </c>
      <c r="F10">
        <v>18</v>
      </c>
      <c r="G10" t="s">
        <v>10</v>
      </c>
      <c r="H10" s="3">
        <v>13</v>
      </c>
      <c r="I10" t="s">
        <v>97</v>
      </c>
      <c r="J10" t="s">
        <v>76</v>
      </c>
      <c r="K10">
        <v>4665222.858</v>
      </c>
      <c r="L10">
        <v>360162.51199999999</v>
      </c>
      <c r="M10">
        <v>0.97799999999999998</v>
      </c>
      <c r="N10" t="s">
        <v>14</v>
      </c>
    </row>
    <row r="11" spans="1:14" x14ac:dyDescent="0.25">
      <c r="A11" t="s">
        <v>74</v>
      </c>
      <c r="B11">
        <v>20</v>
      </c>
      <c r="C11" t="s">
        <v>75</v>
      </c>
      <c r="D11">
        <v>2019</v>
      </c>
      <c r="E11">
        <v>7</v>
      </c>
      <c r="F11">
        <v>19</v>
      </c>
      <c r="G11" t="s">
        <v>10</v>
      </c>
      <c r="H11" s="3">
        <v>13</v>
      </c>
      <c r="I11" t="s">
        <v>97</v>
      </c>
      <c r="J11" t="s">
        <v>76</v>
      </c>
      <c r="K11">
        <v>4665224.8360000001</v>
      </c>
      <c r="L11">
        <v>360161.62800000003</v>
      </c>
      <c r="M11">
        <v>0.65500000000000003</v>
      </c>
      <c r="N11" t="s">
        <v>15</v>
      </c>
    </row>
    <row r="12" spans="1:14" x14ac:dyDescent="0.25">
      <c r="A12" t="s">
        <v>74</v>
      </c>
      <c r="B12">
        <v>20</v>
      </c>
      <c r="C12" t="s">
        <v>75</v>
      </c>
      <c r="D12">
        <v>2019</v>
      </c>
      <c r="E12">
        <v>7</v>
      </c>
      <c r="F12">
        <v>20</v>
      </c>
      <c r="G12" t="s">
        <v>10</v>
      </c>
      <c r="H12" s="3">
        <v>13</v>
      </c>
      <c r="I12" t="s">
        <v>97</v>
      </c>
      <c r="J12" t="s">
        <v>76</v>
      </c>
      <c r="K12">
        <v>4665221.227</v>
      </c>
      <c r="L12">
        <v>360151.815</v>
      </c>
      <c r="M12">
        <v>0.58699999999999997</v>
      </c>
      <c r="N12" t="s">
        <v>15</v>
      </c>
    </row>
    <row r="13" spans="1:14" x14ac:dyDescent="0.25">
      <c r="A13" t="s">
        <v>74</v>
      </c>
      <c r="B13">
        <v>20</v>
      </c>
      <c r="C13" t="s">
        <v>75</v>
      </c>
      <c r="D13">
        <v>2019</v>
      </c>
      <c r="E13">
        <v>7</v>
      </c>
      <c r="F13">
        <v>21</v>
      </c>
      <c r="G13" t="s">
        <v>10</v>
      </c>
      <c r="H13" s="3">
        <v>13</v>
      </c>
      <c r="I13" t="s">
        <v>97</v>
      </c>
      <c r="J13" t="s">
        <v>76</v>
      </c>
      <c r="K13">
        <v>4665218.0480000004</v>
      </c>
      <c r="L13">
        <v>360143.1</v>
      </c>
      <c r="M13">
        <v>0.48699999999999999</v>
      </c>
      <c r="N13" t="s">
        <v>15</v>
      </c>
    </row>
    <row r="14" spans="1:14" x14ac:dyDescent="0.25">
      <c r="A14" t="s">
        <v>74</v>
      </c>
      <c r="B14">
        <v>20</v>
      </c>
      <c r="C14" t="s">
        <v>75</v>
      </c>
      <c r="D14">
        <v>2019</v>
      </c>
      <c r="E14">
        <v>8</v>
      </c>
      <c r="F14">
        <v>22</v>
      </c>
      <c r="G14" t="s">
        <v>8</v>
      </c>
      <c r="H14" s="3">
        <v>21</v>
      </c>
      <c r="I14" t="s">
        <v>103</v>
      </c>
      <c r="J14" t="s">
        <v>76</v>
      </c>
      <c r="K14">
        <v>4665224.8360000001</v>
      </c>
      <c r="L14">
        <v>360161.62800000003</v>
      </c>
      <c r="M14">
        <v>0.65500000000000003</v>
      </c>
      <c r="N14" t="s">
        <v>15</v>
      </c>
    </row>
    <row r="15" spans="1:14" x14ac:dyDescent="0.25">
      <c r="A15" t="s">
        <v>74</v>
      </c>
      <c r="B15">
        <v>20</v>
      </c>
      <c r="C15" t="s">
        <v>75</v>
      </c>
      <c r="D15">
        <v>2019</v>
      </c>
      <c r="E15">
        <v>8</v>
      </c>
      <c r="F15">
        <v>23</v>
      </c>
      <c r="G15" t="s">
        <v>8</v>
      </c>
      <c r="H15" s="3">
        <v>21</v>
      </c>
      <c r="I15" t="s">
        <v>103</v>
      </c>
      <c r="J15" t="s">
        <v>76</v>
      </c>
      <c r="K15">
        <v>4665221.227</v>
      </c>
      <c r="L15">
        <v>360151.815</v>
      </c>
      <c r="M15">
        <v>0.58699999999999997</v>
      </c>
      <c r="N15" t="s">
        <v>15</v>
      </c>
    </row>
    <row r="16" spans="1:14" x14ac:dyDescent="0.25">
      <c r="A16" t="s">
        <v>74</v>
      </c>
      <c r="B16">
        <v>20</v>
      </c>
      <c r="C16" t="s">
        <v>75</v>
      </c>
      <c r="D16">
        <v>2019</v>
      </c>
      <c r="E16">
        <v>8</v>
      </c>
      <c r="F16">
        <v>24</v>
      </c>
      <c r="G16" t="s">
        <v>8</v>
      </c>
      <c r="H16" s="3">
        <v>21</v>
      </c>
      <c r="I16" t="s">
        <v>103</v>
      </c>
      <c r="J16" t="s">
        <v>76</v>
      </c>
      <c r="K16">
        <v>4665218.0480000004</v>
      </c>
      <c r="L16">
        <v>360143.1</v>
      </c>
      <c r="M16">
        <v>0.48699999999999999</v>
      </c>
      <c r="N16" t="s">
        <v>15</v>
      </c>
    </row>
    <row r="17" spans="1:14" x14ac:dyDescent="0.25">
      <c r="A17" t="s">
        <v>74</v>
      </c>
      <c r="B17">
        <v>20</v>
      </c>
      <c r="C17" t="s">
        <v>75</v>
      </c>
      <c r="D17">
        <v>2019</v>
      </c>
      <c r="E17">
        <v>8</v>
      </c>
      <c r="F17">
        <v>25</v>
      </c>
      <c r="G17" t="s">
        <v>8</v>
      </c>
      <c r="H17" s="3">
        <v>21</v>
      </c>
      <c r="I17" t="s">
        <v>103</v>
      </c>
      <c r="J17" t="s">
        <v>76</v>
      </c>
      <c r="K17">
        <v>4665218.9119999995</v>
      </c>
      <c r="L17">
        <v>360142.31699999998</v>
      </c>
      <c r="M17">
        <v>0.73199999999999998</v>
      </c>
    </row>
    <row r="18" spans="1:14" x14ac:dyDescent="0.25">
      <c r="A18" t="s">
        <v>74</v>
      </c>
      <c r="B18">
        <v>20</v>
      </c>
      <c r="C18" t="s">
        <v>75</v>
      </c>
      <c r="D18">
        <v>2019</v>
      </c>
      <c r="E18">
        <v>8</v>
      </c>
      <c r="F18">
        <v>26</v>
      </c>
      <c r="G18" t="s">
        <v>8</v>
      </c>
      <c r="H18" s="3">
        <v>21</v>
      </c>
      <c r="I18" t="s">
        <v>103</v>
      </c>
      <c r="J18" t="s">
        <v>76</v>
      </c>
      <c r="K18">
        <v>4665223.0889999997</v>
      </c>
      <c r="L18">
        <v>360152.53899999999</v>
      </c>
      <c r="M18">
        <v>0.65300000000000002</v>
      </c>
    </row>
    <row r="19" spans="1:14" x14ac:dyDescent="0.25">
      <c r="A19" t="s">
        <v>74</v>
      </c>
      <c r="B19">
        <v>20</v>
      </c>
      <c r="C19" t="s">
        <v>75</v>
      </c>
      <c r="D19">
        <v>2019</v>
      </c>
      <c r="E19">
        <v>8</v>
      </c>
      <c r="F19">
        <v>27</v>
      </c>
      <c r="G19" t="s">
        <v>8</v>
      </c>
      <c r="H19" s="3">
        <v>21</v>
      </c>
      <c r="I19" t="s">
        <v>103</v>
      </c>
      <c r="J19" t="s">
        <v>76</v>
      </c>
      <c r="K19">
        <v>4665226.5640000002</v>
      </c>
      <c r="L19">
        <v>360160.67499999999</v>
      </c>
      <c r="M19">
        <v>0.51700000000000002</v>
      </c>
    </row>
    <row r="20" spans="1:14" x14ac:dyDescent="0.25">
      <c r="A20" t="s">
        <v>74</v>
      </c>
      <c r="B20">
        <v>20</v>
      </c>
      <c r="C20" t="s">
        <v>75</v>
      </c>
      <c r="D20">
        <v>2019</v>
      </c>
      <c r="E20">
        <v>9</v>
      </c>
      <c r="F20">
        <v>28</v>
      </c>
      <c r="G20" t="s">
        <v>10</v>
      </c>
      <c r="H20" s="3">
        <v>13</v>
      </c>
      <c r="I20" t="s">
        <v>97</v>
      </c>
      <c r="J20" t="s">
        <v>76</v>
      </c>
      <c r="K20">
        <v>4665218.9119999995</v>
      </c>
      <c r="L20">
        <v>360142.31699999998</v>
      </c>
      <c r="M20">
        <v>0.73199999999999998</v>
      </c>
    </row>
    <row r="21" spans="1:14" x14ac:dyDescent="0.25">
      <c r="A21" t="s">
        <v>74</v>
      </c>
      <c r="B21">
        <v>20</v>
      </c>
      <c r="C21" t="s">
        <v>75</v>
      </c>
      <c r="D21">
        <v>2019</v>
      </c>
      <c r="E21">
        <v>9</v>
      </c>
      <c r="F21">
        <v>29</v>
      </c>
      <c r="G21" t="s">
        <v>10</v>
      </c>
      <c r="H21" s="3">
        <v>13</v>
      </c>
      <c r="I21" t="s">
        <v>97</v>
      </c>
      <c r="J21" t="s">
        <v>76</v>
      </c>
      <c r="K21">
        <v>4665223.0889999997</v>
      </c>
      <c r="L21">
        <v>360152.53899999999</v>
      </c>
      <c r="M21">
        <v>0.65300000000000002</v>
      </c>
    </row>
    <row r="22" spans="1:14" x14ac:dyDescent="0.25">
      <c r="A22" t="s">
        <v>74</v>
      </c>
      <c r="B22">
        <v>20</v>
      </c>
      <c r="C22" t="s">
        <v>75</v>
      </c>
      <c r="D22">
        <v>2019</v>
      </c>
      <c r="E22">
        <v>9</v>
      </c>
      <c r="F22">
        <v>30</v>
      </c>
      <c r="G22" t="s">
        <v>10</v>
      </c>
      <c r="H22" s="3">
        <v>13</v>
      </c>
      <c r="I22" t="s">
        <v>97</v>
      </c>
      <c r="J22" t="s">
        <v>76</v>
      </c>
      <c r="K22">
        <v>4665226.5640000002</v>
      </c>
      <c r="L22">
        <v>360160.67499999999</v>
      </c>
      <c r="M22">
        <v>0.51700000000000002</v>
      </c>
    </row>
    <row r="23" spans="1:14" x14ac:dyDescent="0.25">
      <c r="A23" t="s">
        <v>74</v>
      </c>
      <c r="B23">
        <v>20</v>
      </c>
      <c r="C23" t="s">
        <v>75</v>
      </c>
      <c r="D23">
        <v>2019</v>
      </c>
      <c r="E23">
        <v>9</v>
      </c>
      <c r="F23">
        <v>31</v>
      </c>
      <c r="G23" t="s">
        <v>10</v>
      </c>
      <c r="H23" s="3">
        <v>13</v>
      </c>
      <c r="I23" t="s">
        <v>97</v>
      </c>
      <c r="J23" t="s">
        <v>76</v>
      </c>
      <c r="K23">
        <v>4665228.5619999999</v>
      </c>
      <c r="L23">
        <v>360160.16200000001</v>
      </c>
      <c r="M23">
        <v>1.026</v>
      </c>
      <c r="N23" t="s">
        <v>16</v>
      </c>
    </row>
    <row r="24" spans="1:14" x14ac:dyDescent="0.25">
      <c r="A24" t="s">
        <v>74</v>
      </c>
      <c r="B24">
        <v>20</v>
      </c>
      <c r="C24" t="s">
        <v>75</v>
      </c>
      <c r="D24">
        <v>2019</v>
      </c>
      <c r="E24">
        <v>9</v>
      </c>
      <c r="F24">
        <v>32</v>
      </c>
      <c r="G24" t="s">
        <v>10</v>
      </c>
      <c r="H24" s="3">
        <v>13</v>
      </c>
      <c r="I24" t="s">
        <v>97</v>
      </c>
      <c r="J24" t="s">
        <v>76</v>
      </c>
      <c r="K24">
        <v>4665224.9289999995</v>
      </c>
      <c r="L24">
        <v>360151.054</v>
      </c>
      <c r="M24">
        <v>1.077</v>
      </c>
      <c r="N24" t="s">
        <v>16</v>
      </c>
    </row>
    <row r="25" spans="1:14" x14ac:dyDescent="0.25">
      <c r="A25" t="s">
        <v>74</v>
      </c>
      <c r="B25">
        <v>20</v>
      </c>
      <c r="C25" t="s">
        <v>75</v>
      </c>
      <c r="D25">
        <v>2019</v>
      </c>
      <c r="E25">
        <v>9</v>
      </c>
      <c r="F25">
        <v>33</v>
      </c>
      <c r="G25" t="s">
        <v>10</v>
      </c>
      <c r="H25" s="3">
        <v>13</v>
      </c>
      <c r="I25" t="s">
        <v>97</v>
      </c>
      <c r="J25" t="s">
        <v>76</v>
      </c>
      <c r="K25">
        <v>4665220.3140000002</v>
      </c>
      <c r="L25">
        <v>360141.63500000001</v>
      </c>
      <c r="M25">
        <v>1.1399999999999999</v>
      </c>
      <c r="N25" t="s">
        <v>16</v>
      </c>
    </row>
    <row r="26" spans="1:14" x14ac:dyDescent="0.25">
      <c r="A26" t="s">
        <v>74</v>
      </c>
      <c r="B26">
        <v>20</v>
      </c>
      <c r="C26" t="s">
        <v>75</v>
      </c>
      <c r="D26">
        <v>2019</v>
      </c>
      <c r="E26">
        <v>30</v>
      </c>
      <c r="F26">
        <v>69</v>
      </c>
      <c r="G26" t="s">
        <v>25</v>
      </c>
      <c r="H26" s="3">
        <v>23</v>
      </c>
      <c r="I26" t="s">
        <v>104</v>
      </c>
      <c r="J26" t="s">
        <v>76</v>
      </c>
      <c r="K26">
        <v>4665109.1529999999</v>
      </c>
      <c r="L26">
        <v>360188.94199999998</v>
      </c>
      <c r="M26">
        <v>0.64600000000000002</v>
      </c>
    </row>
    <row r="27" spans="1:14" x14ac:dyDescent="0.25">
      <c r="A27" t="s">
        <v>74</v>
      </c>
      <c r="B27">
        <v>20</v>
      </c>
      <c r="C27" t="s">
        <v>75</v>
      </c>
      <c r="D27">
        <v>2019</v>
      </c>
      <c r="E27">
        <v>30</v>
      </c>
      <c r="F27">
        <v>70</v>
      </c>
      <c r="G27" t="s">
        <v>25</v>
      </c>
      <c r="H27" s="3">
        <v>23</v>
      </c>
      <c r="I27" t="s">
        <v>104</v>
      </c>
      <c r="J27" t="s">
        <v>76</v>
      </c>
      <c r="K27">
        <v>4665109.6569999997</v>
      </c>
      <c r="L27">
        <v>360188.73499999999</v>
      </c>
      <c r="M27">
        <v>1.018</v>
      </c>
    </row>
    <row r="28" spans="1:14" x14ac:dyDescent="0.25">
      <c r="A28" t="s">
        <v>74</v>
      </c>
      <c r="B28">
        <v>20</v>
      </c>
      <c r="C28" t="s">
        <v>75</v>
      </c>
      <c r="D28">
        <v>2019</v>
      </c>
      <c r="E28">
        <v>30</v>
      </c>
      <c r="F28">
        <v>71</v>
      </c>
      <c r="G28" t="s">
        <v>25</v>
      </c>
      <c r="H28" s="3">
        <v>23</v>
      </c>
      <c r="I28" t="s">
        <v>104</v>
      </c>
      <c r="J28" t="s">
        <v>76</v>
      </c>
      <c r="K28">
        <v>4665108.13</v>
      </c>
      <c r="L28">
        <v>360188.58600000001</v>
      </c>
      <c r="M28">
        <v>0.96499999999999997</v>
      </c>
    </row>
    <row r="29" spans="1:14" x14ac:dyDescent="0.25">
      <c r="A29" t="s">
        <v>74</v>
      </c>
      <c r="B29">
        <v>20</v>
      </c>
      <c r="C29" t="s">
        <v>75</v>
      </c>
      <c r="D29">
        <v>2019</v>
      </c>
      <c r="E29">
        <v>30</v>
      </c>
      <c r="F29">
        <v>72</v>
      </c>
      <c r="G29" t="s">
        <v>25</v>
      </c>
      <c r="H29" s="3">
        <v>23</v>
      </c>
      <c r="I29" t="s">
        <v>104</v>
      </c>
      <c r="J29" t="s">
        <v>76</v>
      </c>
      <c r="K29">
        <v>4665106.95</v>
      </c>
      <c r="L29">
        <v>360188.97</v>
      </c>
      <c r="M29">
        <v>0.96199999999999997</v>
      </c>
    </row>
    <row r="30" spans="1:14" x14ac:dyDescent="0.25">
      <c r="A30" t="s">
        <v>74</v>
      </c>
      <c r="B30">
        <v>20</v>
      </c>
      <c r="C30" t="s">
        <v>75</v>
      </c>
      <c r="D30">
        <v>2019</v>
      </c>
      <c r="E30">
        <v>30</v>
      </c>
      <c r="F30">
        <v>73</v>
      </c>
      <c r="G30" t="s">
        <v>25</v>
      </c>
      <c r="H30" s="3">
        <v>23</v>
      </c>
      <c r="I30" t="s">
        <v>104</v>
      </c>
      <c r="J30" t="s">
        <v>76</v>
      </c>
      <c r="K30">
        <v>4665106.2850000001</v>
      </c>
      <c r="L30">
        <v>360188.74300000002</v>
      </c>
      <c r="M30">
        <v>0.88300000000000001</v>
      </c>
    </row>
    <row r="31" spans="1:14" x14ac:dyDescent="0.25">
      <c r="A31" t="s">
        <v>74</v>
      </c>
      <c r="B31">
        <v>20</v>
      </c>
      <c r="C31" t="s">
        <v>75</v>
      </c>
      <c r="D31">
        <v>2019</v>
      </c>
      <c r="E31">
        <v>30</v>
      </c>
      <c r="F31">
        <v>74</v>
      </c>
      <c r="G31" t="s">
        <v>25</v>
      </c>
      <c r="H31" s="3">
        <v>23</v>
      </c>
      <c r="I31" t="s">
        <v>104</v>
      </c>
      <c r="J31" t="s">
        <v>76</v>
      </c>
      <c r="K31">
        <v>4665105.5310000004</v>
      </c>
      <c r="L31">
        <v>360189.565</v>
      </c>
      <c r="M31">
        <v>0.97699999999999998</v>
      </c>
    </row>
    <row r="32" spans="1:14" x14ac:dyDescent="0.25">
      <c r="A32" t="s">
        <v>74</v>
      </c>
      <c r="B32">
        <v>20</v>
      </c>
      <c r="C32" t="s">
        <v>75</v>
      </c>
      <c r="D32">
        <v>2019</v>
      </c>
      <c r="E32">
        <v>30</v>
      </c>
      <c r="F32">
        <v>75</v>
      </c>
      <c r="G32" t="s">
        <v>25</v>
      </c>
      <c r="H32" s="3">
        <v>23</v>
      </c>
      <c r="I32" t="s">
        <v>104</v>
      </c>
      <c r="J32" t="s">
        <v>76</v>
      </c>
      <c r="K32">
        <v>4665103.8990000002</v>
      </c>
      <c r="L32">
        <v>360190.446</v>
      </c>
      <c r="M32">
        <v>0.60399999999999998</v>
      </c>
    </row>
    <row r="33" spans="1:13" x14ac:dyDescent="0.25">
      <c r="A33" t="s">
        <v>74</v>
      </c>
      <c r="B33">
        <v>20</v>
      </c>
      <c r="C33" t="s">
        <v>75</v>
      </c>
      <c r="D33">
        <v>2019</v>
      </c>
      <c r="E33">
        <v>30</v>
      </c>
      <c r="F33">
        <v>76</v>
      </c>
      <c r="G33" t="s">
        <v>25</v>
      </c>
      <c r="H33" s="3">
        <v>23</v>
      </c>
      <c r="I33" t="s">
        <v>104</v>
      </c>
      <c r="J33" t="s">
        <v>76</v>
      </c>
      <c r="K33">
        <v>4665102.3480000002</v>
      </c>
      <c r="L33">
        <v>360190.95199999999</v>
      </c>
      <c r="M33">
        <v>1.0109999999999999</v>
      </c>
    </row>
    <row r="34" spans="1:13" x14ac:dyDescent="0.25">
      <c r="A34" t="s">
        <v>74</v>
      </c>
      <c r="B34">
        <v>20</v>
      </c>
      <c r="C34" t="s">
        <v>75</v>
      </c>
      <c r="D34">
        <v>2019</v>
      </c>
      <c r="E34">
        <v>30</v>
      </c>
      <c r="F34">
        <v>77</v>
      </c>
      <c r="G34" t="s">
        <v>25</v>
      </c>
      <c r="H34" s="3">
        <v>23</v>
      </c>
      <c r="I34" t="s">
        <v>104</v>
      </c>
      <c r="J34" t="s">
        <v>76</v>
      </c>
      <c r="K34">
        <v>4665103.2079999996</v>
      </c>
      <c r="L34">
        <v>360191.46600000001</v>
      </c>
      <c r="M34">
        <v>0.27400000000000002</v>
      </c>
    </row>
    <row r="35" spans="1:13" x14ac:dyDescent="0.25">
      <c r="A35" t="s">
        <v>74</v>
      </c>
      <c r="B35">
        <v>20</v>
      </c>
      <c r="C35" t="s">
        <v>75</v>
      </c>
      <c r="D35">
        <v>2019</v>
      </c>
      <c r="E35">
        <v>30</v>
      </c>
      <c r="F35">
        <v>78</v>
      </c>
      <c r="G35" t="s">
        <v>25</v>
      </c>
      <c r="H35" s="3">
        <v>23</v>
      </c>
      <c r="I35" t="s">
        <v>104</v>
      </c>
      <c r="J35" t="s">
        <v>76</v>
      </c>
      <c r="K35">
        <v>4665102.5549999997</v>
      </c>
      <c r="L35">
        <v>360192.12199999997</v>
      </c>
      <c r="M35">
        <v>0.67400000000000004</v>
      </c>
    </row>
    <row r="36" spans="1:13" x14ac:dyDescent="0.25">
      <c r="A36" t="s">
        <v>74</v>
      </c>
      <c r="B36">
        <v>20</v>
      </c>
      <c r="C36" t="s">
        <v>75</v>
      </c>
      <c r="D36">
        <v>2019</v>
      </c>
      <c r="E36">
        <v>30</v>
      </c>
      <c r="F36">
        <v>79</v>
      </c>
      <c r="G36" t="s">
        <v>25</v>
      </c>
      <c r="H36" s="3">
        <v>23</v>
      </c>
      <c r="I36" t="s">
        <v>104</v>
      </c>
      <c r="J36" t="s">
        <v>76</v>
      </c>
      <c r="K36">
        <v>4665101.466</v>
      </c>
      <c r="L36">
        <v>360193.17200000002</v>
      </c>
      <c r="M36">
        <v>0.57499999999999996</v>
      </c>
    </row>
    <row r="37" spans="1:13" x14ac:dyDescent="0.25">
      <c r="A37" t="s">
        <v>74</v>
      </c>
      <c r="B37">
        <v>20</v>
      </c>
      <c r="C37" t="s">
        <v>75</v>
      </c>
      <c r="D37">
        <v>2019</v>
      </c>
      <c r="E37">
        <v>30</v>
      </c>
      <c r="F37">
        <v>80</v>
      </c>
      <c r="G37" t="s">
        <v>25</v>
      </c>
      <c r="H37" s="3">
        <v>23</v>
      </c>
      <c r="I37" t="s">
        <v>104</v>
      </c>
      <c r="J37" t="s">
        <v>76</v>
      </c>
      <c r="K37">
        <v>4665102.1459999997</v>
      </c>
      <c r="L37">
        <v>360193.03200000001</v>
      </c>
      <c r="M37">
        <v>0.108</v>
      </c>
    </row>
    <row r="38" spans="1:13" x14ac:dyDescent="0.25">
      <c r="A38" t="s">
        <v>74</v>
      </c>
      <c r="B38">
        <v>20</v>
      </c>
      <c r="C38" t="s">
        <v>75</v>
      </c>
      <c r="D38">
        <v>2019</v>
      </c>
      <c r="E38">
        <v>30</v>
      </c>
      <c r="F38">
        <v>81</v>
      </c>
      <c r="G38" t="s">
        <v>25</v>
      </c>
      <c r="H38" s="3">
        <v>23</v>
      </c>
      <c r="I38" t="s">
        <v>104</v>
      </c>
      <c r="J38" t="s">
        <v>76</v>
      </c>
      <c r="K38">
        <v>4665102.4460000005</v>
      </c>
      <c r="L38">
        <v>360193.70600000001</v>
      </c>
      <c r="M38">
        <v>0.51300000000000001</v>
      </c>
    </row>
    <row r="39" spans="1:13" x14ac:dyDescent="0.25">
      <c r="A39" t="s">
        <v>74</v>
      </c>
      <c r="B39">
        <v>20</v>
      </c>
      <c r="C39" t="s">
        <v>75</v>
      </c>
      <c r="D39">
        <v>2019</v>
      </c>
      <c r="E39">
        <v>30</v>
      </c>
      <c r="F39">
        <v>82</v>
      </c>
      <c r="G39" t="s">
        <v>25</v>
      </c>
      <c r="H39" s="3">
        <v>23</v>
      </c>
      <c r="I39" t="s">
        <v>104</v>
      </c>
      <c r="J39" t="s">
        <v>76</v>
      </c>
      <c r="K39">
        <v>4665103.5329999998</v>
      </c>
      <c r="L39">
        <v>360192.44199999998</v>
      </c>
      <c r="M39">
        <v>0.60099999999999998</v>
      </c>
    </row>
    <row r="40" spans="1:13" x14ac:dyDescent="0.25">
      <c r="A40" t="s">
        <v>74</v>
      </c>
      <c r="B40">
        <v>20</v>
      </c>
      <c r="C40" t="s">
        <v>75</v>
      </c>
      <c r="D40">
        <v>2019</v>
      </c>
      <c r="E40">
        <v>30</v>
      </c>
      <c r="F40">
        <v>83</v>
      </c>
      <c r="G40" t="s">
        <v>25</v>
      </c>
      <c r="H40" s="3">
        <v>23</v>
      </c>
      <c r="I40" t="s">
        <v>104</v>
      </c>
      <c r="J40" t="s">
        <v>76</v>
      </c>
      <c r="K40">
        <v>4665103.3250000002</v>
      </c>
      <c r="L40">
        <v>360191.60499999998</v>
      </c>
      <c r="M40">
        <v>0.50600000000000001</v>
      </c>
    </row>
    <row r="41" spans="1:13" x14ac:dyDescent="0.25">
      <c r="A41" t="s">
        <v>74</v>
      </c>
      <c r="B41">
        <v>20</v>
      </c>
      <c r="C41" t="s">
        <v>75</v>
      </c>
      <c r="D41">
        <v>2019</v>
      </c>
      <c r="E41">
        <v>30</v>
      </c>
      <c r="F41">
        <v>84</v>
      </c>
      <c r="G41" t="s">
        <v>25</v>
      </c>
      <c r="H41" s="3">
        <v>23</v>
      </c>
      <c r="I41" t="s">
        <v>104</v>
      </c>
      <c r="J41" t="s">
        <v>76</v>
      </c>
      <c r="K41">
        <v>4665105.3820000002</v>
      </c>
      <c r="L41">
        <v>360190.408</v>
      </c>
      <c r="M41">
        <v>0.81799999999999995</v>
      </c>
    </row>
    <row r="42" spans="1:13" x14ac:dyDescent="0.25">
      <c r="A42" t="s">
        <v>74</v>
      </c>
      <c r="B42">
        <v>20</v>
      </c>
      <c r="C42" t="s">
        <v>75</v>
      </c>
      <c r="D42">
        <v>2019</v>
      </c>
      <c r="E42">
        <v>30</v>
      </c>
      <c r="F42">
        <v>85</v>
      </c>
      <c r="G42" t="s">
        <v>25</v>
      </c>
      <c r="H42" s="3">
        <v>23</v>
      </c>
      <c r="I42" t="s">
        <v>104</v>
      </c>
      <c r="J42" t="s">
        <v>76</v>
      </c>
      <c r="K42">
        <v>4665106.8210000005</v>
      </c>
      <c r="L42">
        <v>360189.58199999999</v>
      </c>
      <c r="M42">
        <v>0.82299999999999995</v>
      </c>
    </row>
    <row r="43" spans="1:13" x14ac:dyDescent="0.25">
      <c r="A43" t="s">
        <v>74</v>
      </c>
      <c r="B43">
        <v>20</v>
      </c>
      <c r="C43" t="s">
        <v>75</v>
      </c>
      <c r="D43">
        <v>2019</v>
      </c>
      <c r="E43">
        <v>30</v>
      </c>
      <c r="F43">
        <v>86</v>
      </c>
      <c r="G43" t="s">
        <v>25</v>
      </c>
      <c r="H43" s="3">
        <v>23</v>
      </c>
      <c r="I43" t="s">
        <v>104</v>
      </c>
      <c r="J43" t="s">
        <v>76</v>
      </c>
      <c r="K43">
        <v>4665108.51</v>
      </c>
      <c r="L43">
        <v>360189.08899999998</v>
      </c>
      <c r="M43">
        <v>0.91</v>
      </c>
    </row>
    <row r="44" spans="1:13" x14ac:dyDescent="0.25">
      <c r="A44" t="s">
        <v>74</v>
      </c>
      <c r="B44">
        <v>20</v>
      </c>
      <c r="C44" t="s">
        <v>75</v>
      </c>
      <c r="D44">
        <v>2019</v>
      </c>
      <c r="E44">
        <v>30</v>
      </c>
      <c r="F44">
        <v>87</v>
      </c>
      <c r="G44" t="s">
        <v>25</v>
      </c>
      <c r="H44" s="3">
        <v>23</v>
      </c>
      <c r="I44" t="s">
        <v>104</v>
      </c>
      <c r="J44" t="s">
        <v>76</v>
      </c>
      <c r="K44">
        <v>4665109.6969999997</v>
      </c>
      <c r="L44">
        <v>360189.20500000002</v>
      </c>
      <c r="M44">
        <v>1.0660000000000001</v>
      </c>
    </row>
    <row r="45" spans="1:13" x14ac:dyDescent="0.25">
      <c r="A45" t="s">
        <v>74</v>
      </c>
      <c r="B45">
        <v>20</v>
      </c>
      <c r="C45" t="s">
        <v>75</v>
      </c>
      <c r="D45">
        <v>2019</v>
      </c>
      <c r="E45">
        <v>33</v>
      </c>
      <c r="F45">
        <v>94</v>
      </c>
      <c r="G45" t="s">
        <v>26</v>
      </c>
      <c r="H45" s="3">
        <v>21</v>
      </c>
      <c r="I45" t="s">
        <v>105</v>
      </c>
      <c r="J45" t="s">
        <v>76</v>
      </c>
      <c r="K45">
        <v>4665118.1610000003</v>
      </c>
      <c r="L45">
        <v>360223.87400000001</v>
      </c>
      <c r="M45">
        <v>0.71399999999999997</v>
      </c>
    </row>
    <row r="46" spans="1:13" x14ac:dyDescent="0.25">
      <c r="A46" t="s">
        <v>74</v>
      </c>
      <c r="B46">
        <v>20</v>
      </c>
      <c r="C46" t="s">
        <v>75</v>
      </c>
      <c r="D46">
        <v>2019</v>
      </c>
      <c r="E46">
        <v>33</v>
      </c>
      <c r="F46">
        <v>95</v>
      </c>
      <c r="G46" t="s">
        <v>26</v>
      </c>
      <c r="H46" s="3">
        <v>21</v>
      </c>
      <c r="I46" t="s">
        <v>105</v>
      </c>
      <c r="J46" t="s">
        <v>76</v>
      </c>
      <c r="K46">
        <v>4665112.6469999999</v>
      </c>
      <c r="L46">
        <v>360214.48700000002</v>
      </c>
      <c r="M46">
        <v>0.54800000000000004</v>
      </c>
    </row>
    <row r="47" spans="1:13" x14ac:dyDescent="0.25">
      <c r="A47" t="s">
        <v>74</v>
      </c>
      <c r="B47">
        <v>20</v>
      </c>
      <c r="C47" t="s">
        <v>75</v>
      </c>
      <c r="D47">
        <v>2019</v>
      </c>
      <c r="E47">
        <v>33</v>
      </c>
      <c r="F47">
        <v>96</v>
      </c>
      <c r="G47" t="s">
        <v>26</v>
      </c>
      <c r="H47" s="3">
        <v>21</v>
      </c>
      <c r="I47" t="s">
        <v>105</v>
      </c>
      <c r="J47" t="s">
        <v>76</v>
      </c>
      <c r="K47">
        <v>4665103.8530000001</v>
      </c>
      <c r="L47">
        <v>360197.88900000002</v>
      </c>
      <c r="M47">
        <v>0.71</v>
      </c>
    </row>
    <row r="48" spans="1:13" x14ac:dyDescent="0.25">
      <c r="A48" t="s">
        <v>74</v>
      </c>
      <c r="B48">
        <v>20</v>
      </c>
      <c r="C48" t="s">
        <v>75</v>
      </c>
      <c r="D48">
        <v>2019</v>
      </c>
      <c r="E48">
        <v>33</v>
      </c>
      <c r="F48">
        <v>97</v>
      </c>
      <c r="G48" t="s">
        <v>26</v>
      </c>
      <c r="H48" s="3">
        <v>21</v>
      </c>
      <c r="I48" t="s">
        <v>105</v>
      </c>
      <c r="J48" t="s">
        <v>76</v>
      </c>
      <c r="K48">
        <v>4665102.6370000001</v>
      </c>
      <c r="L48">
        <v>360198.63</v>
      </c>
      <c r="M48">
        <v>0.95599999999999996</v>
      </c>
    </row>
    <row r="49" spans="1:14" x14ac:dyDescent="0.25">
      <c r="A49" t="s">
        <v>74</v>
      </c>
      <c r="B49">
        <v>20</v>
      </c>
      <c r="C49" t="s">
        <v>75</v>
      </c>
      <c r="D49">
        <v>2019</v>
      </c>
      <c r="E49">
        <v>33</v>
      </c>
      <c r="F49">
        <v>98</v>
      </c>
      <c r="G49" t="s">
        <v>26</v>
      </c>
      <c r="H49" s="3">
        <v>21</v>
      </c>
      <c r="I49" t="s">
        <v>105</v>
      </c>
      <c r="J49" t="s">
        <v>76</v>
      </c>
      <c r="K49">
        <v>4665111.2759999996</v>
      </c>
      <c r="L49">
        <v>360213.94400000002</v>
      </c>
      <c r="M49">
        <v>0.6</v>
      </c>
    </row>
    <row r="50" spans="1:14" x14ac:dyDescent="0.25">
      <c r="A50" t="s">
        <v>74</v>
      </c>
      <c r="B50">
        <v>20</v>
      </c>
      <c r="C50" t="s">
        <v>75</v>
      </c>
      <c r="D50">
        <v>2019</v>
      </c>
      <c r="E50">
        <v>33</v>
      </c>
      <c r="F50">
        <v>99</v>
      </c>
      <c r="G50" t="s">
        <v>26</v>
      </c>
      <c r="H50" s="3">
        <v>21</v>
      </c>
      <c r="I50" t="s">
        <v>105</v>
      </c>
      <c r="J50" t="s">
        <v>76</v>
      </c>
      <c r="K50">
        <v>4665115.9040000001</v>
      </c>
      <c r="L50">
        <v>360224.01199999999</v>
      </c>
      <c r="M50">
        <v>0.92500000000000004</v>
      </c>
    </row>
    <row r="51" spans="1:14" x14ac:dyDescent="0.25">
      <c r="A51" t="s">
        <v>74</v>
      </c>
      <c r="B51">
        <v>20</v>
      </c>
      <c r="C51" t="s">
        <v>75</v>
      </c>
      <c r="D51">
        <v>2019</v>
      </c>
      <c r="E51">
        <v>42</v>
      </c>
      <c r="F51">
        <v>119</v>
      </c>
      <c r="G51" t="s">
        <v>26</v>
      </c>
      <c r="H51" s="3">
        <v>21</v>
      </c>
      <c r="I51" t="s">
        <v>105</v>
      </c>
      <c r="J51" t="s">
        <v>76</v>
      </c>
      <c r="K51">
        <v>4665073.3940000003</v>
      </c>
      <c r="L51">
        <v>360205.01299999998</v>
      </c>
      <c r="M51">
        <v>1.1559999999999999</v>
      </c>
    </row>
    <row r="52" spans="1:14" x14ac:dyDescent="0.25">
      <c r="A52" t="s">
        <v>74</v>
      </c>
      <c r="B52">
        <v>20</v>
      </c>
      <c r="C52" t="s">
        <v>75</v>
      </c>
      <c r="D52">
        <v>2019</v>
      </c>
      <c r="E52">
        <v>42</v>
      </c>
      <c r="F52">
        <v>120</v>
      </c>
      <c r="G52" t="s">
        <v>26</v>
      </c>
      <c r="H52" s="3">
        <v>21</v>
      </c>
      <c r="I52" t="s">
        <v>105</v>
      </c>
      <c r="J52" t="s">
        <v>76</v>
      </c>
      <c r="K52">
        <v>4665076.9790000003</v>
      </c>
      <c r="L52">
        <v>360211.85399999999</v>
      </c>
      <c r="M52">
        <v>1.145</v>
      </c>
      <c r="N52" t="s">
        <v>33</v>
      </c>
    </row>
    <row r="53" spans="1:14" x14ac:dyDescent="0.25">
      <c r="A53" t="s">
        <v>74</v>
      </c>
      <c r="B53">
        <v>20</v>
      </c>
      <c r="C53" t="s">
        <v>75</v>
      </c>
      <c r="D53">
        <v>2019</v>
      </c>
      <c r="E53">
        <v>42</v>
      </c>
      <c r="F53">
        <v>121</v>
      </c>
      <c r="G53" t="s">
        <v>26</v>
      </c>
      <c r="H53" s="3">
        <v>21</v>
      </c>
      <c r="I53" t="s">
        <v>105</v>
      </c>
      <c r="J53" t="s">
        <v>76</v>
      </c>
      <c r="K53">
        <v>4665082.5789999999</v>
      </c>
      <c r="L53">
        <v>360221.13400000002</v>
      </c>
      <c r="M53">
        <v>1.1719999999999999</v>
      </c>
    </row>
    <row r="54" spans="1:14" x14ac:dyDescent="0.25">
      <c r="A54" t="s">
        <v>74</v>
      </c>
      <c r="B54">
        <v>20</v>
      </c>
      <c r="C54" t="s">
        <v>75</v>
      </c>
      <c r="D54">
        <v>2019</v>
      </c>
      <c r="E54">
        <v>42</v>
      </c>
      <c r="F54">
        <v>122</v>
      </c>
      <c r="G54" t="s">
        <v>26</v>
      </c>
      <c r="H54" s="3">
        <v>21</v>
      </c>
      <c r="I54" t="s">
        <v>105</v>
      </c>
      <c r="J54" t="s">
        <v>76</v>
      </c>
      <c r="K54">
        <v>4665081.8880000003</v>
      </c>
      <c r="L54">
        <v>360221.58500000002</v>
      </c>
      <c r="M54">
        <v>1.1060000000000001</v>
      </c>
    </row>
    <row r="55" spans="1:14" x14ac:dyDescent="0.25">
      <c r="A55" t="s">
        <v>74</v>
      </c>
      <c r="B55">
        <v>20</v>
      </c>
      <c r="C55" t="s">
        <v>75</v>
      </c>
      <c r="D55">
        <v>2019</v>
      </c>
      <c r="E55">
        <v>42</v>
      </c>
      <c r="F55">
        <v>123</v>
      </c>
      <c r="G55" t="s">
        <v>26</v>
      </c>
      <c r="H55" s="3">
        <v>21</v>
      </c>
      <c r="I55" t="s">
        <v>105</v>
      </c>
      <c r="J55" t="s">
        <v>76</v>
      </c>
      <c r="K55">
        <v>4665078.0029999996</v>
      </c>
      <c r="L55">
        <v>360214.53100000002</v>
      </c>
      <c r="M55">
        <v>1.1140000000000001</v>
      </c>
    </row>
    <row r="56" spans="1:14" x14ac:dyDescent="0.25">
      <c r="A56" t="s">
        <v>74</v>
      </c>
      <c r="B56">
        <v>20</v>
      </c>
      <c r="C56" t="s">
        <v>75</v>
      </c>
      <c r="D56">
        <v>2019</v>
      </c>
      <c r="E56">
        <v>42</v>
      </c>
      <c r="F56">
        <v>124</v>
      </c>
      <c r="G56" t="s">
        <v>26</v>
      </c>
      <c r="H56" s="3">
        <v>21</v>
      </c>
      <c r="I56" t="s">
        <v>105</v>
      </c>
      <c r="J56" t="s">
        <v>76</v>
      </c>
      <c r="K56">
        <v>4665073.3229999999</v>
      </c>
      <c r="L56">
        <v>360206.73700000002</v>
      </c>
      <c r="M56">
        <v>1.1890000000000001</v>
      </c>
    </row>
    <row r="57" spans="1:14" x14ac:dyDescent="0.25">
      <c r="A57" t="s">
        <v>74</v>
      </c>
      <c r="B57">
        <v>20</v>
      </c>
      <c r="C57" t="s">
        <v>75</v>
      </c>
      <c r="D57">
        <v>2019</v>
      </c>
      <c r="E57">
        <v>56</v>
      </c>
      <c r="F57">
        <v>150</v>
      </c>
      <c r="G57" t="s">
        <v>43</v>
      </c>
      <c r="H57" s="3">
        <v>21</v>
      </c>
      <c r="I57" t="s">
        <v>106</v>
      </c>
      <c r="J57" t="s">
        <v>76</v>
      </c>
      <c r="K57">
        <v>4665110.1960000005</v>
      </c>
      <c r="L57">
        <v>360286.67499999999</v>
      </c>
      <c r="M57">
        <v>1.04</v>
      </c>
    </row>
    <row r="58" spans="1:14" x14ac:dyDescent="0.25">
      <c r="A58" t="s">
        <v>74</v>
      </c>
      <c r="B58">
        <v>20</v>
      </c>
      <c r="C58" t="s">
        <v>75</v>
      </c>
      <c r="D58">
        <v>2019</v>
      </c>
      <c r="E58">
        <v>56</v>
      </c>
      <c r="F58">
        <v>151</v>
      </c>
      <c r="G58" t="s">
        <v>43</v>
      </c>
      <c r="H58" s="3">
        <v>21</v>
      </c>
      <c r="I58" t="s">
        <v>106</v>
      </c>
      <c r="J58" t="s">
        <v>76</v>
      </c>
      <c r="K58">
        <v>4665114.9579999996</v>
      </c>
      <c r="L58">
        <v>360285.67300000001</v>
      </c>
      <c r="M58">
        <v>0.83099999999999996</v>
      </c>
    </row>
    <row r="59" spans="1:14" x14ac:dyDescent="0.25">
      <c r="A59" t="s">
        <v>74</v>
      </c>
      <c r="B59">
        <v>20</v>
      </c>
      <c r="C59" t="s">
        <v>75</v>
      </c>
      <c r="D59">
        <v>2019</v>
      </c>
      <c r="E59">
        <v>56</v>
      </c>
      <c r="F59">
        <v>152</v>
      </c>
      <c r="G59" t="s">
        <v>43</v>
      </c>
      <c r="H59" s="3">
        <v>21</v>
      </c>
      <c r="I59" t="s">
        <v>106</v>
      </c>
      <c r="J59" t="s">
        <v>76</v>
      </c>
      <c r="K59">
        <v>4665119.21</v>
      </c>
      <c r="L59">
        <v>360285.08600000001</v>
      </c>
      <c r="M59">
        <v>0.25700000000000001</v>
      </c>
    </row>
    <row r="60" spans="1:14" x14ac:dyDescent="0.25">
      <c r="A60" t="s">
        <v>74</v>
      </c>
      <c r="B60">
        <v>20</v>
      </c>
      <c r="C60" t="s">
        <v>75</v>
      </c>
      <c r="D60">
        <v>2019</v>
      </c>
      <c r="E60">
        <v>56</v>
      </c>
      <c r="F60">
        <v>153</v>
      </c>
      <c r="G60" t="s">
        <v>43</v>
      </c>
      <c r="H60" s="3">
        <v>21</v>
      </c>
      <c r="I60" t="s">
        <v>106</v>
      </c>
      <c r="J60" t="s">
        <v>76</v>
      </c>
      <c r="K60">
        <v>4665119.4800000004</v>
      </c>
      <c r="L60">
        <v>360285.73599999998</v>
      </c>
      <c r="M60">
        <v>0.33</v>
      </c>
    </row>
    <row r="61" spans="1:14" x14ac:dyDescent="0.25">
      <c r="A61" t="s">
        <v>74</v>
      </c>
      <c r="B61">
        <v>20</v>
      </c>
      <c r="C61" t="s">
        <v>75</v>
      </c>
      <c r="D61">
        <v>2019</v>
      </c>
      <c r="E61">
        <v>56</v>
      </c>
      <c r="F61">
        <v>154</v>
      </c>
      <c r="G61" t="s">
        <v>43</v>
      </c>
      <c r="H61" s="3">
        <v>21</v>
      </c>
      <c r="I61" t="s">
        <v>106</v>
      </c>
      <c r="J61" t="s">
        <v>76</v>
      </c>
      <c r="K61">
        <v>4665114.8689999999</v>
      </c>
      <c r="L61">
        <v>360286.34299999999</v>
      </c>
      <c r="M61">
        <v>0.76100000000000001</v>
      </c>
    </row>
    <row r="62" spans="1:14" x14ac:dyDescent="0.25">
      <c r="A62" t="s">
        <v>74</v>
      </c>
      <c r="B62">
        <v>20</v>
      </c>
      <c r="C62" t="s">
        <v>75</v>
      </c>
      <c r="D62">
        <v>2019</v>
      </c>
      <c r="E62">
        <v>56</v>
      </c>
      <c r="F62">
        <v>155</v>
      </c>
      <c r="G62" t="s">
        <v>43</v>
      </c>
      <c r="H62" s="3">
        <v>21</v>
      </c>
      <c r="I62" t="s">
        <v>106</v>
      </c>
      <c r="J62" t="s">
        <v>76</v>
      </c>
      <c r="K62">
        <v>4665110.2089999998</v>
      </c>
      <c r="L62">
        <v>360287.12099999998</v>
      </c>
      <c r="M62">
        <v>1.115</v>
      </c>
    </row>
    <row r="63" spans="1:14" x14ac:dyDescent="0.25">
      <c r="A63" t="s">
        <v>74</v>
      </c>
      <c r="B63">
        <v>20</v>
      </c>
      <c r="C63" t="s">
        <v>75</v>
      </c>
      <c r="D63">
        <v>2019</v>
      </c>
      <c r="E63">
        <v>89</v>
      </c>
      <c r="F63">
        <v>212</v>
      </c>
      <c r="G63" t="s">
        <v>60</v>
      </c>
      <c r="H63" s="3">
        <v>21</v>
      </c>
      <c r="I63" t="s">
        <v>107</v>
      </c>
      <c r="J63" t="s">
        <v>76</v>
      </c>
      <c r="K63">
        <v>4665186.2130000005</v>
      </c>
      <c r="L63">
        <v>360469.03100000002</v>
      </c>
      <c r="M63">
        <v>0.70899999999999996</v>
      </c>
    </row>
    <row r="64" spans="1:14" x14ac:dyDescent="0.25">
      <c r="A64" t="s">
        <v>74</v>
      </c>
      <c r="B64">
        <v>20</v>
      </c>
      <c r="C64" t="s">
        <v>75</v>
      </c>
      <c r="D64">
        <v>2019</v>
      </c>
      <c r="E64">
        <v>89</v>
      </c>
      <c r="F64">
        <v>213</v>
      </c>
      <c r="G64" t="s">
        <v>60</v>
      </c>
      <c r="H64" s="3">
        <v>21</v>
      </c>
      <c r="I64" t="s">
        <v>107</v>
      </c>
      <c r="J64" t="s">
        <v>76</v>
      </c>
      <c r="K64">
        <v>4665185.8119999999</v>
      </c>
      <c r="L64">
        <v>360469.14600000001</v>
      </c>
      <c r="M64">
        <v>0.99199999999999999</v>
      </c>
    </row>
    <row r="65" spans="1:14" x14ac:dyDescent="0.25">
      <c r="A65" t="s">
        <v>74</v>
      </c>
      <c r="B65">
        <v>20</v>
      </c>
      <c r="C65" t="s">
        <v>75</v>
      </c>
      <c r="D65">
        <v>2019</v>
      </c>
      <c r="E65">
        <v>89</v>
      </c>
      <c r="F65">
        <v>214</v>
      </c>
      <c r="G65" t="s">
        <v>60</v>
      </c>
      <c r="H65" s="3">
        <v>21</v>
      </c>
      <c r="I65" t="s">
        <v>107</v>
      </c>
      <c r="J65" t="s">
        <v>76</v>
      </c>
      <c r="K65">
        <v>4665185.1330000004</v>
      </c>
      <c r="L65">
        <v>360469.59700000001</v>
      </c>
      <c r="M65">
        <v>0.83699999999999997</v>
      </c>
    </row>
    <row r="66" spans="1:14" x14ac:dyDescent="0.25">
      <c r="A66" t="s">
        <v>74</v>
      </c>
      <c r="B66">
        <v>20</v>
      </c>
      <c r="C66" t="s">
        <v>75</v>
      </c>
      <c r="D66">
        <v>2019</v>
      </c>
      <c r="E66">
        <v>89</v>
      </c>
      <c r="F66">
        <v>215</v>
      </c>
      <c r="G66" t="s">
        <v>60</v>
      </c>
      <c r="H66" s="3">
        <v>21</v>
      </c>
      <c r="I66" t="s">
        <v>107</v>
      </c>
      <c r="J66" t="s">
        <v>76</v>
      </c>
      <c r="K66">
        <v>4665183.8890000004</v>
      </c>
      <c r="L66">
        <v>360469.79700000002</v>
      </c>
      <c r="M66">
        <v>0.752</v>
      </c>
    </row>
    <row r="67" spans="1:14" x14ac:dyDescent="0.25">
      <c r="A67" t="s">
        <v>74</v>
      </c>
      <c r="B67">
        <v>20</v>
      </c>
      <c r="C67" t="s">
        <v>75</v>
      </c>
      <c r="D67">
        <v>2019</v>
      </c>
      <c r="E67">
        <v>89</v>
      </c>
      <c r="F67">
        <v>216</v>
      </c>
      <c r="G67" t="s">
        <v>60</v>
      </c>
      <c r="H67" s="3">
        <v>21</v>
      </c>
      <c r="I67" t="s">
        <v>107</v>
      </c>
      <c r="J67" t="s">
        <v>76</v>
      </c>
      <c r="K67">
        <v>4665183.5779999997</v>
      </c>
      <c r="L67">
        <v>360469.29599999997</v>
      </c>
      <c r="M67">
        <v>0.92600000000000005</v>
      </c>
    </row>
    <row r="68" spans="1:14" x14ac:dyDescent="0.25">
      <c r="A68" t="s">
        <v>74</v>
      </c>
      <c r="B68">
        <v>20</v>
      </c>
      <c r="C68" t="s">
        <v>75</v>
      </c>
      <c r="D68">
        <v>2019</v>
      </c>
      <c r="E68">
        <v>89</v>
      </c>
      <c r="F68">
        <v>217</v>
      </c>
      <c r="G68" t="s">
        <v>60</v>
      </c>
      <c r="H68" s="3">
        <v>21</v>
      </c>
      <c r="I68" t="s">
        <v>107</v>
      </c>
      <c r="J68" t="s">
        <v>76</v>
      </c>
      <c r="K68">
        <v>4665184.4780000001</v>
      </c>
      <c r="L68">
        <v>360469.07400000002</v>
      </c>
      <c r="M68">
        <v>0.9</v>
      </c>
    </row>
    <row r="69" spans="1:14" x14ac:dyDescent="0.25">
      <c r="A69" t="s">
        <v>74</v>
      </c>
      <c r="B69">
        <v>20</v>
      </c>
      <c r="C69" t="s">
        <v>75</v>
      </c>
      <c r="D69">
        <v>2019</v>
      </c>
      <c r="E69">
        <v>89</v>
      </c>
      <c r="F69">
        <v>218</v>
      </c>
      <c r="G69" t="s">
        <v>60</v>
      </c>
      <c r="H69" s="3">
        <v>21</v>
      </c>
      <c r="I69" t="s">
        <v>107</v>
      </c>
      <c r="J69" t="s">
        <v>76</v>
      </c>
      <c r="K69">
        <v>4665185.3</v>
      </c>
      <c r="L69">
        <v>360468.51400000002</v>
      </c>
      <c r="M69">
        <v>1.014</v>
      </c>
    </row>
    <row r="70" spans="1:14" x14ac:dyDescent="0.25">
      <c r="A70" t="s">
        <v>74</v>
      </c>
      <c r="B70">
        <v>20</v>
      </c>
      <c r="C70" t="s">
        <v>75</v>
      </c>
      <c r="D70">
        <v>2019</v>
      </c>
      <c r="E70">
        <v>89</v>
      </c>
      <c r="F70">
        <v>219</v>
      </c>
      <c r="G70" t="s">
        <v>60</v>
      </c>
      <c r="H70" s="3">
        <v>21</v>
      </c>
      <c r="I70" t="s">
        <v>107</v>
      </c>
      <c r="J70" t="s">
        <v>76</v>
      </c>
      <c r="K70">
        <v>4665186.0029999996</v>
      </c>
      <c r="L70">
        <v>360468.04300000001</v>
      </c>
      <c r="M70">
        <v>0.77300000000000002</v>
      </c>
    </row>
    <row r="71" spans="1:14" x14ac:dyDescent="0.25">
      <c r="A71" t="s">
        <v>74</v>
      </c>
      <c r="B71">
        <v>20</v>
      </c>
      <c r="C71" t="s">
        <v>75</v>
      </c>
      <c r="D71">
        <v>2019</v>
      </c>
      <c r="E71">
        <v>89</v>
      </c>
      <c r="F71">
        <v>220</v>
      </c>
      <c r="G71" t="s">
        <v>60</v>
      </c>
      <c r="H71" s="3">
        <v>21</v>
      </c>
      <c r="I71" t="s">
        <v>107</v>
      </c>
      <c r="J71" t="s">
        <v>76</v>
      </c>
      <c r="K71">
        <v>4665184.9249999998</v>
      </c>
      <c r="L71">
        <v>360469.22899999999</v>
      </c>
      <c r="M71">
        <v>0.40300000000000002</v>
      </c>
      <c r="N7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southriver20aug2019</vt:lpstr>
      <vt:lpstr>Line</vt:lpstr>
      <vt:lpstr>MU</vt:lpstr>
      <vt:lpstr>Poly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Wicks</dc:creator>
  <cp:lastModifiedBy>Ryan Wicks</cp:lastModifiedBy>
  <dcterms:created xsi:type="dcterms:W3CDTF">2025-03-20T16:42:31Z</dcterms:created>
  <dcterms:modified xsi:type="dcterms:W3CDTF">2025-05-11T18:45:32Z</dcterms:modified>
</cp:coreProperties>
</file>