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G:\.shortcut-targets-by-id\0B6-MI-dco6FLWkZmTDZ4MFhRU1k\7. SaltMUAS_share\In Situ Data Collection\Red River\Ground Truthing\NAD83 UTM19N\"/>
    </mc:Choice>
  </mc:AlternateContent>
  <xr:revisionPtr revIDLastSave="0" documentId="13_ncr:1_{02AF53D3-18FD-4B5E-98A2-F42D89E8997B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LabeledData_RR_14Aug2023" sheetId="1" r:id="rId1"/>
    <sheet name="Line" sheetId="2" r:id="rId2"/>
    <sheet name="MU" sheetId="3" r:id="rId3"/>
    <sheet name="Poly" sheetId="4" r:id="rId4"/>
  </sheets>
  <definedNames>
    <definedName name="_xlnm._FilterDatabase" localSheetId="0" hidden="1">LabeledData_RR_14Aug2023!$A$1:$N$75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5" i="1" l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H75" i="1"/>
  <c r="I75" i="1" s="1"/>
  <c r="H74" i="1"/>
  <c r="I74" i="1" s="1"/>
  <c r="H73" i="1"/>
  <c r="I73" i="1" s="1"/>
  <c r="H72" i="1"/>
  <c r="I72" i="1" s="1"/>
  <c r="H71" i="1"/>
  <c r="I71" i="1" s="1"/>
  <c r="H70" i="1"/>
  <c r="I70" i="1" s="1"/>
  <c r="H69" i="1"/>
  <c r="I69" i="1" s="1"/>
  <c r="H68" i="1"/>
  <c r="I68" i="1" s="1"/>
  <c r="H67" i="1"/>
  <c r="I67" i="1" s="1"/>
  <c r="H66" i="1"/>
  <c r="I66" i="1" s="1"/>
  <c r="H65" i="1"/>
  <c r="I65" i="1" s="1"/>
  <c r="H64" i="1"/>
  <c r="I64" i="1" s="1"/>
  <c r="H63" i="1"/>
  <c r="I63" i="1" s="1"/>
  <c r="H62" i="1"/>
  <c r="I62" i="1" s="1"/>
  <c r="H61" i="1"/>
  <c r="I61" i="1" s="1"/>
  <c r="H60" i="1"/>
  <c r="I60" i="1" s="1"/>
  <c r="H59" i="1"/>
  <c r="I59" i="1" s="1"/>
  <c r="H58" i="1"/>
  <c r="I58" i="1" s="1"/>
  <c r="H57" i="1"/>
  <c r="I57" i="1" s="1"/>
  <c r="H56" i="1"/>
  <c r="I56" i="1" s="1"/>
  <c r="H55" i="1"/>
  <c r="I55" i="1" s="1"/>
  <c r="H54" i="1"/>
  <c r="I54" i="1" s="1"/>
  <c r="H53" i="1"/>
  <c r="I53" i="1" s="1"/>
  <c r="H52" i="1"/>
  <c r="I52" i="1" s="1"/>
  <c r="H51" i="1"/>
  <c r="I51" i="1" s="1"/>
  <c r="H50" i="1"/>
  <c r="I50" i="1" s="1"/>
  <c r="H49" i="1"/>
  <c r="I49" i="1" s="1"/>
  <c r="H48" i="1"/>
  <c r="I48" i="1" s="1"/>
  <c r="H47" i="1"/>
  <c r="I47" i="1" s="1"/>
  <c r="H46" i="1"/>
  <c r="I46" i="1" s="1"/>
  <c r="H45" i="1"/>
  <c r="I45" i="1" s="1"/>
  <c r="H44" i="1"/>
  <c r="I44" i="1" s="1"/>
  <c r="H43" i="1"/>
  <c r="I43" i="1" s="1"/>
  <c r="H42" i="1"/>
  <c r="I42" i="1" s="1"/>
  <c r="H41" i="1"/>
  <c r="I41" i="1" s="1"/>
  <c r="H40" i="1"/>
  <c r="I40" i="1" s="1"/>
  <c r="H39" i="1"/>
  <c r="I39" i="1" s="1"/>
  <c r="H38" i="1"/>
  <c r="I38" i="1" s="1"/>
  <c r="H37" i="1"/>
  <c r="I37" i="1" s="1"/>
  <c r="H36" i="1"/>
  <c r="I36" i="1" s="1"/>
  <c r="H35" i="1"/>
  <c r="I35" i="1" s="1"/>
  <c r="H34" i="1"/>
  <c r="I34" i="1" s="1"/>
  <c r="H33" i="1"/>
  <c r="I33" i="1" s="1"/>
  <c r="H32" i="1"/>
  <c r="I32" i="1" s="1"/>
  <c r="H31" i="1"/>
  <c r="I31" i="1" s="1"/>
  <c r="H30" i="1"/>
  <c r="I30" i="1" s="1"/>
  <c r="H29" i="1"/>
  <c r="I29" i="1" s="1"/>
  <c r="H28" i="1"/>
  <c r="I28" i="1" s="1"/>
  <c r="H27" i="1"/>
  <c r="I27" i="1" s="1"/>
  <c r="H26" i="1"/>
  <c r="I26" i="1" s="1"/>
  <c r="H25" i="1"/>
  <c r="I25" i="1" s="1"/>
  <c r="H24" i="1"/>
  <c r="I24" i="1" s="1"/>
  <c r="H23" i="1"/>
  <c r="I23" i="1" s="1"/>
  <c r="H22" i="1"/>
  <c r="I22" i="1" s="1"/>
  <c r="H21" i="1"/>
  <c r="I21" i="1" s="1"/>
  <c r="H20" i="1"/>
  <c r="I20" i="1" s="1"/>
  <c r="H19" i="1"/>
  <c r="I19" i="1" s="1"/>
  <c r="H18" i="1"/>
  <c r="I18" i="1" s="1"/>
  <c r="H17" i="1"/>
  <c r="I17" i="1" s="1"/>
  <c r="H16" i="1"/>
  <c r="I16" i="1" s="1"/>
  <c r="H15" i="1"/>
  <c r="I15" i="1" s="1"/>
  <c r="H14" i="1"/>
  <c r="I14" i="1" s="1"/>
  <c r="H13" i="1"/>
  <c r="I13" i="1" s="1"/>
  <c r="H12" i="1"/>
  <c r="I12" i="1" s="1"/>
  <c r="H11" i="1"/>
  <c r="I11" i="1" s="1"/>
  <c r="H10" i="1"/>
  <c r="I10" i="1" s="1"/>
  <c r="H9" i="1"/>
  <c r="I9" i="1" s="1"/>
  <c r="H8" i="1"/>
  <c r="I8" i="1" s="1"/>
  <c r="H7" i="1"/>
  <c r="I7" i="1" s="1"/>
  <c r="H6" i="1"/>
  <c r="I6" i="1" s="1"/>
  <c r="H5" i="1"/>
  <c r="I5" i="1" s="1"/>
  <c r="H4" i="1"/>
  <c r="I4" i="1" s="1"/>
  <c r="H3" i="1"/>
  <c r="I3" i="1" s="1"/>
  <c r="H2" i="1"/>
  <c r="I2" i="1" s="1"/>
</calcChain>
</file>

<file path=xl/sharedStrings.xml><?xml version="1.0" encoding="utf-8"?>
<sst xmlns="http://schemas.openxmlformats.org/spreadsheetml/2006/main" count="837" uniqueCount="79">
  <si>
    <t>Subclass</t>
  </si>
  <si>
    <t>Northing</t>
  </si>
  <si>
    <t>Easting</t>
  </si>
  <si>
    <t>Notes</t>
  </si>
  <si>
    <t>01</t>
  </si>
  <si>
    <t>04</t>
  </si>
  <si>
    <t>02</t>
  </si>
  <si>
    <t>06</t>
  </si>
  <si>
    <t>03</t>
  </si>
  <si>
    <t>05</t>
  </si>
  <si>
    <t>10</t>
  </si>
  <si>
    <t>Sandy Soil</t>
  </si>
  <si>
    <t>07</t>
  </si>
  <si>
    <t>08</t>
  </si>
  <si>
    <t>09</t>
  </si>
  <si>
    <t>only D. spicata</t>
  </si>
  <si>
    <t>11</t>
  </si>
  <si>
    <t>12</t>
  </si>
  <si>
    <t>Polygon</t>
  </si>
  <si>
    <t>13</t>
  </si>
  <si>
    <t>14</t>
  </si>
  <si>
    <t>15</t>
  </si>
  <si>
    <t>16</t>
  </si>
  <si>
    <t>17</t>
  </si>
  <si>
    <t>18</t>
  </si>
  <si>
    <t>19</t>
  </si>
  <si>
    <t>20</t>
  </si>
  <si>
    <t>03b</t>
  </si>
  <si>
    <t>21</t>
  </si>
  <si>
    <t>redo</t>
  </si>
  <si>
    <t>22</t>
  </si>
  <si>
    <t>33</t>
  </si>
  <si>
    <t>23</t>
  </si>
  <si>
    <t>24</t>
  </si>
  <si>
    <t>Thin phragmites</t>
  </si>
  <si>
    <t>25</t>
  </si>
  <si>
    <t>26</t>
  </si>
  <si>
    <t>27</t>
  </si>
  <si>
    <t>28</t>
  </si>
  <si>
    <t>29</t>
  </si>
  <si>
    <t>01b</t>
  </si>
  <si>
    <t>Dead s. patens</t>
  </si>
  <si>
    <t>30</t>
  </si>
  <si>
    <t>31</t>
  </si>
  <si>
    <t>32</t>
  </si>
  <si>
    <t>Wrack under veg</t>
  </si>
  <si>
    <t>34</t>
  </si>
  <si>
    <t>35</t>
  </si>
  <si>
    <t>36</t>
  </si>
  <si>
    <t>37</t>
  </si>
  <si>
    <t>38</t>
  </si>
  <si>
    <t>Site</t>
  </si>
  <si>
    <t>Day</t>
  </si>
  <si>
    <t>Month</t>
  </si>
  <si>
    <t>Year</t>
  </si>
  <si>
    <t>PolygonNum</t>
  </si>
  <si>
    <t>PointNum</t>
  </si>
  <si>
    <t>Sub&amp;Att</t>
  </si>
  <si>
    <t>Attributes</t>
  </si>
  <si>
    <t>SampFormat</t>
  </si>
  <si>
    <t>Altitude</t>
  </si>
  <si>
    <t>RR</t>
  </si>
  <si>
    <t>Aug</t>
  </si>
  <si>
    <t>04a</t>
  </si>
  <si>
    <t>06a</t>
  </si>
  <si>
    <t>05a</t>
  </si>
  <si>
    <t>10a</t>
  </si>
  <si>
    <t>08a</t>
  </si>
  <si>
    <t>09a</t>
  </si>
  <si>
    <t>12a</t>
  </si>
  <si>
    <t>11a</t>
  </si>
  <si>
    <t>01a</t>
  </si>
  <si>
    <t>03a</t>
  </si>
  <si>
    <t>Poly</t>
  </si>
  <si>
    <t>a</t>
  </si>
  <si>
    <t>Line</t>
  </si>
  <si>
    <t>b</t>
  </si>
  <si>
    <t/>
  </si>
  <si>
    <t>MU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</si>
</sst>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2" fillId="0" borderId="0" xfId="0" applyNumberFormat="1" applyFont="1"/>
    <xf numFmtId="0" fontId="2" fillId="0" borderId="0" xfId="0" applyFon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1000"/>
  <sheetViews>
    <sheetView tabSelected="1" topLeftCell="A13" workbookViewId="0">
      <selection activeCell="H21" sqref="H21"/>
    </sheetView>
  </sheetViews>
  <sheetFormatPr defaultColWidth="12.54296875" defaultRowHeight="15.75" customHeight="1" x14ac:dyDescent="0.25"/>
  <sheetData>
    <row r="1" spans="1:14" ht="15.75" customHeight="1" x14ac:dyDescent="0.25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  <c r="H1" t="s">
        <v>0</v>
      </c>
      <c r="I1" t="s">
        <v>58</v>
      </c>
      <c r="J1" t="s">
        <v>59</v>
      </c>
      <c r="K1" t="s">
        <v>1</v>
      </c>
      <c r="L1" t="s">
        <v>2</v>
      </c>
      <c r="M1" t="s">
        <v>60</v>
      </c>
      <c r="N1" t="s">
        <v>3</v>
      </c>
    </row>
    <row r="2" spans="1:14" ht="15.75" customHeight="1" x14ac:dyDescent="0.25">
      <c r="A2" t="s">
        <v>61</v>
      </c>
      <c r="B2">
        <v>14</v>
      </c>
      <c r="C2" t="s">
        <v>62</v>
      </c>
      <c r="D2">
        <v>2023</v>
      </c>
      <c r="E2" s="4">
        <v>1</v>
      </c>
      <c r="F2" s="1">
        <v>1</v>
      </c>
      <c r="G2" t="s">
        <v>63</v>
      </c>
      <c r="H2" t="str">
        <f t="shared" ref="H2:H33" si="0">LEFT(G2,2)</f>
        <v>04</v>
      </c>
      <c r="I2" t="str">
        <f t="shared" ref="I2:I33" si="1">RIGHT(G2,LEN(G2)-LEN(H2))</f>
        <v>a</v>
      </c>
      <c r="J2" t="str">
        <f t="shared" ref="J2:J33" si="2">IF(OR((E2=E3),(E2=E1)),"Line","MU")</f>
        <v>MU</v>
      </c>
      <c r="K2" s="1">
        <v>4613568.2659999998</v>
      </c>
      <c r="L2" s="1">
        <v>413696.45699999999</v>
      </c>
      <c r="M2" s="1">
        <v>0.53300000000000003</v>
      </c>
    </row>
    <row r="3" spans="1:14" ht="15.75" customHeight="1" x14ac:dyDescent="0.25">
      <c r="A3" t="s">
        <v>61</v>
      </c>
      <c r="B3">
        <v>14</v>
      </c>
      <c r="C3" t="s">
        <v>62</v>
      </c>
      <c r="D3">
        <v>2023</v>
      </c>
      <c r="E3" s="4">
        <v>2</v>
      </c>
      <c r="F3" s="1">
        <v>2</v>
      </c>
      <c r="G3" t="s">
        <v>64</v>
      </c>
      <c r="H3" t="str">
        <f t="shared" si="0"/>
        <v>06</v>
      </c>
      <c r="I3" t="str">
        <f t="shared" si="1"/>
        <v>a</v>
      </c>
      <c r="J3" t="str">
        <f t="shared" si="2"/>
        <v>Line</v>
      </c>
      <c r="K3" s="1">
        <v>4613518.6229999997</v>
      </c>
      <c r="L3" s="1">
        <v>413784.098</v>
      </c>
      <c r="M3" s="1">
        <v>0.6</v>
      </c>
    </row>
    <row r="4" spans="1:14" ht="15.75" customHeight="1" x14ac:dyDescent="0.25">
      <c r="A4" t="s">
        <v>61</v>
      </c>
      <c r="B4">
        <v>14</v>
      </c>
      <c r="C4" t="s">
        <v>62</v>
      </c>
      <c r="D4">
        <v>2023</v>
      </c>
      <c r="E4" s="4">
        <v>2</v>
      </c>
      <c r="F4" s="1">
        <v>3</v>
      </c>
      <c r="G4" t="s">
        <v>64</v>
      </c>
      <c r="H4" t="str">
        <f t="shared" si="0"/>
        <v>06</v>
      </c>
      <c r="I4" t="str">
        <f t="shared" si="1"/>
        <v>a</v>
      </c>
      <c r="J4" t="str">
        <f t="shared" si="2"/>
        <v>Line</v>
      </c>
      <c r="K4" s="1">
        <v>4613520.767</v>
      </c>
      <c r="L4" s="1">
        <v>413789.29700000002</v>
      </c>
      <c r="M4" s="1">
        <v>0.67700000000000005</v>
      </c>
    </row>
    <row r="5" spans="1:14" ht="15.75" customHeight="1" x14ac:dyDescent="0.25">
      <c r="A5" t="s">
        <v>61</v>
      </c>
      <c r="B5">
        <v>14</v>
      </c>
      <c r="C5" t="s">
        <v>62</v>
      </c>
      <c r="D5">
        <v>2023</v>
      </c>
      <c r="E5" s="4">
        <v>3</v>
      </c>
      <c r="F5" s="1">
        <v>4</v>
      </c>
      <c r="G5" t="s">
        <v>65</v>
      </c>
      <c r="H5" t="str">
        <f t="shared" si="0"/>
        <v>05</v>
      </c>
      <c r="I5" t="str">
        <f t="shared" si="1"/>
        <v>a</v>
      </c>
      <c r="J5" t="str">
        <f t="shared" si="2"/>
        <v>Line</v>
      </c>
      <c r="K5" s="1">
        <v>4613519.4220000003</v>
      </c>
      <c r="L5" s="1">
        <v>413771.076</v>
      </c>
      <c r="M5" s="1">
        <v>0.53800000000000003</v>
      </c>
    </row>
    <row r="6" spans="1:14" ht="15.75" customHeight="1" x14ac:dyDescent="0.25">
      <c r="A6" t="s">
        <v>61</v>
      </c>
      <c r="B6">
        <v>14</v>
      </c>
      <c r="C6" t="s">
        <v>62</v>
      </c>
      <c r="D6">
        <v>2023</v>
      </c>
      <c r="E6" s="4">
        <v>3</v>
      </c>
      <c r="F6" s="1">
        <v>5</v>
      </c>
      <c r="G6" t="s">
        <v>65</v>
      </c>
      <c r="H6" t="str">
        <f t="shared" si="0"/>
        <v>05</v>
      </c>
      <c r="I6" t="str">
        <f t="shared" si="1"/>
        <v>a</v>
      </c>
      <c r="J6" t="str">
        <f t="shared" si="2"/>
        <v>Line</v>
      </c>
      <c r="K6" s="1">
        <v>4613522.8090000004</v>
      </c>
      <c r="L6" s="1">
        <v>413768.64399999997</v>
      </c>
      <c r="M6" s="1">
        <v>0.56999999999999995</v>
      </c>
    </row>
    <row r="7" spans="1:14" ht="15.75" customHeight="1" x14ac:dyDescent="0.25">
      <c r="A7" t="s">
        <v>61</v>
      </c>
      <c r="B7">
        <v>14</v>
      </c>
      <c r="C7" t="s">
        <v>62</v>
      </c>
      <c r="D7">
        <v>2023</v>
      </c>
      <c r="E7" s="4">
        <v>4</v>
      </c>
      <c r="F7" s="1">
        <v>6</v>
      </c>
      <c r="G7" t="s">
        <v>65</v>
      </c>
      <c r="H7" t="str">
        <f t="shared" si="0"/>
        <v>05</v>
      </c>
      <c r="I7" t="str">
        <f t="shared" si="1"/>
        <v>a</v>
      </c>
      <c r="J7" t="str">
        <f t="shared" si="2"/>
        <v>Line</v>
      </c>
      <c r="K7" s="1">
        <v>4613522.2520000003</v>
      </c>
      <c r="L7" s="1">
        <v>413760.908</v>
      </c>
      <c r="M7" s="1">
        <v>0.55500000000000005</v>
      </c>
    </row>
    <row r="8" spans="1:14" ht="15.75" customHeight="1" x14ac:dyDescent="0.25">
      <c r="A8" t="s">
        <v>61</v>
      </c>
      <c r="B8">
        <v>14</v>
      </c>
      <c r="C8" t="s">
        <v>62</v>
      </c>
      <c r="D8">
        <v>2023</v>
      </c>
      <c r="E8" s="4">
        <v>4</v>
      </c>
      <c r="F8" s="1">
        <v>7</v>
      </c>
      <c r="G8" t="s">
        <v>65</v>
      </c>
      <c r="H8" t="str">
        <f t="shared" si="0"/>
        <v>05</v>
      </c>
      <c r="I8" t="str">
        <f t="shared" si="1"/>
        <v>a</v>
      </c>
      <c r="J8" t="str">
        <f t="shared" si="2"/>
        <v>Line</v>
      </c>
      <c r="K8" s="1">
        <v>4613520.6859999998</v>
      </c>
      <c r="L8" s="1">
        <v>413756.538</v>
      </c>
      <c r="M8" s="1">
        <v>0.55700000000000005</v>
      </c>
    </row>
    <row r="9" spans="1:14" ht="15.75" customHeight="1" x14ac:dyDescent="0.25">
      <c r="A9" t="s">
        <v>61</v>
      </c>
      <c r="B9">
        <v>14</v>
      </c>
      <c r="C9" t="s">
        <v>62</v>
      </c>
      <c r="D9">
        <v>2023</v>
      </c>
      <c r="E9" s="4">
        <v>5</v>
      </c>
      <c r="F9" s="1">
        <v>8</v>
      </c>
      <c r="G9" t="s">
        <v>64</v>
      </c>
      <c r="H9" t="str">
        <f t="shared" si="0"/>
        <v>06</v>
      </c>
      <c r="I9" t="str">
        <f t="shared" si="1"/>
        <v>a</v>
      </c>
      <c r="J9" t="str">
        <f t="shared" si="2"/>
        <v>Line</v>
      </c>
      <c r="K9" s="1">
        <v>4613524.4939999999</v>
      </c>
      <c r="L9" s="1">
        <v>413627.73100000003</v>
      </c>
      <c r="M9" s="1">
        <v>0.90800000000000003</v>
      </c>
    </row>
    <row r="10" spans="1:14" ht="15.75" customHeight="1" x14ac:dyDescent="0.25">
      <c r="A10" t="s">
        <v>61</v>
      </c>
      <c r="B10">
        <v>14</v>
      </c>
      <c r="C10" t="s">
        <v>62</v>
      </c>
      <c r="D10">
        <v>2023</v>
      </c>
      <c r="E10" s="4">
        <v>5</v>
      </c>
      <c r="F10" s="1">
        <v>9</v>
      </c>
      <c r="G10" t="s">
        <v>64</v>
      </c>
      <c r="H10" t="str">
        <f t="shared" si="0"/>
        <v>06</v>
      </c>
      <c r="I10" t="str">
        <f t="shared" si="1"/>
        <v>a</v>
      </c>
      <c r="J10" t="str">
        <f t="shared" si="2"/>
        <v>Line</v>
      </c>
      <c r="K10" s="1">
        <v>4613523.0659999996</v>
      </c>
      <c r="L10" s="1">
        <v>413631.79800000001</v>
      </c>
      <c r="M10" s="1">
        <v>0.89700000000000002</v>
      </c>
    </row>
    <row r="11" spans="1:14" ht="15.75" customHeight="1" x14ac:dyDescent="0.25">
      <c r="A11" t="s">
        <v>61</v>
      </c>
      <c r="B11">
        <v>14</v>
      </c>
      <c r="C11" t="s">
        <v>62</v>
      </c>
      <c r="D11">
        <v>2023</v>
      </c>
      <c r="E11" s="4">
        <v>6</v>
      </c>
      <c r="F11" s="1">
        <v>10</v>
      </c>
      <c r="G11" t="s">
        <v>66</v>
      </c>
      <c r="H11" t="str">
        <f t="shared" si="0"/>
        <v>10</v>
      </c>
      <c r="I11" t="str">
        <f t="shared" si="1"/>
        <v>a</v>
      </c>
      <c r="J11" t="str">
        <f t="shared" si="2"/>
        <v>Line</v>
      </c>
      <c r="K11" s="1">
        <v>4613464.4570000004</v>
      </c>
      <c r="L11" s="1">
        <v>413397.21799999999</v>
      </c>
      <c r="M11" s="1">
        <v>0.68799999999999994</v>
      </c>
      <c r="N11" s="1" t="s">
        <v>11</v>
      </c>
    </row>
    <row r="12" spans="1:14" ht="15.75" customHeight="1" x14ac:dyDescent="0.25">
      <c r="A12" t="s">
        <v>61</v>
      </c>
      <c r="B12">
        <v>14</v>
      </c>
      <c r="C12" t="s">
        <v>62</v>
      </c>
      <c r="D12">
        <v>2023</v>
      </c>
      <c r="E12" s="4">
        <v>6</v>
      </c>
      <c r="F12" s="1">
        <v>11</v>
      </c>
      <c r="G12" t="s">
        <v>66</v>
      </c>
      <c r="H12" t="str">
        <f t="shared" si="0"/>
        <v>10</v>
      </c>
      <c r="I12" t="str">
        <f t="shared" si="1"/>
        <v>a</v>
      </c>
      <c r="J12" t="str">
        <f t="shared" si="2"/>
        <v>Line</v>
      </c>
      <c r="K12" s="1">
        <v>4613465.0719999997</v>
      </c>
      <c r="L12" s="1">
        <v>413395.50300000003</v>
      </c>
      <c r="M12" s="1">
        <v>0.69099999999999995</v>
      </c>
      <c r="N12" s="1" t="s">
        <v>11</v>
      </c>
    </row>
    <row r="13" spans="1:14" ht="15.75" customHeight="1" x14ac:dyDescent="0.25">
      <c r="A13" t="s">
        <v>61</v>
      </c>
      <c r="B13">
        <v>14</v>
      </c>
      <c r="C13" t="s">
        <v>62</v>
      </c>
      <c r="D13">
        <v>2023</v>
      </c>
      <c r="E13" s="4">
        <v>7</v>
      </c>
      <c r="F13" s="1">
        <v>12</v>
      </c>
      <c r="G13" t="s">
        <v>64</v>
      </c>
      <c r="H13" t="str">
        <f t="shared" si="0"/>
        <v>06</v>
      </c>
      <c r="I13" t="str">
        <f t="shared" si="1"/>
        <v>a</v>
      </c>
      <c r="J13" t="str">
        <f t="shared" si="2"/>
        <v>Line</v>
      </c>
      <c r="K13" s="1">
        <v>4613473.4610000001</v>
      </c>
      <c r="L13" s="1">
        <v>413370.42300000001</v>
      </c>
      <c r="M13" s="1">
        <v>0.63100000000000001</v>
      </c>
    </row>
    <row r="14" spans="1:14" ht="15.75" customHeight="1" x14ac:dyDescent="0.25">
      <c r="A14" t="s">
        <v>61</v>
      </c>
      <c r="B14">
        <v>14</v>
      </c>
      <c r="C14" t="s">
        <v>62</v>
      </c>
      <c r="D14">
        <v>2023</v>
      </c>
      <c r="E14" s="4">
        <v>7</v>
      </c>
      <c r="F14" s="1">
        <v>13</v>
      </c>
      <c r="G14" t="s">
        <v>64</v>
      </c>
      <c r="H14" t="str">
        <f t="shared" si="0"/>
        <v>06</v>
      </c>
      <c r="I14" t="str">
        <f t="shared" si="1"/>
        <v>a</v>
      </c>
      <c r="J14" t="str">
        <f t="shared" si="2"/>
        <v>Line</v>
      </c>
      <c r="K14" s="1">
        <v>4613474.9289999995</v>
      </c>
      <c r="L14" s="1">
        <v>413375.10600000003</v>
      </c>
      <c r="M14" s="1">
        <v>0.64500000000000002</v>
      </c>
    </row>
    <row r="15" spans="1:14" ht="15.75" customHeight="1" x14ac:dyDescent="0.25">
      <c r="A15" t="s">
        <v>61</v>
      </c>
      <c r="B15">
        <v>14</v>
      </c>
      <c r="C15" t="s">
        <v>62</v>
      </c>
      <c r="D15">
        <v>2023</v>
      </c>
      <c r="E15" s="4">
        <v>8</v>
      </c>
      <c r="F15" s="1">
        <v>14</v>
      </c>
      <c r="G15" t="s">
        <v>64</v>
      </c>
      <c r="H15" t="str">
        <f t="shared" si="0"/>
        <v>06</v>
      </c>
      <c r="I15" t="str">
        <f t="shared" si="1"/>
        <v>a</v>
      </c>
      <c r="J15" t="str">
        <f t="shared" si="2"/>
        <v>Line</v>
      </c>
      <c r="K15" s="1">
        <v>4613449.8389999997</v>
      </c>
      <c r="L15" s="1">
        <v>413305.26299999998</v>
      </c>
      <c r="M15" s="1">
        <v>0.55800000000000005</v>
      </c>
    </row>
    <row r="16" spans="1:14" ht="15.75" customHeight="1" x14ac:dyDescent="0.25">
      <c r="A16" t="s">
        <v>61</v>
      </c>
      <c r="B16">
        <v>14</v>
      </c>
      <c r="C16" t="s">
        <v>62</v>
      </c>
      <c r="D16">
        <v>2023</v>
      </c>
      <c r="E16" s="4">
        <v>8</v>
      </c>
      <c r="F16" s="1">
        <v>15</v>
      </c>
      <c r="G16" t="s">
        <v>64</v>
      </c>
      <c r="H16" t="str">
        <f t="shared" si="0"/>
        <v>06</v>
      </c>
      <c r="I16" t="str">
        <f t="shared" si="1"/>
        <v>a</v>
      </c>
      <c r="J16" t="str">
        <f t="shared" si="2"/>
        <v>Line</v>
      </c>
      <c r="K16" s="1">
        <v>4613445.6909999996</v>
      </c>
      <c r="L16" s="1">
        <v>413305.45699999999</v>
      </c>
      <c r="M16" s="1">
        <v>0.55600000000000005</v>
      </c>
    </row>
    <row r="17" spans="1:14" ht="15.75" customHeight="1" x14ac:dyDescent="0.25">
      <c r="A17" t="s">
        <v>61</v>
      </c>
      <c r="B17">
        <v>14</v>
      </c>
      <c r="C17" t="s">
        <v>62</v>
      </c>
      <c r="D17">
        <v>2023</v>
      </c>
      <c r="E17" s="4">
        <v>9</v>
      </c>
      <c r="F17" s="1">
        <v>16</v>
      </c>
      <c r="G17" t="s">
        <v>64</v>
      </c>
      <c r="H17" t="str">
        <f t="shared" si="0"/>
        <v>06</v>
      </c>
      <c r="I17" t="str">
        <f t="shared" si="1"/>
        <v>a</v>
      </c>
      <c r="J17" t="str">
        <f t="shared" si="2"/>
        <v>Line</v>
      </c>
      <c r="K17" s="1">
        <v>4613494.7769999998</v>
      </c>
      <c r="L17" s="1">
        <v>413302.19400000002</v>
      </c>
      <c r="M17" s="1">
        <v>0.60799999999999998</v>
      </c>
      <c r="N17" s="1" t="s">
        <v>15</v>
      </c>
    </row>
    <row r="18" spans="1:14" ht="15.75" customHeight="1" x14ac:dyDescent="0.25">
      <c r="A18" t="s">
        <v>61</v>
      </c>
      <c r="B18">
        <v>14</v>
      </c>
      <c r="C18" t="s">
        <v>62</v>
      </c>
      <c r="D18">
        <v>2023</v>
      </c>
      <c r="E18" s="4">
        <v>9</v>
      </c>
      <c r="F18" s="1">
        <v>17</v>
      </c>
      <c r="G18" t="s">
        <v>64</v>
      </c>
      <c r="H18" t="str">
        <f t="shared" si="0"/>
        <v>06</v>
      </c>
      <c r="I18" t="str">
        <f t="shared" si="1"/>
        <v>a</v>
      </c>
      <c r="J18" t="str">
        <f t="shared" si="2"/>
        <v>Line</v>
      </c>
      <c r="K18" s="1">
        <v>4613495.8969999999</v>
      </c>
      <c r="L18" s="1">
        <v>413296.48700000002</v>
      </c>
      <c r="M18" s="1">
        <v>0.621</v>
      </c>
      <c r="N18" s="1" t="s">
        <v>15</v>
      </c>
    </row>
    <row r="19" spans="1:14" ht="15.75" customHeight="1" x14ac:dyDescent="0.25">
      <c r="A19" t="s">
        <v>61</v>
      </c>
      <c r="B19">
        <v>14</v>
      </c>
      <c r="C19" t="s">
        <v>62</v>
      </c>
      <c r="D19">
        <v>2023</v>
      </c>
      <c r="E19" s="4">
        <v>10</v>
      </c>
      <c r="F19" s="1">
        <v>18</v>
      </c>
      <c r="G19" t="s">
        <v>64</v>
      </c>
      <c r="H19" t="str">
        <f t="shared" si="0"/>
        <v>06</v>
      </c>
      <c r="I19" t="str">
        <f t="shared" si="1"/>
        <v>a</v>
      </c>
      <c r="J19" t="str">
        <f t="shared" si="2"/>
        <v>Line</v>
      </c>
      <c r="K19" s="1">
        <v>4613500.3820000002</v>
      </c>
      <c r="L19" s="1">
        <v>413286.26299999998</v>
      </c>
      <c r="M19" s="1">
        <v>0.54900000000000004</v>
      </c>
      <c r="N19" s="1" t="s">
        <v>15</v>
      </c>
    </row>
    <row r="20" spans="1:14" ht="15.75" customHeight="1" x14ac:dyDescent="0.25">
      <c r="A20" t="s">
        <v>61</v>
      </c>
      <c r="B20">
        <v>14</v>
      </c>
      <c r="C20" t="s">
        <v>62</v>
      </c>
      <c r="D20">
        <v>2023</v>
      </c>
      <c r="E20" s="4">
        <v>10</v>
      </c>
      <c r="F20" s="1">
        <v>19</v>
      </c>
      <c r="G20" t="s">
        <v>64</v>
      </c>
      <c r="H20" t="str">
        <f t="shared" si="0"/>
        <v>06</v>
      </c>
      <c r="I20" t="str">
        <f t="shared" si="1"/>
        <v>a</v>
      </c>
      <c r="J20" t="str">
        <f t="shared" si="2"/>
        <v>Line</v>
      </c>
      <c r="K20" s="1">
        <v>4613496.7240000004</v>
      </c>
      <c r="L20" s="1">
        <v>413284.913</v>
      </c>
      <c r="M20" s="1">
        <v>0.56899999999999995</v>
      </c>
      <c r="N20" s="1" t="s">
        <v>15</v>
      </c>
    </row>
    <row r="21" spans="1:14" ht="15.75" customHeight="1" x14ac:dyDescent="0.25">
      <c r="A21" t="s">
        <v>61</v>
      </c>
      <c r="B21">
        <v>14</v>
      </c>
      <c r="C21" t="s">
        <v>62</v>
      </c>
      <c r="D21">
        <v>2023</v>
      </c>
      <c r="E21" s="4">
        <v>11</v>
      </c>
      <c r="F21" s="1">
        <v>20</v>
      </c>
      <c r="G21" t="s">
        <v>67</v>
      </c>
      <c r="H21" t="str">
        <f t="shared" si="0"/>
        <v>08</v>
      </c>
      <c r="I21" t="str">
        <f t="shared" si="1"/>
        <v>a</v>
      </c>
      <c r="J21" t="str">
        <f t="shared" si="2"/>
        <v>Line</v>
      </c>
      <c r="K21" s="1">
        <v>4613524.3870000001</v>
      </c>
      <c r="L21" s="1">
        <v>413281.62800000003</v>
      </c>
      <c r="M21" s="1">
        <v>0.65200000000000002</v>
      </c>
    </row>
    <row r="22" spans="1:14" ht="15.75" customHeight="1" x14ac:dyDescent="0.25">
      <c r="A22" t="s">
        <v>61</v>
      </c>
      <c r="B22">
        <v>14</v>
      </c>
      <c r="C22" t="s">
        <v>62</v>
      </c>
      <c r="D22">
        <v>2023</v>
      </c>
      <c r="E22" s="4">
        <v>11</v>
      </c>
      <c r="F22" s="1">
        <v>21</v>
      </c>
      <c r="G22" t="s">
        <v>67</v>
      </c>
      <c r="H22" t="str">
        <f t="shared" si="0"/>
        <v>08</v>
      </c>
      <c r="I22" t="str">
        <f t="shared" si="1"/>
        <v>a</v>
      </c>
      <c r="J22" t="str">
        <f t="shared" si="2"/>
        <v>Line</v>
      </c>
      <c r="K22" s="1">
        <v>4613519.0199999996</v>
      </c>
      <c r="L22" s="1">
        <v>413279.38900000002</v>
      </c>
      <c r="M22" s="1">
        <v>0.624</v>
      </c>
    </row>
    <row r="23" spans="1:14" ht="15.75" customHeight="1" x14ac:dyDescent="0.25">
      <c r="A23" t="s">
        <v>61</v>
      </c>
      <c r="B23">
        <v>14</v>
      </c>
      <c r="C23" t="s">
        <v>62</v>
      </c>
      <c r="D23">
        <v>2023</v>
      </c>
      <c r="E23" s="4">
        <v>12</v>
      </c>
      <c r="F23" s="1">
        <v>22</v>
      </c>
      <c r="G23" t="s">
        <v>68</v>
      </c>
      <c r="H23" t="str">
        <f t="shared" si="0"/>
        <v>09</v>
      </c>
      <c r="I23" t="str">
        <f t="shared" si="1"/>
        <v>a</v>
      </c>
      <c r="J23" t="s">
        <v>73</v>
      </c>
      <c r="K23" s="1">
        <v>4613520.9730000002</v>
      </c>
      <c r="L23" s="1">
        <v>413288.435</v>
      </c>
      <c r="M23" s="1">
        <v>0.73399999999999999</v>
      </c>
      <c r="N23" s="1" t="s">
        <v>18</v>
      </c>
    </row>
    <row r="24" spans="1:14" ht="15.75" customHeight="1" x14ac:dyDescent="0.25">
      <c r="A24" t="s">
        <v>61</v>
      </c>
      <c r="B24">
        <v>14</v>
      </c>
      <c r="C24" t="s">
        <v>62</v>
      </c>
      <c r="D24">
        <v>2023</v>
      </c>
      <c r="E24" s="4">
        <v>12</v>
      </c>
      <c r="F24" s="1">
        <v>23</v>
      </c>
      <c r="G24" t="s">
        <v>68</v>
      </c>
      <c r="H24" t="str">
        <f t="shared" si="0"/>
        <v>09</v>
      </c>
      <c r="I24" t="str">
        <f t="shared" si="1"/>
        <v>a</v>
      </c>
      <c r="J24" t="s">
        <v>73</v>
      </c>
      <c r="K24" s="1">
        <v>4613516.858</v>
      </c>
      <c r="L24" s="1">
        <v>413289.52799999999</v>
      </c>
      <c r="M24" s="1">
        <v>0.71499999999999997</v>
      </c>
      <c r="N24" s="1" t="s">
        <v>18</v>
      </c>
    </row>
    <row r="25" spans="1:14" ht="15.75" customHeight="1" x14ac:dyDescent="0.25">
      <c r="A25" t="s">
        <v>61</v>
      </c>
      <c r="B25">
        <v>14</v>
      </c>
      <c r="C25" t="s">
        <v>62</v>
      </c>
      <c r="D25">
        <v>2023</v>
      </c>
      <c r="E25" s="4">
        <v>12</v>
      </c>
      <c r="F25" s="1">
        <v>24</v>
      </c>
      <c r="G25" t="s">
        <v>68</v>
      </c>
      <c r="H25" t="str">
        <f t="shared" si="0"/>
        <v>09</v>
      </c>
      <c r="I25" t="str">
        <f t="shared" si="1"/>
        <v>a</v>
      </c>
      <c r="J25" t="s">
        <v>73</v>
      </c>
      <c r="K25" s="1">
        <v>4613522.37</v>
      </c>
      <c r="L25" s="1">
        <v>413303.50400000002</v>
      </c>
      <c r="M25" s="1">
        <v>0.72599999999999998</v>
      </c>
      <c r="N25" s="1" t="s">
        <v>18</v>
      </c>
    </row>
    <row r="26" spans="1:14" ht="15.75" customHeight="1" x14ac:dyDescent="0.25">
      <c r="A26" t="s">
        <v>61</v>
      </c>
      <c r="B26">
        <v>14</v>
      </c>
      <c r="C26" t="s">
        <v>62</v>
      </c>
      <c r="D26">
        <v>2023</v>
      </c>
      <c r="E26" s="4">
        <v>12</v>
      </c>
      <c r="F26" s="1">
        <v>25</v>
      </c>
      <c r="G26" t="s">
        <v>68</v>
      </c>
      <c r="H26" t="str">
        <f t="shared" si="0"/>
        <v>09</v>
      </c>
      <c r="I26" t="str">
        <f t="shared" si="1"/>
        <v>a</v>
      </c>
      <c r="J26" t="s">
        <v>73</v>
      </c>
      <c r="K26" s="1">
        <v>4613530.5290000001</v>
      </c>
      <c r="L26" s="1">
        <v>413299.43</v>
      </c>
      <c r="M26" s="1">
        <v>0.80500000000000005</v>
      </c>
      <c r="N26" s="1" t="s">
        <v>18</v>
      </c>
    </row>
    <row r="27" spans="1:14" ht="15.75" customHeight="1" x14ac:dyDescent="0.25">
      <c r="A27" t="s">
        <v>61</v>
      </c>
      <c r="B27">
        <v>14</v>
      </c>
      <c r="C27" t="s">
        <v>62</v>
      </c>
      <c r="D27">
        <v>2023</v>
      </c>
      <c r="E27" s="4">
        <v>12</v>
      </c>
      <c r="F27" s="1">
        <v>26</v>
      </c>
      <c r="G27" t="s">
        <v>68</v>
      </c>
      <c r="H27" t="str">
        <f t="shared" si="0"/>
        <v>09</v>
      </c>
      <c r="I27" t="str">
        <f t="shared" si="1"/>
        <v>a</v>
      </c>
      <c r="J27" t="s">
        <v>73</v>
      </c>
      <c r="K27" s="1">
        <v>4613524.3689999999</v>
      </c>
      <c r="L27" s="1">
        <v>413289.22399999999</v>
      </c>
      <c r="M27" s="1">
        <v>0.74199999999999999</v>
      </c>
      <c r="N27" s="1" t="s">
        <v>18</v>
      </c>
    </row>
    <row r="28" spans="1:14" ht="15.75" customHeight="1" x14ac:dyDescent="0.25">
      <c r="A28" t="s">
        <v>61</v>
      </c>
      <c r="B28">
        <v>14</v>
      </c>
      <c r="C28" t="s">
        <v>62</v>
      </c>
      <c r="D28">
        <v>2023</v>
      </c>
      <c r="E28" s="4">
        <v>13</v>
      </c>
      <c r="F28" s="1">
        <v>27</v>
      </c>
      <c r="G28" t="s">
        <v>63</v>
      </c>
      <c r="H28" t="str">
        <f t="shared" si="0"/>
        <v>04</v>
      </c>
      <c r="I28" t="str">
        <f t="shared" si="1"/>
        <v>a</v>
      </c>
      <c r="J28" t="str">
        <f t="shared" si="2"/>
        <v>Line</v>
      </c>
      <c r="K28" s="1">
        <v>4613518.7570000002</v>
      </c>
      <c r="L28" s="1">
        <v>413256.99</v>
      </c>
      <c r="M28" s="1">
        <v>0.61799999999999999</v>
      </c>
    </row>
    <row r="29" spans="1:14" ht="15.75" customHeight="1" x14ac:dyDescent="0.25">
      <c r="A29" t="s">
        <v>61</v>
      </c>
      <c r="B29">
        <v>14</v>
      </c>
      <c r="C29" t="s">
        <v>62</v>
      </c>
      <c r="D29">
        <v>2023</v>
      </c>
      <c r="E29" s="4">
        <v>13</v>
      </c>
      <c r="F29" s="1">
        <v>28</v>
      </c>
      <c r="G29" t="s">
        <v>63</v>
      </c>
      <c r="H29" t="str">
        <f t="shared" si="0"/>
        <v>04</v>
      </c>
      <c r="I29" t="str">
        <f t="shared" si="1"/>
        <v>a</v>
      </c>
      <c r="J29" t="str">
        <f t="shared" si="2"/>
        <v>Line</v>
      </c>
      <c r="K29" s="1">
        <v>4613521.477</v>
      </c>
      <c r="L29" s="1">
        <v>413255.83899999998</v>
      </c>
      <c r="M29" s="1">
        <v>0.59199999999999997</v>
      </c>
    </row>
    <row r="30" spans="1:14" ht="15.75" customHeight="1" x14ac:dyDescent="0.25">
      <c r="A30" t="s">
        <v>61</v>
      </c>
      <c r="B30">
        <v>14</v>
      </c>
      <c r="C30" t="s">
        <v>62</v>
      </c>
      <c r="D30">
        <v>2023</v>
      </c>
      <c r="E30" s="4">
        <v>14</v>
      </c>
      <c r="F30" s="1">
        <v>29</v>
      </c>
      <c r="G30" t="s">
        <v>63</v>
      </c>
      <c r="H30" t="str">
        <f t="shared" si="0"/>
        <v>04</v>
      </c>
      <c r="I30" t="str">
        <f t="shared" si="1"/>
        <v>a</v>
      </c>
      <c r="J30" t="str">
        <f t="shared" si="2"/>
        <v>Line</v>
      </c>
      <c r="K30" s="1">
        <v>4613526.17</v>
      </c>
      <c r="L30" s="1">
        <v>413253.60700000002</v>
      </c>
      <c r="M30" s="1">
        <v>0.65100000000000002</v>
      </c>
    </row>
    <row r="31" spans="1:14" ht="15.75" customHeight="1" x14ac:dyDescent="0.25">
      <c r="A31" t="s">
        <v>61</v>
      </c>
      <c r="B31">
        <v>14</v>
      </c>
      <c r="C31" t="s">
        <v>62</v>
      </c>
      <c r="D31">
        <v>2023</v>
      </c>
      <c r="E31" s="4">
        <v>14</v>
      </c>
      <c r="F31" s="1">
        <v>30</v>
      </c>
      <c r="G31" t="s">
        <v>63</v>
      </c>
      <c r="H31" t="str">
        <f t="shared" si="0"/>
        <v>04</v>
      </c>
      <c r="I31" t="str">
        <f t="shared" si="1"/>
        <v>a</v>
      </c>
      <c r="J31" t="str">
        <f t="shared" si="2"/>
        <v>Line</v>
      </c>
      <c r="K31" s="1">
        <v>4613525.9939999999</v>
      </c>
      <c r="L31" s="1">
        <v>413251.038</v>
      </c>
      <c r="M31" s="1">
        <v>0.64200000000000002</v>
      </c>
    </row>
    <row r="32" spans="1:14" ht="15.75" customHeight="1" x14ac:dyDescent="0.25">
      <c r="A32" t="s">
        <v>61</v>
      </c>
      <c r="B32">
        <v>14</v>
      </c>
      <c r="C32" t="s">
        <v>62</v>
      </c>
      <c r="D32">
        <v>2023</v>
      </c>
      <c r="E32" s="4">
        <v>15</v>
      </c>
      <c r="F32" s="1">
        <v>31</v>
      </c>
      <c r="G32" t="s">
        <v>66</v>
      </c>
      <c r="H32" t="str">
        <f t="shared" si="0"/>
        <v>10</v>
      </c>
      <c r="I32" t="str">
        <f t="shared" si="1"/>
        <v>a</v>
      </c>
      <c r="J32" t="str">
        <f t="shared" si="2"/>
        <v>MU</v>
      </c>
      <c r="K32" s="1">
        <v>4613527.21</v>
      </c>
      <c r="L32" s="1">
        <v>413234.58100000001</v>
      </c>
      <c r="M32" s="1">
        <v>0.629</v>
      </c>
    </row>
    <row r="33" spans="1:14" ht="15.75" customHeight="1" x14ac:dyDescent="0.25">
      <c r="A33" t="s">
        <v>61</v>
      </c>
      <c r="B33">
        <v>14</v>
      </c>
      <c r="C33" t="s">
        <v>62</v>
      </c>
      <c r="D33">
        <v>2023</v>
      </c>
      <c r="E33" s="4">
        <v>16</v>
      </c>
      <c r="F33" s="1">
        <v>32</v>
      </c>
      <c r="G33" t="s">
        <v>65</v>
      </c>
      <c r="H33" t="str">
        <f t="shared" si="0"/>
        <v>05</v>
      </c>
      <c r="I33" t="str">
        <f t="shared" si="1"/>
        <v>a</v>
      </c>
      <c r="J33" t="str">
        <f t="shared" si="2"/>
        <v>Line</v>
      </c>
      <c r="K33" s="1">
        <v>4613602.2240000004</v>
      </c>
      <c r="L33" s="1">
        <v>413442.84100000001</v>
      </c>
      <c r="M33" s="1">
        <v>0.625</v>
      </c>
    </row>
    <row r="34" spans="1:14" ht="15.75" customHeight="1" x14ac:dyDescent="0.25">
      <c r="A34" t="s">
        <v>61</v>
      </c>
      <c r="B34">
        <v>14</v>
      </c>
      <c r="C34" t="s">
        <v>62</v>
      </c>
      <c r="D34">
        <v>2023</v>
      </c>
      <c r="E34" s="4">
        <v>16</v>
      </c>
      <c r="F34" s="1">
        <v>33</v>
      </c>
      <c r="G34" t="s">
        <v>65</v>
      </c>
      <c r="H34" t="str">
        <f t="shared" ref="H34:H65" si="3">LEFT(G34,2)</f>
        <v>05</v>
      </c>
      <c r="I34" t="str">
        <f t="shared" ref="I34:I65" si="4">RIGHT(G34,LEN(G34)-LEN(H34))</f>
        <v>a</v>
      </c>
      <c r="J34" t="str">
        <f t="shared" ref="J34:J65" si="5">IF(OR((E34=E35),(E34=E33)),"Line","MU")</f>
        <v>Line</v>
      </c>
      <c r="K34" s="1">
        <v>4613605.2390000001</v>
      </c>
      <c r="L34" s="1">
        <v>413437.06900000002</v>
      </c>
      <c r="M34" s="1">
        <v>0.59899999999999998</v>
      </c>
    </row>
    <row r="35" spans="1:14" ht="15.75" customHeight="1" x14ac:dyDescent="0.25">
      <c r="A35" t="s">
        <v>61</v>
      </c>
      <c r="B35">
        <v>14</v>
      </c>
      <c r="C35" t="s">
        <v>62</v>
      </c>
      <c r="D35">
        <v>2023</v>
      </c>
      <c r="E35" s="4">
        <v>17</v>
      </c>
      <c r="F35" s="1">
        <v>34</v>
      </c>
      <c r="G35" t="s">
        <v>68</v>
      </c>
      <c r="H35" t="str">
        <f t="shared" si="3"/>
        <v>09</v>
      </c>
      <c r="I35" t="str">
        <f t="shared" si="4"/>
        <v>a</v>
      </c>
      <c r="J35" t="str">
        <f t="shared" si="5"/>
        <v>Line</v>
      </c>
      <c r="K35" s="1">
        <v>4613606.0130000003</v>
      </c>
      <c r="L35" s="1">
        <v>413456.60100000002</v>
      </c>
      <c r="M35" s="1">
        <v>0.746</v>
      </c>
    </row>
    <row r="36" spans="1:14" ht="15.75" customHeight="1" x14ac:dyDescent="0.25">
      <c r="A36" t="s">
        <v>61</v>
      </c>
      <c r="B36">
        <v>14</v>
      </c>
      <c r="C36" t="s">
        <v>62</v>
      </c>
      <c r="D36">
        <v>2023</v>
      </c>
      <c r="E36" s="4">
        <v>17</v>
      </c>
      <c r="F36" s="1">
        <v>35</v>
      </c>
      <c r="G36" t="s">
        <v>68</v>
      </c>
      <c r="H36" t="str">
        <f t="shared" si="3"/>
        <v>09</v>
      </c>
      <c r="I36" t="str">
        <f t="shared" si="4"/>
        <v>a</v>
      </c>
      <c r="J36" t="str">
        <f t="shared" si="5"/>
        <v>Line</v>
      </c>
      <c r="K36" s="1">
        <v>4613611.8619999997</v>
      </c>
      <c r="L36" s="1">
        <v>413439.58</v>
      </c>
      <c r="M36" s="1">
        <v>0.71899999999999997</v>
      </c>
    </row>
    <row r="37" spans="1:14" ht="15.75" customHeight="1" x14ac:dyDescent="0.25">
      <c r="A37" t="s">
        <v>61</v>
      </c>
      <c r="B37">
        <v>14</v>
      </c>
      <c r="C37" t="s">
        <v>62</v>
      </c>
      <c r="D37">
        <v>2023</v>
      </c>
      <c r="E37" s="4">
        <v>18</v>
      </c>
      <c r="F37" s="1">
        <v>36</v>
      </c>
      <c r="G37" t="s">
        <v>64</v>
      </c>
      <c r="H37" t="str">
        <f t="shared" si="3"/>
        <v>06</v>
      </c>
      <c r="I37" t="str">
        <f t="shared" si="4"/>
        <v>a</v>
      </c>
      <c r="J37" t="str">
        <f t="shared" si="5"/>
        <v>Line</v>
      </c>
      <c r="K37" s="1">
        <v>4613608.0920000002</v>
      </c>
      <c r="L37" s="1">
        <v>413434.49900000001</v>
      </c>
      <c r="M37" s="1">
        <v>0.61699999999999999</v>
      </c>
    </row>
    <row r="38" spans="1:14" ht="15.75" customHeight="1" x14ac:dyDescent="0.25">
      <c r="A38" t="s">
        <v>61</v>
      </c>
      <c r="B38">
        <v>14</v>
      </c>
      <c r="C38" t="s">
        <v>62</v>
      </c>
      <c r="D38">
        <v>2023</v>
      </c>
      <c r="E38" s="4">
        <v>18</v>
      </c>
      <c r="F38" s="1">
        <v>37</v>
      </c>
      <c r="G38" t="s">
        <v>64</v>
      </c>
      <c r="H38" t="str">
        <f t="shared" si="3"/>
        <v>06</v>
      </c>
      <c r="I38" t="str">
        <f t="shared" si="4"/>
        <v>a</v>
      </c>
      <c r="J38" t="str">
        <f t="shared" si="5"/>
        <v>Line</v>
      </c>
      <c r="K38" s="1">
        <v>4613609.8360000001</v>
      </c>
      <c r="L38" s="1">
        <v>413430.79300000001</v>
      </c>
      <c r="M38" s="1">
        <v>0.58399999999999996</v>
      </c>
    </row>
    <row r="39" spans="1:14" ht="15.75" customHeight="1" x14ac:dyDescent="0.25">
      <c r="A39" t="s">
        <v>61</v>
      </c>
      <c r="B39">
        <v>14</v>
      </c>
      <c r="C39" t="s">
        <v>62</v>
      </c>
      <c r="D39">
        <v>2023</v>
      </c>
      <c r="E39" s="4">
        <v>19</v>
      </c>
      <c r="F39" s="1">
        <v>38</v>
      </c>
      <c r="G39" t="s">
        <v>67</v>
      </c>
      <c r="H39" t="str">
        <f t="shared" si="3"/>
        <v>08</v>
      </c>
      <c r="I39" t="str">
        <f t="shared" si="4"/>
        <v>a</v>
      </c>
      <c r="J39" t="str">
        <f t="shared" si="5"/>
        <v>Line</v>
      </c>
      <c r="K39" s="1">
        <v>4613623.1069999998</v>
      </c>
      <c r="L39" s="1">
        <v>413411.42499999999</v>
      </c>
      <c r="M39" s="1">
        <v>0.69599999999999995</v>
      </c>
    </row>
    <row r="40" spans="1:14" ht="15.75" customHeight="1" x14ac:dyDescent="0.25">
      <c r="A40" t="s">
        <v>61</v>
      </c>
      <c r="B40">
        <v>14</v>
      </c>
      <c r="C40" t="s">
        <v>62</v>
      </c>
      <c r="D40">
        <v>2023</v>
      </c>
      <c r="E40" s="4">
        <v>19</v>
      </c>
      <c r="F40" s="1">
        <v>39</v>
      </c>
      <c r="G40" t="s">
        <v>67</v>
      </c>
      <c r="H40" t="str">
        <f t="shared" si="3"/>
        <v>08</v>
      </c>
      <c r="I40" t="str">
        <f t="shared" si="4"/>
        <v>a</v>
      </c>
      <c r="J40" t="str">
        <f t="shared" si="5"/>
        <v>Line</v>
      </c>
      <c r="K40" s="1">
        <v>4613624.3629999999</v>
      </c>
      <c r="L40" s="1">
        <v>413401.38400000002</v>
      </c>
      <c r="M40" s="1">
        <v>0.67800000000000005</v>
      </c>
    </row>
    <row r="41" spans="1:14" ht="15.75" customHeight="1" x14ac:dyDescent="0.25">
      <c r="A41" t="s">
        <v>61</v>
      </c>
      <c r="B41">
        <v>14</v>
      </c>
      <c r="C41" t="s">
        <v>62</v>
      </c>
      <c r="D41">
        <v>2023</v>
      </c>
      <c r="E41" s="4">
        <v>20</v>
      </c>
      <c r="F41" s="1">
        <v>40</v>
      </c>
      <c r="G41" t="s">
        <v>27</v>
      </c>
      <c r="H41" t="str">
        <f t="shared" si="3"/>
        <v>03</v>
      </c>
      <c r="I41" t="str">
        <f t="shared" si="4"/>
        <v>b</v>
      </c>
      <c r="J41" t="str">
        <f t="shared" si="5"/>
        <v>Line</v>
      </c>
      <c r="K41" s="1">
        <v>4613678.9620000003</v>
      </c>
      <c r="L41" s="1">
        <v>413417.83600000001</v>
      </c>
      <c r="M41" s="1">
        <v>0.58699999999999997</v>
      </c>
    </row>
    <row r="42" spans="1:14" ht="15.75" customHeight="1" x14ac:dyDescent="0.25">
      <c r="A42" t="s">
        <v>61</v>
      </c>
      <c r="B42">
        <v>14</v>
      </c>
      <c r="C42" t="s">
        <v>62</v>
      </c>
      <c r="D42">
        <v>2023</v>
      </c>
      <c r="E42" s="4">
        <v>20</v>
      </c>
      <c r="F42" s="1">
        <v>41</v>
      </c>
      <c r="G42" t="s">
        <v>27</v>
      </c>
      <c r="H42" t="str">
        <f t="shared" si="3"/>
        <v>03</v>
      </c>
      <c r="I42" t="str">
        <f t="shared" si="4"/>
        <v>b</v>
      </c>
      <c r="J42" t="str">
        <f t="shared" si="5"/>
        <v>Line</v>
      </c>
      <c r="K42" s="1">
        <v>4613685.023</v>
      </c>
      <c r="L42" s="1">
        <v>413417.533</v>
      </c>
      <c r="M42" s="1">
        <v>0.56499999999999995</v>
      </c>
    </row>
    <row r="43" spans="1:14" ht="15.75" customHeight="1" x14ac:dyDescent="0.25">
      <c r="A43" t="s">
        <v>61</v>
      </c>
      <c r="B43">
        <v>14</v>
      </c>
      <c r="C43" t="s">
        <v>62</v>
      </c>
      <c r="D43">
        <v>2023</v>
      </c>
      <c r="E43" s="4">
        <v>21</v>
      </c>
      <c r="F43" s="1">
        <v>42</v>
      </c>
      <c r="G43" t="s">
        <v>27</v>
      </c>
      <c r="H43" t="str">
        <f t="shared" si="3"/>
        <v>03</v>
      </c>
      <c r="I43" t="str">
        <f t="shared" si="4"/>
        <v>b</v>
      </c>
      <c r="J43" t="str">
        <f t="shared" si="5"/>
        <v>Line</v>
      </c>
      <c r="K43" s="1">
        <v>4613684.7970000003</v>
      </c>
      <c r="L43" s="1">
        <v>413425.25699999998</v>
      </c>
      <c r="M43" s="1">
        <v>0.54900000000000004</v>
      </c>
      <c r="N43" s="1" t="s">
        <v>29</v>
      </c>
    </row>
    <row r="44" spans="1:14" ht="15.75" customHeight="1" x14ac:dyDescent="0.25">
      <c r="A44" t="s">
        <v>61</v>
      </c>
      <c r="B44">
        <v>14</v>
      </c>
      <c r="C44" t="s">
        <v>62</v>
      </c>
      <c r="D44">
        <v>2023</v>
      </c>
      <c r="E44" s="4">
        <v>21</v>
      </c>
      <c r="F44" s="1">
        <v>43</v>
      </c>
      <c r="G44" t="s">
        <v>27</v>
      </c>
      <c r="H44" t="str">
        <f t="shared" si="3"/>
        <v>03</v>
      </c>
      <c r="I44" t="str">
        <f t="shared" si="4"/>
        <v>b</v>
      </c>
      <c r="J44" t="str">
        <f t="shared" si="5"/>
        <v>Line</v>
      </c>
      <c r="K44" s="1">
        <v>4613688.9369999999</v>
      </c>
      <c r="L44" s="1">
        <v>413423.44500000001</v>
      </c>
      <c r="M44" s="1">
        <v>0.53</v>
      </c>
    </row>
    <row r="45" spans="1:14" ht="15.75" customHeight="1" x14ac:dyDescent="0.25">
      <c r="A45" t="s">
        <v>61</v>
      </c>
      <c r="B45">
        <v>14</v>
      </c>
      <c r="C45" t="s">
        <v>62</v>
      </c>
      <c r="D45">
        <v>2023</v>
      </c>
      <c r="E45" s="4">
        <v>22</v>
      </c>
      <c r="F45" s="1">
        <v>44</v>
      </c>
      <c r="G45" t="s">
        <v>31</v>
      </c>
      <c r="H45" t="str">
        <f t="shared" si="3"/>
        <v>33</v>
      </c>
      <c r="I45" t="str">
        <f t="shared" si="4"/>
        <v/>
      </c>
      <c r="J45" t="str">
        <f t="shared" si="5"/>
        <v>MU</v>
      </c>
      <c r="K45" s="1">
        <v>4613692.6370000001</v>
      </c>
      <c r="L45" s="1">
        <v>413414.86900000001</v>
      </c>
      <c r="M45" s="1">
        <v>0.54100000000000004</v>
      </c>
    </row>
    <row r="46" spans="1:14" ht="15.75" customHeight="1" x14ac:dyDescent="0.25">
      <c r="A46" t="s">
        <v>61</v>
      </c>
      <c r="B46">
        <v>14</v>
      </c>
      <c r="C46" t="s">
        <v>62</v>
      </c>
      <c r="D46">
        <v>2023</v>
      </c>
      <c r="E46" s="4">
        <v>23</v>
      </c>
      <c r="F46" s="1">
        <v>45</v>
      </c>
      <c r="G46" t="s">
        <v>64</v>
      </c>
      <c r="H46" t="str">
        <f t="shared" si="3"/>
        <v>06</v>
      </c>
      <c r="I46" t="str">
        <f t="shared" si="4"/>
        <v>a</v>
      </c>
      <c r="J46" t="str">
        <f t="shared" si="5"/>
        <v>Line</v>
      </c>
      <c r="K46" s="1">
        <v>4613678.6169999996</v>
      </c>
      <c r="L46" s="1">
        <v>413378.14500000002</v>
      </c>
      <c r="M46" s="1">
        <v>0.59799999999999998</v>
      </c>
    </row>
    <row r="47" spans="1:14" ht="15.75" customHeight="1" x14ac:dyDescent="0.25">
      <c r="A47" t="s">
        <v>61</v>
      </c>
      <c r="B47">
        <v>14</v>
      </c>
      <c r="C47" t="s">
        <v>62</v>
      </c>
      <c r="D47">
        <v>2023</v>
      </c>
      <c r="E47" s="4">
        <v>23</v>
      </c>
      <c r="F47" s="1">
        <v>46</v>
      </c>
      <c r="G47" t="s">
        <v>64</v>
      </c>
      <c r="H47" t="str">
        <f t="shared" si="3"/>
        <v>06</v>
      </c>
      <c r="I47" t="str">
        <f t="shared" si="4"/>
        <v>a</v>
      </c>
      <c r="J47" t="str">
        <f t="shared" si="5"/>
        <v>Line</v>
      </c>
      <c r="K47" s="1">
        <v>4613681.3609999996</v>
      </c>
      <c r="L47" s="1">
        <v>413372.12199999997</v>
      </c>
      <c r="M47" s="1">
        <v>0.59499999999999997</v>
      </c>
    </row>
    <row r="48" spans="1:14" ht="15.75" customHeight="1" x14ac:dyDescent="0.25">
      <c r="A48" t="s">
        <v>61</v>
      </c>
      <c r="B48">
        <v>14</v>
      </c>
      <c r="C48" t="s">
        <v>62</v>
      </c>
      <c r="D48">
        <v>2023</v>
      </c>
      <c r="E48" s="4">
        <v>24</v>
      </c>
      <c r="F48" s="1">
        <v>47</v>
      </c>
      <c r="G48" t="s">
        <v>69</v>
      </c>
      <c r="H48" t="str">
        <f t="shared" si="3"/>
        <v>12</v>
      </c>
      <c r="I48" t="str">
        <f t="shared" si="4"/>
        <v>a</v>
      </c>
      <c r="J48" t="str">
        <f t="shared" si="5"/>
        <v>Line</v>
      </c>
      <c r="K48" s="1">
        <v>4613658.5839999998</v>
      </c>
      <c r="L48" s="1">
        <v>413342.44799999997</v>
      </c>
      <c r="M48" s="1">
        <v>0.63900000000000001</v>
      </c>
      <c r="N48" s="1" t="s">
        <v>34</v>
      </c>
    </row>
    <row r="49" spans="1:14" ht="15.75" customHeight="1" x14ac:dyDescent="0.25">
      <c r="A49" t="s">
        <v>61</v>
      </c>
      <c r="B49">
        <v>14</v>
      </c>
      <c r="C49" t="s">
        <v>62</v>
      </c>
      <c r="D49">
        <v>2023</v>
      </c>
      <c r="E49" s="4">
        <v>24</v>
      </c>
      <c r="F49" s="1">
        <v>48</v>
      </c>
      <c r="G49" t="s">
        <v>69</v>
      </c>
      <c r="H49" t="str">
        <f t="shared" si="3"/>
        <v>12</v>
      </c>
      <c r="I49" t="str">
        <f t="shared" si="4"/>
        <v>a</v>
      </c>
      <c r="J49" t="str">
        <f t="shared" si="5"/>
        <v>Line</v>
      </c>
      <c r="K49" s="1">
        <v>4613654.0010000002</v>
      </c>
      <c r="L49" s="1">
        <v>413337.74900000001</v>
      </c>
      <c r="M49" s="1">
        <v>0.65500000000000003</v>
      </c>
      <c r="N49" s="1" t="s">
        <v>34</v>
      </c>
    </row>
    <row r="50" spans="1:14" ht="15.75" customHeight="1" x14ac:dyDescent="0.25">
      <c r="A50" t="s">
        <v>61</v>
      </c>
      <c r="B50">
        <v>14</v>
      </c>
      <c r="C50" t="s">
        <v>62</v>
      </c>
      <c r="D50">
        <v>2023</v>
      </c>
      <c r="E50" s="4">
        <v>25</v>
      </c>
      <c r="F50" s="1">
        <v>49</v>
      </c>
      <c r="G50" t="s">
        <v>64</v>
      </c>
      <c r="H50" t="str">
        <f t="shared" si="3"/>
        <v>06</v>
      </c>
      <c r="I50" t="str">
        <f t="shared" si="4"/>
        <v>a</v>
      </c>
      <c r="J50" t="str">
        <f t="shared" si="5"/>
        <v>Line</v>
      </c>
      <c r="K50" s="1">
        <v>4613649.9029999999</v>
      </c>
      <c r="L50" s="1">
        <v>413291.66899999999</v>
      </c>
      <c r="M50" s="1">
        <v>0.626</v>
      </c>
    </row>
    <row r="51" spans="1:14" ht="15.75" customHeight="1" x14ac:dyDescent="0.25">
      <c r="A51" t="s">
        <v>61</v>
      </c>
      <c r="B51">
        <v>14</v>
      </c>
      <c r="C51" t="s">
        <v>62</v>
      </c>
      <c r="D51">
        <v>2023</v>
      </c>
      <c r="E51" s="4">
        <v>25</v>
      </c>
      <c r="F51" s="1">
        <v>50</v>
      </c>
      <c r="G51" t="s">
        <v>64</v>
      </c>
      <c r="H51" t="str">
        <f t="shared" si="3"/>
        <v>06</v>
      </c>
      <c r="I51" t="str">
        <f t="shared" si="4"/>
        <v>a</v>
      </c>
      <c r="J51" t="str">
        <f t="shared" si="5"/>
        <v>Line</v>
      </c>
      <c r="K51" s="1">
        <v>4613655.9160000002</v>
      </c>
      <c r="L51" s="1">
        <v>413297.08899999998</v>
      </c>
      <c r="M51" s="1">
        <v>0.626</v>
      </c>
    </row>
    <row r="52" spans="1:14" ht="15.75" customHeight="1" x14ac:dyDescent="0.25">
      <c r="A52" t="s">
        <v>61</v>
      </c>
      <c r="B52">
        <v>14</v>
      </c>
      <c r="C52" t="s">
        <v>62</v>
      </c>
      <c r="D52">
        <v>2023</v>
      </c>
      <c r="E52" s="4">
        <v>26</v>
      </c>
      <c r="F52" s="1">
        <v>51</v>
      </c>
      <c r="G52" t="s">
        <v>70</v>
      </c>
      <c r="H52" t="str">
        <f t="shared" si="3"/>
        <v>11</v>
      </c>
      <c r="I52" t="str">
        <f t="shared" si="4"/>
        <v>a</v>
      </c>
      <c r="J52" t="str">
        <f t="shared" si="5"/>
        <v>Line</v>
      </c>
      <c r="K52" s="1">
        <v>4613645.4610000001</v>
      </c>
      <c r="L52" s="1">
        <v>413257.11499999999</v>
      </c>
      <c r="M52" s="1">
        <v>0.58599999999999997</v>
      </c>
    </row>
    <row r="53" spans="1:14" ht="15.75" customHeight="1" x14ac:dyDescent="0.25">
      <c r="A53" t="s">
        <v>61</v>
      </c>
      <c r="B53">
        <v>14</v>
      </c>
      <c r="C53" t="s">
        <v>62</v>
      </c>
      <c r="D53">
        <v>2023</v>
      </c>
      <c r="E53" s="4">
        <v>26</v>
      </c>
      <c r="F53" s="1">
        <v>52</v>
      </c>
      <c r="G53" t="s">
        <v>70</v>
      </c>
      <c r="H53" t="str">
        <f t="shared" si="3"/>
        <v>11</v>
      </c>
      <c r="I53" t="str">
        <f t="shared" si="4"/>
        <v>a</v>
      </c>
      <c r="J53" t="str">
        <f t="shared" si="5"/>
        <v>Line</v>
      </c>
      <c r="K53" s="1">
        <v>4613634.8</v>
      </c>
      <c r="L53" s="1">
        <v>413256.71</v>
      </c>
      <c r="M53" s="1">
        <v>0.58399999999999996</v>
      </c>
    </row>
    <row r="54" spans="1:14" ht="15.75" customHeight="1" x14ac:dyDescent="0.25">
      <c r="A54" t="s">
        <v>61</v>
      </c>
      <c r="B54">
        <v>14</v>
      </c>
      <c r="C54" t="s">
        <v>62</v>
      </c>
      <c r="D54">
        <v>2023</v>
      </c>
      <c r="E54" s="4">
        <v>27</v>
      </c>
      <c r="F54" s="1">
        <v>53</v>
      </c>
      <c r="G54" t="s">
        <v>70</v>
      </c>
      <c r="H54" t="str">
        <f t="shared" si="3"/>
        <v>11</v>
      </c>
      <c r="I54" t="str">
        <f t="shared" si="4"/>
        <v>a</v>
      </c>
      <c r="J54" t="str">
        <f t="shared" si="5"/>
        <v>Line</v>
      </c>
      <c r="K54" s="1">
        <v>4613647.4000000004</v>
      </c>
      <c r="L54" s="1">
        <v>413256.51799999998</v>
      </c>
      <c r="M54" s="1">
        <v>0.55400000000000005</v>
      </c>
    </row>
    <row r="55" spans="1:14" ht="15.75" customHeight="1" x14ac:dyDescent="0.25">
      <c r="A55" t="s">
        <v>61</v>
      </c>
      <c r="B55">
        <v>14</v>
      </c>
      <c r="C55" t="s">
        <v>62</v>
      </c>
      <c r="D55">
        <v>2023</v>
      </c>
      <c r="E55" s="4">
        <v>27</v>
      </c>
      <c r="F55" s="1">
        <v>54</v>
      </c>
      <c r="G55" t="s">
        <v>70</v>
      </c>
      <c r="H55" t="str">
        <f t="shared" si="3"/>
        <v>11</v>
      </c>
      <c r="I55" t="str">
        <f t="shared" si="4"/>
        <v>a</v>
      </c>
      <c r="J55" t="str">
        <f t="shared" si="5"/>
        <v>Line</v>
      </c>
      <c r="K55" s="1">
        <v>4613652.8289999999</v>
      </c>
      <c r="L55" s="1">
        <v>413255.90500000003</v>
      </c>
      <c r="M55" s="1">
        <v>0.58199999999999996</v>
      </c>
    </row>
    <row r="56" spans="1:14" ht="15.75" customHeight="1" x14ac:dyDescent="0.25">
      <c r="A56" t="s">
        <v>61</v>
      </c>
      <c r="B56">
        <v>14</v>
      </c>
      <c r="C56" t="s">
        <v>62</v>
      </c>
      <c r="D56">
        <v>2023</v>
      </c>
      <c r="E56" s="4">
        <v>28</v>
      </c>
      <c r="F56" s="1">
        <v>55</v>
      </c>
      <c r="G56" t="s">
        <v>69</v>
      </c>
      <c r="H56" t="str">
        <f t="shared" si="3"/>
        <v>12</v>
      </c>
      <c r="I56" t="str">
        <f t="shared" si="4"/>
        <v>a</v>
      </c>
      <c r="J56" t="str">
        <f t="shared" si="5"/>
        <v>Line</v>
      </c>
      <c r="K56" s="1">
        <v>4613666.5590000004</v>
      </c>
      <c r="L56" s="1">
        <v>413239.13699999999</v>
      </c>
      <c r="M56" s="1">
        <v>0.71799999999999997</v>
      </c>
    </row>
    <row r="57" spans="1:14" ht="15.75" customHeight="1" x14ac:dyDescent="0.25">
      <c r="A57" t="s">
        <v>61</v>
      </c>
      <c r="B57">
        <v>14</v>
      </c>
      <c r="C57" t="s">
        <v>62</v>
      </c>
      <c r="D57">
        <v>2023</v>
      </c>
      <c r="E57" s="4">
        <v>28</v>
      </c>
      <c r="F57" s="1">
        <v>56</v>
      </c>
      <c r="G57" t="s">
        <v>69</v>
      </c>
      <c r="H57" t="str">
        <f t="shared" si="3"/>
        <v>12</v>
      </c>
      <c r="I57" t="str">
        <f t="shared" si="4"/>
        <v>a</v>
      </c>
      <c r="J57" t="str">
        <f t="shared" si="5"/>
        <v>Line</v>
      </c>
      <c r="K57" s="1">
        <v>4613677.1789999995</v>
      </c>
      <c r="L57" s="1">
        <v>413240.19400000002</v>
      </c>
      <c r="M57" s="1">
        <v>0.68600000000000005</v>
      </c>
    </row>
    <row r="58" spans="1:14" ht="15.75" customHeight="1" x14ac:dyDescent="0.25">
      <c r="A58" t="s">
        <v>61</v>
      </c>
      <c r="B58">
        <v>14</v>
      </c>
      <c r="C58" t="s">
        <v>62</v>
      </c>
      <c r="D58">
        <v>2023</v>
      </c>
      <c r="E58" s="4">
        <v>29</v>
      </c>
      <c r="F58" s="1">
        <v>57</v>
      </c>
      <c r="G58" t="s">
        <v>40</v>
      </c>
      <c r="H58" t="str">
        <f t="shared" si="3"/>
        <v>01</v>
      </c>
      <c r="I58" t="str">
        <f t="shared" si="4"/>
        <v>b</v>
      </c>
      <c r="J58" t="str">
        <f t="shared" si="5"/>
        <v>Line</v>
      </c>
      <c r="K58" s="1">
        <v>4613910.1900000004</v>
      </c>
      <c r="L58" s="1">
        <v>413671.47399999999</v>
      </c>
      <c r="M58" s="1">
        <v>0.27800000000000002</v>
      </c>
      <c r="N58" s="1" t="s">
        <v>41</v>
      </c>
    </row>
    <row r="59" spans="1:14" ht="15.75" customHeight="1" x14ac:dyDescent="0.25">
      <c r="A59" t="s">
        <v>61</v>
      </c>
      <c r="B59">
        <v>14</v>
      </c>
      <c r="C59" t="s">
        <v>62</v>
      </c>
      <c r="D59">
        <v>2023</v>
      </c>
      <c r="E59" s="4">
        <v>29</v>
      </c>
      <c r="F59" s="1">
        <v>58</v>
      </c>
      <c r="G59" t="s">
        <v>40</v>
      </c>
      <c r="H59" t="str">
        <f t="shared" si="3"/>
        <v>01</v>
      </c>
      <c r="I59" t="str">
        <f t="shared" si="4"/>
        <v>b</v>
      </c>
      <c r="J59" t="str">
        <f t="shared" si="5"/>
        <v>Line</v>
      </c>
      <c r="K59" s="1">
        <v>4613914.5460000001</v>
      </c>
      <c r="L59" s="1">
        <v>413673.81900000002</v>
      </c>
      <c r="M59" s="1">
        <v>0.29499999999999998</v>
      </c>
      <c r="N59" s="1" t="s">
        <v>41</v>
      </c>
    </row>
    <row r="60" spans="1:14" ht="15.75" customHeight="1" x14ac:dyDescent="0.25">
      <c r="A60" t="s">
        <v>61</v>
      </c>
      <c r="B60">
        <v>14</v>
      </c>
      <c r="C60" t="s">
        <v>62</v>
      </c>
      <c r="D60">
        <v>2023</v>
      </c>
      <c r="E60" s="4">
        <v>30</v>
      </c>
      <c r="F60" s="1">
        <v>59</v>
      </c>
      <c r="G60" t="s">
        <v>31</v>
      </c>
      <c r="H60" t="str">
        <f t="shared" si="3"/>
        <v>33</v>
      </c>
      <c r="I60" t="str">
        <f t="shared" si="4"/>
        <v/>
      </c>
      <c r="J60" t="str">
        <f t="shared" si="5"/>
        <v>Line</v>
      </c>
      <c r="K60" s="1">
        <v>4613889.983</v>
      </c>
      <c r="L60" s="1">
        <v>413674.04399999999</v>
      </c>
      <c r="M60" s="1">
        <v>0.39</v>
      </c>
    </row>
    <row r="61" spans="1:14" ht="15.75" customHeight="1" x14ac:dyDescent="0.25">
      <c r="A61" t="s">
        <v>61</v>
      </c>
      <c r="B61">
        <v>14</v>
      </c>
      <c r="C61" t="s">
        <v>62</v>
      </c>
      <c r="D61">
        <v>2023</v>
      </c>
      <c r="E61" s="4">
        <v>30</v>
      </c>
      <c r="F61" s="1">
        <v>60</v>
      </c>
      <c r="G61" t="s">
        <v>31</v>
      </c>
      <c r="H61" t="str">
        <f t="shared" si="3"/>
        <v>33</v>
      </c>
      <c r="I61" t="str">
        <f t="shared" si="4"/>
        <v/>
      </c>
      <c r="J61" t="str">
        <f t="shared" si="5"/>
        <v>Line</v>
      </c>
      <c r="K61" s="1">
        <v>4613891.4349999996</v>
      </c>
      <c r="L61" s="1">
        <v>413680.17200000002</v>
      </c>
      <c r="M61" s="1">
        <v>0.48599999999999999</v>
      </c>
    </row>
    <row r="62" spans="1:14" ht="15.75" customHeight="1" x14ac:dyDescent="0.25">
      <c r="A62" t="s">
        <v>61</v>
      </c>
      <c r="B62">
        <v>14</v>
      </c>
      <c r="C62" t="s">
        <v>62</v>
      </c>
      <c r="D62">
        <v>2023</v>
      </c>
      <c r="E62" s="4">
        <v>31</v>
      </c>
      <c r="F62" s="1">
        <v>61</v>
      </c>
      <c r="G62" t="s">
        <v>31</v>
      </c>
      <c r="H62" t="str">
        <f t="shared" si="3"/>
        <v>33</v>
      </c>
      <c r="I62" t="str">
        <f t="shared" si="4"/>
        <v/>
      </c>
      <c r="J62" t="str">
        <f t="shared" si="5"/>
        <v>Line</v>
      </c>
      <c r="K62" s="1">
        <v>4613885.0190000003</v>
      </c>
      <c r="L62" s="1">
        <v>413690.93599999999</v>
      </c>
      <c r="M62" s="1">
        <v>0.42399999999999999</v>
      </c>
    </row>
    <row r="63" spans="1:14" ht="15.75" customHeight="1" x14ac:dyDescent="0.25">
      <c r="A63" t="s">
        <v>61</v>
      </c>
      <c r="B63">
        <v>14</v>
      </c>
      <c r="C63" t="s">
        <v>62</v>
      </c>
      <c r="D63">
        <v>2023</v>
      </c>
      <c r="E63" s="4">
        <v>31</v>
      </c>
      <c r="F63" s="1">
        <v>62</v>
      </c>
      <c r="G63" t="s">
        <v>31</v>
      </c>
      <c r="H63" t="str">
        <f t="shared" si="3"/>
        <v>33</v>
      </c>
      <c r="I63" t="str">
        <f t="shared" si="4"/>
        <v/>
      </c>
      <c r="J63" t="str">
        <f t="shared" si="5"/>
        <v>Line</v>
      </c>
      <c r="K63" s="1">
        <v>4613886.1569999997</v>
      </c>
      <c r="L63" s="1">
        <v>413695.42099999997</v>
      </c>
      <c r="M63" s="1">
        <v>0.47399999999999998</v>
      </c>
    </row>
    <row r="64" spans="1:14" ht="15.75" customHeight="1" x14ac:dyDescent="0.25">
      <c r="A64" t="s">
        <v>61</v>
      </c>
      <c r="B64">
        <v>14</v>
      </c>
      <c r="C64" t="s">
        <v>62</v>
      </c>
      <c r="D64">
        <v>2023</v>
      </c>
      <c r="E64" s="4">
        <v>32</v>
      </c>
      <c r="F64" s="1">
        <v>63</v>
      </c>
      <c r="G64" t="s">
        <v>70</v>
      </c>
      <c r="H64" t="str">
        <f t="shared" si="3"/>
        <v>11</v>
      </c>
      <c r="I64" t="str">
        <f t="shared" si="4"/>
        <v>a</v>
      </c>
      <c r="J64" t="str">
        <f t="shared" si="5"/>
        <v>Line</v>
      </c>
      <c r="K64" s="1">
        <v>4613885.8820000002</v>
      </c>
      <c r="L64" s="1">
        <v>413704.54100000003</v>
      </c>
      <c r="M64" s="1">
        <v>0.45900000000000002</v>
      </c>
      <c r="N64" s="1" t="s">
        <v>45</v>
      </c>
    </row>
    <row r="65" spans="1:14" ht="15.75" customHeight="1" x14ac:dyDescent="0.25">
      <c r="A65" t="s">
        <v>61</v>
      </c>
      <c r="B65">
        <v>14</v>
      </c>
      <c r="C65" t="s">
        <v>62</v>
      </c>
      <c r="D65">
        <v>2023</v>
      </c>
      <c r="E65" s="4">
        <v>32</v>
      </c>
      <c r="F65" s="1">
        <v>64</v>
      </c>
      <c r="G65" t="s">
        <v>70</v>
      </c>
      <c r="H65" t="str">
        <f t="shared" si="3"/>
        <v>11</v>
      </c>
      <c r="I65" t="str">
        <f t="shared" si="4"/>
        <v>a</v>
      </c>
      <c r="J65" t="str">
        <f t="shared" si="5"/>
        <v>Line</v>
      </c>
      <c r="K65" s="1">
        <v>4613882.9749999996</v>
      </c>
      <c r="L65" s="1">
        <v>413715.09899999999</v>
      </c>
      <c r="M65" s="1">
        <v>0.60699999999999998</v>
      </c>
      <c r="N65" s="1" t="s">
        <v>45</v>
      </c>
    </row>
    <row r="66" spans="1:14" ht="15.75" customHeight="1" x14ac:dyDescent="0.25">
      <c r="A66" t="s">
        <v>61</v>
      </c>
      <c r="B66">
        <v>14</v>
      </c>
      <c r="C66" t="s">
        <v>62</v>
      </c>
      <c r="D66">
        <v>2023</v>
      </c>
      <c r="E66" s="4">
        <v>33</v>
      </c>
      <c r="F66" s="1">
        <v>65</v>
      </c>
      <c r="G66" t="s">
        <v>71</v>
      </c>
      <c r="H66" t="str">
        <f t="shared" ref="H66:H75" si="6">LEFT(G66,2)</f>
        <v>01</v>
      </c>
      <c r="I66" t="str">
        <f t="shared" ref="I66:I75" si="7">RIGHT(G66,LEN(G66)-LEN(H66))</f>
        <v>a</v>
      </c>
      <c r="J66" t="str">
        <f t="shared" ref="J66:J75" si="8">IF(OR((E66=E67),(E66=E65)),"Line","MU")</f>
        <v>Line</v>
      </c>
      <c r="K66" s="1">
        <v>4613880.8830000004</v>
      </c>
      <c r="L66" s="1">
        <v>413708.43199999997</v>
      </c>
      <c r="M66" s="1">
        <v>0.59099999999999997</v>
      </c>
    </row>
    <row r="67" spans="1:14" ht="15.75" customHeight="1" x14ac:dyDescent="0.25">
      <c r="A67" t="s">
        <v>61</v>
      </c>
      <c r="B67">
        <v>14</v>
      </c>
      <c r="C67" t="s">
        <v>62</v>
      </c>
      <c r="D67">
        <v>2023</v>
      </c>
      <c r="E67" s="4">
        <v>33</v>
      </c>
      <c r="F67" s="1">
        <v>66</v>
      </c>
      <c r="G67" t="s">
        <v>71</v>
      </c>
      <c r="H67" t="str">
        <f t="shared" si="6"/>
        <v>01</v>
      </c>
      <c r="I67" t="str">
        <f t="shared" si="7"/>
        <v>a</v>
      </c>
      <c r="J67" t="str">
        <f t="shared" si="8"/>
        <v>Line</v>
      </c>
      <c r="K67" s="1">
        <v>4613880.8689999999</v>
      </c>
      <c r="L67" s="1">
        <v>413714.03200000001</v>
      </c>
      <c r="M67" s="1">
        <v>0.57199999999999995</v>
      </c>
    </row>
    <row r="68" spans="1:14" ht="15.75" customHeight="1" x14ac:dyDescent="0.25">
      <c r="A68" t="s">
        <v>61</v>
      </c>
      <c r="B68">
        <v>14</v>
      </c>
      <c r="C68" t="s">
        <v>62</v>
      </c>
      <c r="D68">
        <v>2023</v>
      </c>
      <c r="E68" s="4">
        <v>34</v>
      </c>
      <c r="F68" s="1">
        <v>67</v>
      </c>
      <c r="G68" t="s">
        <v>72</v>
      </c>
      <c r="H68" t="str">
        <f t="shared" si="6"/>
        <v>03</v>
      </c>
      <c r="I68" t="str">
        <f t="shared" si="7"/>
        <v>a</v>
      </c>
      <c r="J68" t="str">
        <f t="shared" si="8"/>
        <v>Line</v>
      </c>
      <c r="K68" s="1">
        <v>4613875.4009999996</v>
      </c>
      <c r="L68" s="1">
        <v>413797.48100000003</v>
      </c>
      <c r="M68" s="1">
        <v>0.52500000000000002</v>
      </c>
    </row>
    <row r="69" spans="1:14" ht="15.75" customHeight="1" x14ac:dyDescent="0.25">
      <c r="A69" t="s">
        <v>61</v>
      </c>
      <c r="B69">
        <v>14</v>
      </c>
      <c r="C69" t="s">
        <v>62</v>
      </c>
      <c r="D69">
        <v>2023</v>
      </c>
      <c r="E69" s="4">
        <v>34</v>
      </c>
      <c r="F69" s="1">
        <v>68</v>
      </c>
      <c r="G69" t="s">
        <v>72</v>
      </c>
      <c r="H69" t="str">
        <f t="shared" si="6"/>
        <v>03</v>
      </c>
      <c r="I69" t="str">
        <f t="shared" si="7"/>
        <v>a</v>
      </c>
      <c r="J69" t="str">
        <f t="shared" si="8"/>
        <v>Line</v>
      </c>
      <c r="K69" s="1">
        <v>4613857.6960000005</v>
      </c>
      <c r="L69" s="1">
        <v>413802.049</v>
      </c>
      <c r="M69" s="1">
        <v>0.47399999999999998</v>
      </c>
    </row>
    <row r="70" spans="1:14" ht="15.75" customHeight="1" x14ac:dyDescent="0.25">
      <c r="A70" t="s">
        <v>61</v>
      </c>
      <c r="B70">
        <v>14</v>
      </c>
      <c r="C70" t="s">
        <v>62</v>
      </c>
      <c r="D70">
        <v>2023</v>
      </c>
      <c r="E70" s="4">
        <v>35</v>
      </c>
      <c r="F70" s="1">
        <v>69</v>
      </c>
      <c r="G70" t="s">
        <v>72</v>
      </c>
      <c r="H70" t="str">
        <f t="shared" si="6"/>
        <v>03</v>
      </c>
      <c r="I70" t="str">
        <f t="shared" si="7"/>
        <v>a</v>
      </c>
      <c r="J70" t="str">
        <f t="shared" si="8"/>
        <v>Line</v>
      </c>
      <c r="K70" s="1">
        <v>4613846.5159999998</v>
      </c>
      <c r="L70" s="1">
        <v>413727.26899999997</v>
      </c>
      <c r="M70" s="1">
        <v>0.5</v>
      </c>
    </row>
    <row r="71" spans="1:14" ht="15.75" customHeight="1" x14ac:dyDescent="0.25">
      <c r="A71" t="s">
        <v>61</v>
      </c>
      <c r="B71">
        <v>14</v>
      </c>
      <c r="C71" t="s">
        <v>62</v>
      </c>
      <c r="D71">
        <v>2023</v>
      </c>
      <c r="E71" s="4">
        <v>35</v>
      </c>
      <c r="F71" s="1">
        <v>70</v>
      </c>
      <c r="G71" t="s">
        <v>72</v>
      </c>
      <c r="H71" t="str">
        <f t="shared" si="6"/>
        <v>03</v>
      </c>
      <c r="I71" t="str">
        <f t="shared" si="7"/>
        <v>a</v>
      </c>
      <c r="J71" t="str">
        <f t="shared" si="8"/>
        <v>Line</v>
      </c>
      <c r="K71" s="1">
        <v>4613820.0080000004</v>
      </c>
      <c r="L71" s="1">
        <v>413707.60800000001</v>
      </c>
      <c r="M71" s="1">
        <v>0.38</v>
      </c>
    </row>
    <row r="72" spans="1:14" ht="15.75" customHeight="1" x14ac:dyDescent="0.25">
      <c r="A72" t="s">
        <v>61</v>
      </c>
      <c r="B72">
        <v>14</v>
      </c>
      <c r="C72" t="s">
        <v>62</v>
      </c>
      <c r="D72">
        <v>2023</v>
      </c>
      <c r="E72" s="4">
        <v>36</v>
      </c>
      <c r="F72" s="1">
        <v>71</v>
      </c>
      <c r="G72" t="s">
        <v>72</v>
      </c>
      <c r="H72" t="str">
        <f t="shared" si="6"/>
        <v>03</v>
      </c>
      <c r="I72" t="str">
        <f t="shared" si="7"/>
        <v>a</v>
      </c>
      <c r="J72" t="str">
        <f t="shared" si="8"/>
        <v>Line</v>
      </c>
      <c r="K72" s="1">
        <v>4613804.8679999998</v>
      </c>
      <c r="L72" s="1">
        <v>413692.04200000002</v>
      </c>
      <c r="M72" s="1">
        <v>0.497</v>
      </c>
    </row>
    <row r="73" spans="1:14" ht="15.75" customHeight="1" x14ac:dyDescent="0.25">
      <c r="A73" t="s">
        <v>61</v>
      </c>
      <c r="B73">
        <v>14</v>
      </c>
      <c r="C73" t="s">
        <v>62</v>
      </c>
      <c r="D73">
        <v>2023</v>
      </c>
      <c r="E73" s="4">
        <v>36</v>
      </c>
      <c r="F73" s="1">
        <v>72</v>
      </c>
      <c r="G73" t="s">
        <v>72</v>
      </c>
      <c r="H73" t="str">
        <f t="shared" si="6"/>
        <v>03</v>
      </c>
      <c r="I73" t="str">
        <f t="shared" si="7"/>
        <v>a</v>
      </c>
      <c r="J73" t="str">
        <f t="shared" si="8"/>
        <v>Line</v>
      </c>
      <c r="K73" s="1">
        <v>4613762.0199999996</v>
      </c>
      <c r="L73" s="1">
        <v>413676.152</v>
      </c>
      <c r="M73" s="1">
        <v>0.434</v>
      </c>
    </row>
    <row r="74" spans="1:14" ht="15.75" customHeight="1" x14ac:dyDescent="0.25">
      <c r="A74" t="s">
        <v>61</v>
      </c>
      <c r="B74">
        <v>14</v>
      </c>
      <c r="C74" t="s">
        <v>62</v>
      </c>
      <c r="D74">
        <v>2023</v>
      </c>
      <c r="E74" s="4">
        <v>37</v>
      </c>
      <c r="F74" s="1">
        <v>73</v>
      </c>
      <c r="G74" t="s">
        <v>31</v>
      </c>
      <c r="H74" t="str">
        <f t="shared" si="6"/>
        <v>33</v>
      </c>
      <c r="I74" t="str">
        <f t="shared" si="7"/>
        <v/>
      </c>
      <c r="J74" t="str">
        <f t="shared" si="8"/>
        <v>MU</v>
      </c>
      <c r="K74" s="1">
        <v>4613765.9680000003</v>
      </c>
      <c r="L74" s="1">
        <v>413627.071</v>
      </c>
      <c r="M74" s="1">
        <v>0.59399999999999997</v>
      </c>
    </row>
    <row r="75" spans="1:14" ht="15.75" customHeight="1" x14ac:dyDescent="0.25">
      <c r="A75" t="s">
        <v>61</v>
      </c>
      <c r="B75">
        <v>14</v>
      </c>
      <c r="C75" t="s">
        <v>62</v>
      </c>
      <c r="D75">
        <v>2023</v>
      </c>
      <c r="E75" s="4">
        <v>38</v>
      </c>
      <c r="F75" s="1">
        <v>74</v>
      </c>
      <c r="G75" t="s">
        <v>31</v>
      </c>
      <c r="H75" t="str">
        <f t="shared" si="6"/>
        <v>33</v>
      </c>
      <c r="I75" t="str">
        <f t="shared" si="7"/>
        <v/>
      </c>
      <c r="J75" t="str">
        <f t="shared" si="8"/>
        <v>MU</v>
      </c>
      <c r="K75" s="1">
        <v>4613763.3030000003</v>
      </c>
      <c r="L75" s="1">
        <v>413613.49699999997</v>
      </c>
      <c r="M75" s="1">
        <v>0.61199999999999999</v>
      </c>
    </row>
    <row r="76" spans="1:14" ht="15.75" customHeight="1" x14ac:dyDescent="0.25">
      <c r="D76" s="2"/>
    </row>
    <row r="77" spans="1:14" ht="15.75" customHeight="1" x14ac:dyDescent="0.25">
      <c r="D77" s="2"/>
    </row>
    <row r="78" spans="1:14" ht="15.75" customHeight="1" x14ac:dyDescent="0.25">
      <c r="D78" s="2"/>
    </row>
    <row r="79" spans="1:14" ht="15.75" customHeight="1" x14ac:dyDescent="0.25">
      <c r="D79" s="2"/>
    </row>
    <row r="80" spans="1:14" ht="15.75" customHeight="1" x14ac:dyDescent="0.25">
      <c r="D80" s="2"/>
    </row>
    <row r="81" spans="4:4" ht="15.75" customHeight="1" x14ac:dyDescent="0.25">
      <c r="D81" s="2"/>
    </row>
    <row r="82" spans="4:4" ht="15.75" customHeight="1" x14ac:dyDescent="0.25">
      <c r="D82" s="2"/>
    </row>
    <row r="83" spans="4:4" ht="15.75" customHeight="1" x14ac:dyDescent="0.25">
      <c r="D83" s="2"/>
    </row>
    <row r="84" spans="4:4" ht="15.75" customHeight="1" x14ac:dyDescent="0.25">
      <c r="D84" s="2"/>
    </row>
    <row r="85" spans="4:4" ht="12.5" x14ac:dyDescent="0.25">
      <c r="D85" s="2"/>
    </row>
    <row r="86" spans="4:4" ht="12.5" x14ac:dyDescent="0.25">
      <c r="D86" s="2"/>
    </row>
    <row r="87" spans="4:4" ht="12.5" x14ac:dyDescent="0.25">
      <c r="D87" s="2"/>
    </row>
    <row r="88" spans="4:4" ht="12.5" x14ac:dyDescent="0.25">
      <c r="D88" s="2"/>
    </row>
    <row r="89" spans="4:4" ht="12.5" x14ac:dyDescent="0.25">
      <c r="D89" s="2"/>
    </row>
    <row r="90" spans="4:4" ht="12.5" x14ac:dyDescent="0.25">
      <c r="D90" s="2"/>
    </row>
    <row r="91" spans="4:4" ht="12.5" x14ac:dyDescent="0.25">
      <c r="D91" s="2"/>
    </row>
    <row r="92" spans="4:4" ht="12.5" x14ac:dyDescent="0.25">
      <c r="D92" s="2"/>
    </row>
    <row r="93" spans="4:4" ht="12.5" x14ac:dyDescent="0.25">
      <c r="D93" s="2"/>
    </row>
    <row r="94" spans="4:4" ht="12.5" x14ac:dyDescent="0.25">
      <c r="D94" s="2"/>
    </row>
    <row r="95" spans="4:4" ht="12.5" x14ac:dyDescent="0.25">
      <c r="D95" s="2"/>
    </row>
    <row r="96" spans="4:4" ht="12.5" x14ac:dyDescent="0.25">
      <c r="D96" s="2"/>
    </row>
    <row r="97" spans="4:4" ht="12.5" x14ac:dyDescent="0.25">
      <c r="D97" s="2"/>
    </row>
    <row r="98" spans="4:4" ht="12.5" x14ac:dyDescent="0.25">
      <c r="D98" s="2"/>
    </row>
    <row r="99" spans="4:4" ht="12.5" x14ac:dyDescent="0.25">
      <c r="D99" s="2"/>
    </row>
    <row r="100" spans="4:4" ht="12.5" x14ac:dyDescent="0.25">
      <c r="D100" s="2"/>
    </row>
    <row r="101" spans="4:4" ht="12.5" x14ac:dyDescent="0.25">
      <c r="D101" s="2"/>
    </row>
    <row r="102" spans="4:4" ht="12.5" x14ac:dyDescent="0.25">
      <c r="D102" s="2"/>
    </row>
    <row r="103" spans="4:4" ht="12.5" x14ac:dyDescent="0.25">
      <c r="D103" s="2"/>
    </row>
    <row r="104" spans="4:4" ht="12.5" x14ac:dyDescent="0.25">
      <c r="D104" s="2"/>
    </row>
    <row r="105" spans="4:4" ht="12.5" x14ac:dyDescent="0.25">
      <c r="D105" s="2"/>
    </row>
    <row r="106" spans="4:4" ht="12.5" x14ac:dyDescent="0.25">
      <c r="D106" s="2"/>
    </row>
    <row r="107" spans="4:4" ht="12.5" x14ac:dyDescent="0.25">
      <c r="D107" s="2"/>
    </row>
    <row r="108" spans="4:4" ht="12.5" x14ac:dyDescent="0.25">
      <c r="D108" s="2"/>
    </row>
    <row r="109" spans="4:4" ht="12.5" x14ac:dyDescent="0.25">
      <c r="D109" s="2"/>
    </row>
    <row r="110" spans="4:4" ht="12.5" x14ac:dyDescent="0.25">
      <c r="D110" s="2"/>
    </row>
    <row r="111" spans="4:4" ht="12.5" x14ac:dyDescent="0.25">
      <c r="D111" s="2"/>
    </row>
    <row r="112" spans="4:4" ht="12.5" x14ac:dyDescent="0.25">
      <c r="D112" s="2"/>
    </row>
    <row r="113" spans="4:4" ht="12.5" x14ac:dyDescent="0.25">
      <c r="D113" s="2"/>
    </row>
    <row r="114" spans="4:4" ht="12.5" x14ac:dyDescent="0.25">
      <c r="D114" s="2"/>
    </row>
    <row r="115" spans="4:4" ht="12.5" x14ac:dyDescent="0.25">
      <c r="D115" s="2"/>
    </row>
    <row r="116" spans="4:4" ht="12.5" x14ac:dyDescent="0.25">
      <c r="D116" s="2"/>
    </row>
    <row r="117" spans="4:4" ht="12.5" x14ac:dyDescent="0.25">
      <c r="D117" s="2"/>
    </row>
    <row r="118" spans="4:4" ht="12.5" x14ac:dyDescent="0.25">
      <c r="D118" s="2"/>
    </row>
    <row r="119" spans="4:4" ht="12.5" x14ac:dyDescent="0.25">
      <c r="D119" s="2"/>
    </row>
    <row r="120" spans="4:4" ht="12.5" x14ac:dyDescent="0.25">
      <c r="D120" s="2"/>
    </row>
    <row r="121" spans="4:4" ht="12.5" x14ac:dyDescent="0.25">
      <c r="D121" s="2"/>
    </row>
    <row r="122" spans="4:4" ht="12.5" x14ac:dyDescent="0.25">
      <c r="D122" s="2"/>
    </row>
    <row r="123" spans="4:4" ht="12.5" x14ac:dyDescent="0.25">
      <c r="D123" s="2"/>
    </row>
    <row r="124" spans="4:4" ht="12.5" x14ac:dyDescent="0.25">
      <c r="D124" s="2"/>
    </row>
    <row r="125" spans="4:4" ht="12.5" x14ac:dyDescent="0.25">
      <c r="D125" s="2"/>
    </row>
    <row r="126" spans="4:4" ht="12.5" x14ac:dyDescent="0.25">
      <c r="D126" s="2"/>
    </row>
    <row r="127" spans="4:4" ht="12.5" x14ac:dyDescent="0.25">
      <c r="D127" s="2"/>
    </row>
    <row r="128" spans="4:4" ht="12.5" x14ac:dyDescent="0.25">
      <c r="D128" s="2"/>
    </row>
    <row r="129" spans="4:4" ht="12.5" x14ac:dyDescent="0.25">
      <c r="D129" s="3"/>
    </row>
    <row r="130" spans="4:4" ht="12.5" x14ac:dyDescent="0.25">
      <c r="D130" s="3"/>
    </row>
    <row r="131" spans="4:4" ht="12.5" x14ac:dyDescent="0.25">
      <c r="D131" s="3"/>
    </row>
    <row r="132" spans="4:4" ht="12.5" x14ac:dyDescent="0.25">
      <c r="D132" s="3"/>
    </row>
    <row r="133" spans="4:4" ht="12.5" x14ac:dyDescent="0.25">
      <c r="D133" s="3"/>
    </row>
    <row r="134" spans="4:4" ht="12.5" x14ac:dyDescent="0.25">
      <c r="D134" s="3"/>
    </row>
    <row r="135" spans="4:4" ht="12.5" x14ac:dyDescent="0.25">
      <c r="D135" s="3"/>
    </row>
    <row r="136" spans="4:4" ht="12.5" x14ac:dyDescent="0.25">
      <c r="D136" s="3"/>
    </row>
    <row r="137" spans="4:4" ht="12.5" x14ac:dyDescent="0.25">
      <c r="D137" s="3"/>
    </row>
    <row r="138" spans="4:4" ht="12.5" x14ac:dyDescent="0.25">
      <c r="D138" s="3"/>
    </row>
    <row r="139" spans="4:4" ht="12.5" x14ac:dyDescent="0.25">
      <c r="D139" s="3"/>
    </row>
    <row r="140" spans="4:4" ht="12.5" x14ac:dyDescent="0.25">
      <c r="D140" s="3"/>
    </row>
    <row r="141" spans="4:4" ht="12.5" x14ac:dyDescent="0.25">
      <c r="D141" s="3"/>
    </row>
    <row r="142" spans="4:4" ht="12.5" x14ac:dyDescent="0.25">
      <c r="D142" s="3"/>
    </row>
    <row r="143" spans="4:4" ht="12.5" x14ac:dyDescent="0.25">
      <c r="D143" s="3"/>
    </row>
    <row r="144" spans="4:4" ht="12.5" x14ac:dyDescent="0.25">
      <c r="D144" s="3"/>
    </row>
    <row r="145" spans="4:4" ht="12.5" x14ac:dyDescent="0.25">
      <c r="D145" s="3"/>
    </row>
    <row r="146" spans="4:4" ht="12.5" x14ac:dyDescent="0.25">
      <c r="D146" s="3"/>
    </row>
    <row r="147" spans="4:4" ht="12.5" x14ac:dyDescent="0.25">
      <c r="D147" s="3"/>
    </row>
    <row r="148" spans="4:4" ht="12.5" x14ac:dyDescent="0.25">
      <c r="D148" s="3"/>
    </row>
    <row r="149" spans="4:4" ht="12.5" x14ac:dyDescent="0.25">
      <c r="D149" s="3"/>
    </row>
    <row r="150" spans="4:4" ht="12.5" x14ac:dyDescent="0.25">
      <c r="D150" s="3"/>
    </row>
    <row r="151" spans="4:4" ht="12.5" x14ac:dyDescent="0.25">
      <c r="D151" s="3"/>
    </row>
    <row r="152" spans="4:4" ht="12.5" x14ac:dyDescent="0.25">
      <c r="D152" s="3"/>
    </row>
    <row r="153" spans="4:4" ht="12.5" x14ac:dyDescent="0.25">
      <c r="D153" s="3"/>
    </row>
    <row r="154" spans="4:4" ht="12.5" x14ac:dyDescent="0.25">
      <c r="D154" s="3"/>
    </row>
    <row r="155" spans="4:4" ht="12.5" x14ac:dyDescent="0.25">
      <c r="D155" s="3"/>
    </row>
    <row r="156" spans="4:4" ht="12.5" x14ac:dyDescent="0.25">
      <c r="D156" s="3"/>
    </row>
    <row r="157" spans="4:4" ht="12.5" x14ac:dyDescent="0.25">
      <c r="D157" s="3"/>
    </row>
    <row r="158" spans="4:4" ht="12.5" x14ac:dyDescent="0.25">
      <c r="D158" s="3"/>
    </row>
    <row r="159" spans="4:4" ht="12.5" x14ac:dyDescent="0.25">
      <c r="D159" s="3"/>
    </row>
    <row r="160" spans="4:4" ht="12.5" x14ac:dyDescent="0.25">
      <c r="D160" s="3"/>
    </row>
    <row r="161" spans="4:4" ht="12.5" x14ac:dyDescent="0.25">
      <c r="D161" s="3"/>
    </row>
    <row r="162" spans="4:4" ht="12.5" x14ac:dyDescent="0.25">
      <c r="D162" s="3"/>
    </row>
    <row r="163" spans="4:4" ht="12.5" x14ac:dyDescent="0.25">
      <c r="D163" s="3"/>
    </row>
    <row r="164" spans="4:4" ht="12.5" x14ac:dyDescent="0.25">
      <c r="D164" s="3"/>
    </row>
    <row r="165" spans="4:4" ht="12.5" x14ac:dyDescent="0.25">
      <c r="D165" s="3"/>
    </row>
    <row r="166" spans="4:4" ht="12.5" x14ac:dyDescent="0.25">
      <c r="D166" s="3"/>
    </row>
    <row r="167" spans="4:4" ht="12.5" x14ac:dyDescent="0.25">
      <c r="D167" s="3"/>
    </row>
    <row r="168" spans="4:4" ht="12.5" x14ac:dyDescent="0.25">
      <c r="D168" s="3"/>
    </row>
    <row r="169" spans="4:4" ht="12.5" x14ac:dyDescent="0.25">
      <c r="D169" s="3"/>
    </row>
    <row r="170" spans="4:4" ht="12.5" x14ac:dyDescent="0.25">
      <c r="D170" s="3"/>
    </row>
    <row r="171" spans="4:4" ht="12.5" x14ac:dyDescent="0.25">
      <c r="D171" s="3"/>
    </row>
    <row r="172" spans="4:4" ht="12.5" x14ac:dyDescent="0.25">
      <c r="D172" s="3"/>
    </row>
    <row r="173" spans="4:4" ht="12.5" x14ac:dyDescent="0.25">
      <c r="D173" s="3"/>
    </row>
    <row r="174" spans="4:4" ht="12.5" x14ac:dyDescent="0.25">
      <c r="D174" s="3"/>
    </row>
    <row r="175" spans="4:4" ht="12.5" x14ac:dyDescent="0.25">
      <c r="D175" s="3"/>
    </row>
    <row r="176" spans="4:4" ht="12.5" x14ac:dyDescent="0.25">
      <c r="D176" s="3"/>
    </row>
    <row r="177" spans="4:4" ht="12.5" x14ac:dyDescent="0.25">
      <c r="D177" s="3"/>
    </row>
    <row r="178" spans="4:4" ht="12.5" x14ac:dyDescent="0.25">
      <c r="D178" s="3"/>
    </row>
    <row r="179" spans="4:4" ht="12.5" x14ac:dyDescent="0.25">
      <c r="D179" s="3"/>
    </row>
    <row r="180" spans="4:4" ht="12.5" x14ac:dyDescent="0.25">
      <c r="D180" s="3"/>
    </row>
    <row r="181" spans="4:4" ht="12.5" x14ac:dyDescent="0.25">
      <c r="D181" s="3"/>
    </row>
    <row r="182" spans="4:4" ht="12.5" x14ac:dyDescent="0.25">
      <c r="D182" s="3"/>
    </row>
    <row r="183" spans="4:4" ht="12.5" x14ac:dyDescent="0.25">
      <c r="D183" s="3"/>
    </row>
    <row r="184" spans="4:4" ht="12.5" x14ac:dyDescent="0.25">
      <c r="D184" s="3"/>
    </row>
    <row r="185" spans="4:4" ht="12.5" x14ac:dyDescent="0.25">
      <c r="D185" s="3"/>
    </row>
    <row r="186" spans="4:4" ht="12.5" x14ac:dyDescent="0.25">
      <c r="D186" s="3"/>
    </row>
    <row r="187" spans="4:4" ht="12.5" x14ac:dyDescent="0.25">
      <c r="D187" s="3"/>
    </row>
    <row r="188" spans="4:4" ht="12.5" x14ac:dyDescent="0.25">
      <c r="D188" s="3"/>
    </row>
    <row r="189" spans="4:4" ht="12.5" x14ac:dyDescent="0.25">
      <c r="D189" s="3"/>
    </row>
    <row r="190" spans="4:4" ht="12.5" x14ac:dyDescent="0.25">
      <c r="D190" s="3"/>
    </row>
    <row r="191" spans="4:4" ht="12.5" x14ac:dyDescent="0.25">
      <c r="D191" s="3"/>
    </row>
    <row r="192" spans="4:4" ht="12.5" x14ac:dyDescent="0.25">
      <c r="D192" s="3"/>
    </row>
    <row r="193" spans="4:4" ht="12.5" x14ac:dyDescent="0.25">
      <c r="D193" s="3"/>
    </row>
    <row r="194" spans="4:4" ht="12.5" x14ac:dyDescent="0.25">
      <c r="D194" s="3"/>
    </row>
    <row r="195" spans="4:4" ht="12.5" x14ac:dyDescent="0.25">
      <c r="D195" s="3"/>
    </row>
    <row r="196" spans="4:4" ht="12.5" x14ac:dyDescent="0.25">
      <c r="D196" s="3"/>
    </row>
    <row r="197" spans="4:4" ht="12.5" x14ac:dyDescent="0.25">
      <c r="D197" s="3"/>
    </row>
    <row r="198" spans="4:4" ht="12.5" x14ac:dyDescent="0.25">
      <c r="D198" s="3"/>
    </row>
    <row r="199" spans="4:4" ht="12.5" x14ac:dyDescent="0.25">
      <c r="D199" s="3"/>
    </row>
    <row r="200" spans="4:4" ht="12.5" x14ac:dyDescent="0.25">
      <c r="D200" s="3"/>
    </row>
    <row r="201" spans="4:4" ht="12.5" x14ac:dyDescent="0.25">
      <c r="D201" s="3"/>
    </row>
    <row r="202" spans="4:4" ht="12.5" x14ac:dyDescent="0.25">
      <c r="D202" s="3"/>
    </row>
    <row r="203" spans="4:4" ht="12.5" x14ac:dyDescent="0.25">
      <c r="D203" s="3"/>
    </row>
    <row r="204" spans="4:4" ht="12.5" x14ac:dyDescent="0.25">
      <c r="D204" s="3"/>
    </row>
    <row r="205" spans="4:4" ht="12.5" x14ac:dyDescent="0.25">
      <c r="D205" s="3"/>
    </row>
    <row r="206" spans="4:4" ht="12.5" x14ac:dyDescent="0.25">
      <c r="D206" s="3"/>
    </row>
    <row r="207" spans="4:4" ht="12.5" x14ac:dyDescent="0.25">
      <c r="D207" s="3"/>
    </row>
    <row r="208" spans="4:4" ht="12.5" x14ac:dyDescent="0.25">
      <c r="D208" s="3"/>
    </row>
    <row r="209" spans="4:4" ht="12.5" x14ac:dyDescent="0.25">
      <c r="D209" s="3"/>
    </row>
    <row r="210" spans="4:4" ht="12.5" x14ac:dyDescent="0.25">
      <c r="D210" s="3"/>
    </row>
    <row r="211" spans="4:4" ht="12.5" x14ac:dyDescent="0.25">
      <c r="D211" s="3"/>
    </row>
    <row r="212" spans="4:4" ht="12.5" x14ac:dyDescent="0.25">
      <c r="D212" s="3"/>
    </row>
    <row r="213" spans="4:4" ht="12.5" x14ac:dyDescent="0.25">
      <c r="D213" s="3"/>
    </row>
    <row r="214" spans="4:4" ht="12.5" x14ac:dyDescent="0.25">
      <c r="D214" s="3"/>
    </row>
    <row r="215" spans="4:4" ht="12.5" x14ac:dyDescent="0.25">
      <c r="D215" s="3"/>
    </row>
    <row r="216" spans="4:4" ht="12.5" x14ac:dyDescent="0.25">
      <c r="D216" s="3"/>
    </row>
    <row r="217" spans="4:4" ht="12.5" x14ac:dyDescent="0.25">
      <c r="D217" s="3"/>
    </row>
    <row r="218" spans="4:4" ht="12.5" x14ac:dyDescent="0.25">
      <c r="D218" s="3"/>
    </row>
    <row r="219" spans="4:4" ht="12.5" x14ac:dyDescent="0.25">
      <c r="D219" s="3"/>
    </row>
    <row r="220" spans="4:4" ht="12.5" x14ac:dyDescent="0.25">
      <c r="D220" s="3"/>
    </row>
    <row r="221" spans="4:4" ht="12.5" x14ac:dyDescent="0.25">
      <c r="D221" s="3"/>
    </row>
    <row r="222" spans="4:4" ht="12.5" x14ac:dyDescent="0.25">
      <c r="D222" s="3"/>
    </row>
    <row r="223" spans="4:4" ht="12.5" x14ac:dyDescent="0.25">
      <c r="D223" s="3"/>
    </row>
    <row r="224" spans="4:4" ht="12.5" x14ac:dyDescent="0.25">
      <c r="D224" s="3"/>
    </row>
    <row r="225" spans="4:4" ht="12.5" x14ac:dyDescent="0.25">
      <c r="D225" s="3"/>
    </row>
    <row r="226" spans="4:4" ht="12.5" x14ac:dyDescent="0.25">
      <c r="D226" s="3"/>
    </row>
    <row r="227" spans="4:4" ht="12.5" x14ac:dyDescent="0.25">
      <c r="D227" s="3"/>
    </row>
    <row r="228" spans="4:4" ht="12.5" x14ac:dyDescent="0.25">
      <c r="D228" s="3"/>
    </row>
    <row r="229" spans="4:4" ht="12.5" x14ac:dyDescent="0.25">
      <c r="D229" s="3"/>
    </row>
    <row r="230" spans="4:4" ht="12.5" x14ac:dyDescent="0.25">
      <c r="D230" s="3"/>
    </row>
    <row r="231" spans="4:4" ht="12.5" x14ac:dyDescent="0.25">
      <c r="D231" s="3"/>
    </row>
    <row r="232" spans="4:4" ht="12.5" x14ac:dyDescent="0.25">
      <c r="D232" s="3"/>
    </row>
    <row r="233" spans="4:4" ht="12.5" x14ac:dyDescent="0.25">
      <c r="D233" s="3"/>
    </row>
    <row r="234" spans="4:4" ht="12.5" x14ac:dyDescent="0.25">
      <c r="D234" s="3"/>
    </row>
    <row r="235" spans="4:4" ht="12.5" x14ac:dyDescent="0.25">
      <c r="D235" s="3"/>
    </row>
    <row r="236" spans="4:4" ht="12.5" x14ac:dyDescent="0.25">
      <c r="D236" s="3"/>
    </row>
    <row r="237" spans="4:4" ht="12.5" x14ac:dyDescent="0.25">
      <c r="D237" s="3"/>
    </row>
    <row r="238" spans="4:4" ht="12.5" x14ac:dyDescent="0.25">
      <c r="D238" s="3"/>
    </row>
    <row r="239" spans="4:4" ht="12.5" x14ac:dyDescent="0.25">
      <c r="D239" s="3"/>
    </row>
    <row r="240" spans="4:4" ht="12.5" x14ac:dyDescent="0.25">
      <c r="D240" s="3"/>
    </row>
    <row r="241" spans="4:4" ht="12.5" x14ac:dyDescent="0.25">
      <c r="D241" s="3"/>
    </row>
    <row r="242" spans="4:4" ht="12.5" x14ac:dyDescent="0.25">
      <c r="D242" s="3"/>
    </row>
    <row r="243" spans="4:4" ht="12.5" x14ac:dyDescent="0.25">
      <c r="D243" s="3"/>
    </row>
    <row r="244" spans="4:4" ht="12.5" x14ac:dyDescent="0.25">
      <c r="D244" s="3"/>
    </row>
    <row r="245" spans="4:4" ht="12.5" x14ac:dyDescent="0.25">
      <c r="D245" s="3"/>
    </row>
    <row r="246" spans="4:4" ht="12.5" x14ac:dyDescent="0.25">
      <c r="D246" s="3"/>
    </row>
    <row r="247" spans="4:4" ht="12.5" x14ac:dyDescent="0.25">
      <c r="D247" s="3"/>
    </row>
    <row r="248" spans="4:4" ht="12.5" x14ac:dyDescent="0.25">
      <c r="D248" s="3"/>
    </row>
    <row r="249" spans="4:4" ht="12.5" x14ac:dyDescent="0.25">
      <c r="D249" s="3"/>
    </row>
    <row r="250" spans="4:4" ht="12.5" x14ac:dyDescent="0.25">
      <c r="D250" s="3"/>
    </row>
    <row r="251" spans="4:4" ht="12.5" x14ac:dyDescent="0.25">
      <c r="D251" s="3"/>
    </row>
    <row r="252" spans="4:4" ht="12.5" x14ac:dyDescent="0.25">
      <c r="D252" s="3"/>
    </row>
    <row r="253" spans="4:4" ht="12.5" x14ac:dyDescent="0.25">
      <c r="D253" s="3"/>
    </row>
    <row r="254" spans="4:4" ht="12.5" x14ac:dyDescent="0.25">
      <c r="D254" s="3"/>
    </row>
    <row r="255" spans="4:4" ht="12.5" x14ac:dyDescent="0.25">
      <c r="D255" s="3"/>
    </row>
    <row r="256" spans="4:4" ht="12.5" x14ac:dyDescent="0.25">
      <c r="D256" s="3"/>
    </row>
    <row r="257" spans="4:4" ht="12.5" x14ac:dyDescent="0.25">
      <c r="D257" s="3"/>
    </row>
    <row r="258" spans="4:4" ht="12.5" x14ac:dyDescent="0.25">
      <c r="D258" s="3"/>
    </row>
    <row r="259" spans="4:4" ht="12.5" x14ac:dyDescent="0.25">
      <c r="D259" s="3"/>
    </row>
    <row r="260" spans="4:4" ht="12.5" x14ac:dyDescent="0.25">
      <c r="D260" s="3"/>
    </row>
    <row r="261" spans="4:4" ht="12.5" x14ac:dyDescent="0.25">
      <c r="D261" s="3"/>
    </row>
    <row r="262" spans="4:4" ht="12.5" x14ac:dyDescent="0.25">
      <c r="D262" s="3"/>
    </row>
    <row r="263" spans="4:4" ht="12.5" x14ac:dyDescent="0.25">
      <c r="D263" s="3"/>
    </row>
    <row r="264" spans="4:4" ht="12.5" x14ac:dyDescent="0.25">
      <c r="D264" s="3"/>
    </row>
    <row r="265" spans="4:4" ht="12.5" x14ac:dyDescent="0.25">
      <c r="D265" s="3"/>
    </row>
    <row r="266" spans="4:4" ht="12.5" x14ac:dyDescent="0.25">
      <c r="D266" s="3"/>
    </row>
    <row r="267" spans="4:4" ht="12.5" x14ac:dyDescent="0.25">
      <c r="D267" s="3"/>
    </row>
    <row r="268" spans="4:4" ht="12.5" x14ac:dyDescent="0.25">
      <c r="D268" s="3"/>
    </row>
    <row r="269" spans="4:4" ht="12.5" x14ac:dyDescent="0.25">
      <c r="D269" s="3"/>
    </row>
    <row r="270" spans="4:4" ht="12.5" x14ac:dyDescent="0.25">
      <c r="D270" s="3"/>
    </row>
    <row r="271" spans="4:4" ht="12.5" x14ac:dyDescent="0.25">
      <c r="D271" s="3"/>
    </row>
    <row r="272" spans="4:4" ht="12.5" x14ac:dyDescent="0.25">
      <c r="D272" s="3"/>
    </row>
    <row r="273" spans="4:4" ht="12.5" x14ac:dyDescent="0.25">
      <c r="D273" s="3"/>
    </row>
    <row r="274" spans="4:4" ht="12.5" x14ac:dyDescent="0.25">
      <c r="D274" s="3"/>
    </row>
    <row r="275" spans="4:4" ht="12.5" x14ac:dyDescent="0.25">
      <c r="D275" s="3"/>
    </row>
    <row r="276" spans="4:4" ht="12.5" x14ac:dyDescent="0.25">
      <c r="D276" s="3"/>
    </row>
    <row r="277" spans="4:4" ht="12.5" x14ac:dyDescent="0.25">
      <c r="D277" s="3"/>
    </row>
    <row r="278" spans="4:4" ht="12.5" x14ac:dyDescent="0.25">
      <c r="D278" s="3"/>
    </row>
    <row r="279" spans="4:4" ht="12.5" x14ac:dyDescent="0.25">
      <c r="D279" s="3"/>
    </row>
    <row r="280" spans="4:4" ht="12.5" x14ac:dyDescent="0.25">
      <c r="D280" s="3"/>
    </row>
    <row r="281" spans="4:4" ht="12.5" x14ac:dyDescent="0.25">
      <c r="D281" s="3"/>
    </row>
    <row r="282" spans="4:4" ht="12.5" x14ac:dyDescent="0.25">
      <c r="D282" s="3"/>
    </row>
    <row r="283" spans="4:4" ht="12.5" x14ac:dyDescent="0.25">
      <c r="D283" s="3"/>
    </row>
    <row r="284" spans="4:4" ht="12.5" x14ac:dyDescent="0.25">
      <c r="D284" s="3"/>
    </row>
    <row r="285" spans="4:4" ht="12.5" x14ac:dyDescent="0.25">
      <c r="D285" s="3"/>
    </row>
    <row r="286" spans="4:4" ht="12.5" x14ac:dyDescent="0.25">
      <c r="D286" s="3"/>
    </row>
    <row r="287" spans="4:4" ht="12.5" x14ac:dyDescent="0.25">
      <c r="D287" s="3"/>
    </row>
    <row r="288" spans="4:4" ht="12.5" x14ac:dyDescent="0.25">
      <c r="D288" s="3"/>
    </row>
    <row r="289" spans="4:4" ht="12.5" x14ac:dyDescent="0.25">
      <c r="D289" s="3"/>
    </row>
    <row r="290" spans="4:4" ht="12.5" x14ac:dyDescent="0.25">
      <c r="D290" s="3"/>
    </row>
    <row r="291" spans="4:4" ht="12.5" x14ac:dyDescent="0.25">
      <c r="D291" s="3"/>
    </row>
    <row r="292" spans="4:4" ht="12.5" x14ac:dyDescent="0.25">
      <c r="D292" s="3"/>
    </row>
    <row r="293" spans="4:4" ht="12.5" x14ac:dyDescent="0.25">
      <c r="D293" s="3"/>
    </row>
    <row r="294" spans="4:4" ht="12.5" x14ac:dyDescent="0.25">
      <c r="D294" s="3"/>
    </row>
    <row r="295" spans="4:4" ht="12.5" x14ac:dyDescent="0.25">
      <c r="D295" s="3"/>
    </row>
    <row r="296" spans="4:4" ht="12.5" x14ac:dyDescent="0.25">
      <c r="D296" s="3"/>
    </row>
    <row r="297" spans="4:4" ht="12.5" x14ac:dyDescent="0.25">
      <c r="D297" s="3"/>
    </row>
    <row r="298" spans="4:4" ht="12.5" x14ac:dyDescent="0.25">
      <c r="D298" s="3"/>
    </row>
    <row r="299" spans="4:4" ht="12.5" x14ac:dyDescent="0.25">
      <c r="D299" s="3"/>
    </row>
    <row r="300" spans="4:4" ht="12.5" x14ac:dyDescent="0.25">
      <c r="D300" s="3"/>
    </row>
    <row r="301" spans="4:4" ht="12.5" x14ac:dyDescent="0.25">
      <c r="D301" s="3"/>
    </row>
    <row r="302" spans="4:4" ht="12.5" x14ac:dyDescent="0.25">
      <c r="D302" s="3"/>
    </row>
    <row r="303" spans="4:4" ht="12.5" x14ac:dyDescent="0.25">
      <c r="D303" s="3"/>
    </row>
    <row r="304" spans="4:4" ht="12.5" x14ac:dyDescent="0.25">
      <c r="D304" s="3"/>
    </row>
    <row r="305" spans="4:4" ht="12.5" x14ac:dyDescent="0.25">
      <c r="D305" s="3"/>
    </row>
    <row r="306" spans="4:4" ht="12.5" x14ac:dyDescent="0.25">
      <c r="D306" s="3"/>
    </row>
    <row r="307" spans="4:4" ht="12.5" x14ac:dyDescent="0.25">
      <c r="D307" s="3"/>
    </row>
    <row r="308" spans="4:4" ht="12.5" x14ac:dyDescent="0.25">
      <c r="D308" s="3"/>
    </row>
    <row r="309" spans="4:4" ht="12.5" x14ac:dyDescent="0.25">
      <c r="D309" s="3"/>
    </row>
    <row r="310" spans="4:4" ht="12.5" x14ac:dyDescent="0.25">
      <c r="D310" s="3"/>
    </row>
    <row r="311" spans="4:4" ht="12.5" x14ac:dyDescent="0.25">
      <c r="D311" s="3"/>
    </row>
    <row r="312" spans="4:4" ht="12.5" x14ac:dyDescent="0.25">
      <c r="D312" s="3"/>
    </row>
    <row r="313" spans="4:4" ht="12.5" x14ac:dyDescent="0.25">
      <c r="D313" s="3"/>
    </row>
    <row r="314" spans="4:4" ht="12.5" x14ac:dyDescent="0.25">
      <c r="D314" s="3"/>
    </row>
    <row r="315" spans="4:4" ht="12.5" x14ac:dyDescent="0.25">
      <c r="D315" s="3"/>
    </row>
    <row r="316" spans="4:4" ht="12.5" x14ac:dyDescent="0.25">
      <c r="D316" s="3"/>
    </row>
    <row r="317" spans="4:4" ht="12.5" x14ac:dyDescent="0.25">
      <c r="D317" s="3"/>
    </row>
    <row r="318" spans="4:4" ht="12.5" x14ac:dyDescent="0.25">
      <c r="D318" s="3"/>
    </row>
    <row r="319" spans="4:4" ht="12.5" x14ac:dyDescent="0.25">
      <c r="D319" s="3"/>
    </row>
    <row r="320" spans="4:4" ht="12.5" x14ac:dyDescent="0.25">
      <c r="D320" s="3"/>
    </row>
    <row r="321" spans="4:4" ht="12.5" x14ac:dyDescent="0.25">
      <c r="D321" s="3"/>
    </row>
    <row r="322" spans="4:4" ht="12.5" x14ac:dyDescent="0.25">
      <c r="D322" s="3"/>
    </row>
    <row r="323" spans="4:4" ht="12.5" x14ac:dyDescent="0.25">
      <c r="D323" s="3"/>
    </row>
    <row r="324" spans="4:4" ht="12.5" x14ac:dyDescent="0.25">
      <c r="D324" s="3"/>
    </row>
    <row r="325" spans="4:4" ht="12.5" x14ac:dyDescent="0.25">
      <c r="D325" s="3"/>
    </row>
    <row r="326" spans="4:4" ht="12.5" x14ac:dyDescent="0.25">
      <c r="D326" s="3"/>
    </row>
    <row r="327" spans="4:4" ht="12.5" x14ac:dyDescent="0.25">
      <c r="D327" s="3"/>
    </row>
    <row r="328" spans="4:4" ht="12.5" x14ac:dyDescent="0.25">
      <c r="D328" s="3"/>
    </row>
    <row r="329" spans="4:4" ht="12.5" x14ac:dyDescent="0.25">
      <c r="D329" s="3"/>
    </row>
    <row r="330" spans="4:4" ht="12.5" x14ac:dyDescent="0.25">
      <c r="D330" s="3"/>
    </row>
    <row r="331" spans="4:4" ht="12.5" x14ac:dyDescent="0.25">
      <c r="D331" s="3"/>
    </row>
    <row r="332" spans="4:4" ht="12.5" x14ac:dyDescent="0.25">
      <c r="D332" s="3"/>
    </row>
    <row r="333" spans="4:4" ht="12.5" x14ac:dyDescent="0.25">
      <c r="D333" s="3"/>
    </row>
    <row r="334" spans="4:4" ht="12.5" x14ac:dyDescent="0.25">
      <c r="D334" s="3"/>
    </row>
    <row r="335" spans="4:4" ht="12.5" x14ac:dyDescent="0.25">
      <c r="D335" s="3"/>
    </row>
    <row r="336" spans="4:4" ht="12.5" x14ac:dyDescent="0.25">
      <c r="D336" s="3"/>
    </row>
    <row r="337" spans="4:4" ht="12.5" x14ac:dyDescent="0.25">
      <c r="D337" s="3"/>
    </row>
    <row r="338" spans="4:4" ht="12.5" x14ac:dyDescent="0.25">
      <c r="D338" s="3"/>
    </row>
    <row r="339" spans="4:4" ht="12.5" x14ac:dyDescent="0.25">
      <c r="D339" s="3"/>
    </row>
    <row r="340" spans="4:4" ht="12.5" x14ac:dyDescent="0.25">
      <c r="D340" s="3"/>
    </row>
    <row r="341" spans="4:4" ht="12.5" x14ac:dyDescent="0.25">
      <c r="D341" s="3"/>
    </row>
    <row r="342" spans="4:4" ht="12.5" x14ac:dyDescent="0.25">
      <c r="D342" s="3"/>
    </row>
    <row r="343" spans="4:4" ht="12.5" x14ac:dyDescent="0.25">
      <c r="D343" s="3"/>
    </row>
    <row r="344" spans="4:4" ht="12.5" x14ac:dyDescent="0.25">
      <c r="D344" s="3"/>
    </row>
    <row r="345" spans="4:4" ht="12.5" x14ac:dyDescent="0.25">
      <c r="D345" s="3"/>
    </row>
    <row r="346" spans="4:4" ht="12.5" x14ac:dyDescent="0.25">
      <c r="D346" s="3"/>
    </row>
    <row r="347" spans="4:4" ht="12.5" x14ac:dyDescent="0.25">
      <c r="D347" s="3"/>
    </row>
    <row r="348" spans="4:4" ht="12.5" x14ac:dyDescent="0.25">
      <c r="D348" s="3"/>
    </row>
    <row r="349" spans="4:4" ht="12.5" x14ac:dyDescent="0.25">
      <c r="D349" s="3"/>
    </row>
    <row r="350" spans="4:4" ht="12.5" x14ac:dyDescent="0.25">
      <c r="D350" s="3"/>
    </row>
    <row r="351" spans="4:4" ht="12.5" x14ac:dyDescent="0.25">
      <c r="D351" s="3"/>
    </row>
    <row r="352" spans="4:4" ht="12.5" x14ac:dyDescent="0.25">
      <c r="D352" s="3"/>
    </row>
    <row r="353" spans="4:4" ht="12.5" x14ac:dyDescent="0.25">
      <c r="D353" s="3"/>
    </row>
    <row r="354" spans="4:4" ht="12.5" x14ac:dyDescent="0.25">
      <c r="D354" s="3"/>
    </row>
    <row r="355" spans="4:4" ht="12.5" x14ac:dyDescent="0.25">
      <c r="D355" s="3"/>
    </row>
    <row r="356" spans="4:4" ht="12.5" x14ac:dyDescent="0.25">
      <c r="D356" s="3"/>
    </row>
    <row r="357" spans="4:4" ht="12.5" x14ac:dyDescent="0.25">
      <c r="D357" s="3"/>
    </row>
    <row r="358" spans="4:4" ht="12.5" x14ac:dyDescent="0.25">
      <c r="D358" s="3"/>
    </row>
    <row r="359" spans="4:4" ht="12.5" x14ac:dyDescent="0.25">
      <c r="D359" s="3"/>
    </row>
    <row r="360" spans="4:4" ht="12.5" x14ac:dyDescent="0.25">
      <c r="D360" s="3"/>
    </row>
    <row r="361" spans="4:4" ht="12.5" x14ac:dyDescent="0.25">
      <c r="D361" s="3"/>
    </row>
    <row r="362" spans="4:4" ht="12.5" x14ac:dyDescent="0.25">
      <c r="D362" s="3"/>
    </row>
    <row r="363" spans="4:4" ht="12.5" x14ac:dyDescent="0.25">
      <c r="D363" s="3"/>
    </row>
    <row r="364" spans="4:4" ht="12.5" x14ac:dyDescent="0.25">
      <c r="D364" s="3"/>
    </row>
    <row r="365" spans="4:4" ht="12.5" x14ac:dyDescent="0.25">
      <c r="D365" s="3"/>
    </row>
    <row r="366" spans="4:4" ht="12.5" x14ac:dyDescent="0.25">
      <c r="D366" s="3"/>
    </row>
    <row r="367" spans="4:4" ht="12.5" x14ac:dyDescent="0.25">
      <c r="D367" s="3"/>
    </row>
    <row r="368" spans="4:4" ht="12.5" x14ac:dyDescent="0.25">
      <c r="D368" s="3"/>
    </row>
    <row r="369" spans="4:4" ht="12.5" x14ac:dyDescent="0.25">
      <c r="D369" s="3"/>
    </row>
    <row r="370" spans="4:4" ht="12.5" x14ac:dyDescent="0.25">
      <c r="D370" s="3"/>
    </row>
    <row r="371" spans="4:4" ht="12.5" x14ac:dyDescent="0.25">
      <c r="D371" s="3"/>
    </row>
    <row r="372" spans="4:4" ht="12.5" x14ac:dyDescent="0.25">
      <c r="D372" s="3"/>
    </row>
    <row r="373" spans="4:4" ht="12.5" x14ac:dyDescent="0.25">
      <c r="D373" s="3"/>
    </row>
    <row r="374" spans="4:4" ht="12.5" x14ac:dyDescent="0.25">
      <c r="D374" s="3"/>
    </row>
    <row r="375" spans="4:4" ht="12.5" x14ac:dyDescent="0.25">
      <c r="D375" s="3"/>
    </row>
    <row r="376" spans="4:4" ht="12.5" x14ac:dyDescent="0.25">
      <c r="D376" s="3"/>
    </row>
    <row r="377" spans="4:4" ht="12.5" x14ac:dyDescent="0.25">
      <c r="D377" s="3"/>
    </row>
    <row r="378" spans="4:4" ht="12.5" x14ac:dyDescent="0.25">
      <c r="D378" s="3"/>
    </row>
    <row r="379" spans="4:4" ht="12.5" x14ac:dyDescent="0.25">
      <c r="D379" s="3"/>
    </row>
    <row r="380" spans="4:4" ht="12.5" x14ac:dyDescent="0.25">
      <c r="D380" s="3"/>
    </row>
    <row r="381" spans="4:4" ht="12.5" x14ac:dyDescent="0.25">
      <c r="D381" s="3"/>
    </row>
    <row r="382" spans="4:4" ht="12.5" x14ac:dyDescent="0.25">
      <c r="D382" s="3"/>
    </row>
    <row r="383" spans="4:4" ht="12.5" x14ac:dyDescent="0.25">
      <c r="D383" s="3"/>
    </row>
    <row r="384" spans="4:4" ht="12.5" x14ac:dyDescent="0.25">
      <c r="D384" s="3"/>
    </row>
    <row r="385" spans="4:4" ht="12.5" x14ac:dyDescent="0.25">
      <c r="D385" s="3"/>
    </row>
    <row r="386" spans="4:4" ht="12.5" x14ac:dyDescent="0.25">
      <c r="D386" s="3"/>
    </row>
    <row r="387" spans="4:4" ht="12.5" x14ac:dyDescent="0.25">
      <c r="D387" s="3"/>
    </row>
    <row r="388" spans="4:4" ht="12.5" x14ac:dyDescent="0.25">
      <c r="D388" s="3"/>
    </row>
    <row r="389" spans="4:4" ht="12.5" x14ac:dyDescent="0.25">
      <c r="D389" s="3"/>
    </row>
    <row r="390" spans="4:4" ht="12.5" x14ac:dyDescent="0.25">
      <c r="D390" s="3"/>
    </row>
    <row r="391" spans="4:4" ht="12.5" x14ac:dyDescent="0.25">
      <c r="D391" s="3"/>
    </row>
    <row r="392" spans="4:4" ht="12.5" x14ac:dyDescent="0.25">
      <c r="D392" s="3"/>
    </row>
    <row r="393" spans="4:4" ht="12.5" x14ac:dyDescent="0.25">
      <c r="D393" s="3"/>
    </row>
    <row r="394" spans="4:4" ht="12.5" x14ac:dyDescent="0.25">
      <c r="D394" s="3"/>
    </row>
    <row r="395" spans="4:4" ht="12.5" x14ac:dyDescent="0.25">
      <c r="D395" s="3"/>
    </row>
    <row r="396" spans="4:4" ht="12.5" x14ac:dyDescent="0.25">
      <c r="D396" s="3"/>
    </row>
    <row r="397" spans="4:4" ht="12.5" x14ac:dyDescent="0.25">
      <c r="D397" s="3"/>
    </row>
    <row r="398" spans="4:4" ht="12.5" x14ac:dyDescent="0.25">
      <c r="D398" s="3"/>
    </row>
    <row r="399" spans="4:4" ht="12.5" x14ac:dyDescent="0.25">
      <c r="D399" s="3"/>
    </row>
    <row r="400" spans="4:4" ht="12.5" x14ac:dyDescent="0.25">
      <c r="D400" s="3"/>
    </row>
    <row r="401" spans="4:4" ht="12.5" x14ac:dyDescent="0.25">
      <c r="D401" s="3"/>
    </row>
    <row r="402" spans="4:4" ht="12.5" x14ac:dyDescent="0.25">
      <c r="D402" s="3"/>
    </row>
    <row r="403" spans="4:4" ht="12.5" x14ac:dyDescent="0.25">
      <c r="D403" s="3"/>
    </row>
    <row r="404" spans="4:4" ht="12.5" x14ac:dyDescent="0.25">
      <c r="D404" s="3"/>
    </row>
    <row r="405" spans="4:4" ht="12.5" x14ac:dyDescent="0.25">
      <c r="D405" s="3"/>
    </row>
    <row r="406" spans="4:4" ht="12.5" x14ac:dyDescent="0.25">
      <c r="D406" s="3"/>
    </row>
    <row r="407" spans="4:4" ht="12.5" x14ac:dyDescent="0.25">
      <c r="D407" s="3"/>
    </row>
    <row r="408" spans="4:4" ht="12.5" x14ac:dyDescent="0.25">
      <c r="D408" s="3"/>
    </row>
    <row r="409" spans="4:4" ht="12.5" x14ac:dyDescent="0.25">
      <c r="D409" s="3"/>
    </row>
    <row r="410" spans="4:4" ht="12.5" x14ac:dyDescent="0.25">
      <c r="D410" s="3"/>
    </row>
    <row r="411" spans="4:4" ht="12.5" x14ac:dyDescent="0.25">
      <c r="D411" s="3"/>
    </row>
    <row r="412" spans="4:4" ht="12.5" x14ac:dyDescent="0.25">
      <c r="D412" s="3"/>
    </row>
    <row r="413" spans="4:4" ht="12.5" x14ac:dyDescent="0.25">
      <c r="D413" s="3"/>
    </row>
    <row r="414" spans="4:4" ht="12.5" x14ac:dyDescent="0.25">
      <c r="D414" s="3"/>
    </row>
    <row r="415" spans="4:4" ht="12.5" x14ac:dyDescent="0.25">
      <c r="D415" s="3"/>
    </row>
    <row r="416" spans="4:4" ht="12.5" x14ac:dyDescent="0.25">
      <c r="D416" s="3"/>
    </row>
    <row r="417" spans="4:4" ht="12.5" x14ac:dyDescent="0.25">
      <c r="D417" s="3"/>
    </row>
    <row r="418" spans="4:4" ht="12.5" x14ac:dyDescent="0.25">
      <c r="D418" s="3"/>
    </row>
    <row r="419" spans="4:4" ht="12.5" x14ac:dyDescent="0.25">
      <c r="D419" s="3"/>
    </row>
    <row r="420" spans="4:4" ht="12.5" x14ac:dyDescent="0.25">
      <c r="D420" s="3"/>
    </row>
    <row r="421" spans="4:4" ht="12.5" x14ac:dyDescent="0.25">
      <c r="D421" s="3"/>
    </row>
    <row r="422" spans="4:4" ht="12.5" x14ac:dyDescent="0.25">
      <c r="D422" s="3"/>
    </row>
    <row r="423" spans="4:4" ht="12.5" x14ac:dyDescent="0.25">
      <c r="D423" s="3"/>
    </row>
    <row r="424" spans="4:4" ht="12.5" x14ac:dyDescent="0.25">
      <c r="D424" s="3"/>
    </row>
    <row r="425" spans="4:4" ht="12.5" x14ac:dyDescent="0.25">
      <c r="D425" s="3"/>
    </row>
    <row r="426" spans="4:4" ht="12.5" x14ac:dyDescent="0.25">
      <c r="D426" s="3"/>
    </row>
    <row r="427" spans="4:4" ht="12.5" x14ac:dyDescent="0.25">
      <c r="D427" s="3"/>
    </row>
    <row r="428" spans="4:4" ht="12.5" x14ac:dyDescent="0.25">
      <c r="D428" s="3"/>
    </row>
    <row r="429" spans="4:4" ht="12.5" x14ac:dyDescent="0.25">
      <c r="D429" s="3"/>
    </row>
    <row r="430" spans="4:4" ht="12.5" x14ac:dyDescent="0.25">
      <c r="D430" s="3"/>
    </row>
    <row r="431" spans="4:4" ht="12.5" x14ac:dyDescent="0.25">
      <c r="D431" s="3"/>
    </row>
    <row r="432" spans="4:4" ht="12.5" x14ac:dyDescent="0.25">
      <c r="D432" s="3"/>
    </row>
    <row r="433" spans="4:4" ht="12.5" x14ac:dyDescent="0.25">
      <c r="D433" s="3"/>
    </row>
    <row r="434" spans="4:4" ht="12.5" x14ac:dyDescent="0.25">
      <c r="D434" s="3"/>
    </row>
    <row r="435" spans="4:4" ht="12.5" x14ac:dyDescent="0.25">
      <c r="D435" s="3"/>
    </row>
    <row r="436" spans="4:4" ht="12.5" x14ac:dyDescent="0.25">
      <c r="D436" s="3"/>
    </row>
    <row r="437" spans="4:4" ht="12.5" x14ac:dyDescent="0.25">
      <c r="D437" s="3"/>
    </row>
    <row r="438" spans="4:4" ht="12.5" x14ac:dyDescent="0.25">
      <c r="D438" s="3"/>
    </row>
    <row r="439" spans="4:4" ht="12.5" x14ac:dyDescent="0.25">
      <c r="D439" s="3"/>
    </row>
    <row r="440" spans="4:4" ht="12.5" x14ac:dyDescent="0.25">
      <c r="D440" s="3"/>
    </row>
    <row r="441" spans="4:4" ht="12.5" x14ac:dyDescent="0.25">
      <c r="D441" s="3"/>
    </row>
    <row r="442" spans="4:4" ht="12.5" x14ac:dyDescent="0.25">
      <c r="D442" s="3"/>
    </row>
    <row r="443" spans="4:4" ht="12.5" x14ac:dyDescent="0.25">
      <c r="D443" s="3"/>
    </row>
    <row r="444" spans="4:4" ht="12.5" x14ac:dyDescent="0.25">
      <c r="D444" s="3"/>
    </row>
    <row r="445" spans="4:4" ht="12.5" x14ac:dyDescent="0.25">
      <c r="D445" s="3"/>
    </row>
    <row r="446" spans="4:4" ht="12.5" x14ac:dyDescent="0.25">
      <c r="D446" s="3"/>
    </row>
    <row r="447" spans="4:4" ht="12.5" x14ac:dyDescent="0.25">
      <c r="D447" s="3"/>
    </row>
    <row r="448" spans="4:4" ht="12.5" x14ac:dyDescent="0.25">
      <c r="D448" s="3"/>
    </row>
    <row r="449" spans="4:4" ht="12.5" x14ac:dyDescent="0.25">
      <c r="D449" s="3"/>
    </row>
    <row r="450" spans="4:4" ht="12.5" x14ac:dyDescent="0.25">
      <c r="D450" s="3"/>
    </row>
    <row r="451" spans="4:4" ht="12.5" x14ac:dyDescent="0.25">
      <c r="D451" s="3"/>
    </row>
    <row r="452" spans="4:4" ht="12.5" x14ac:dyDescent="0.25">
      <c r="D452" s="3"/>
    </row>
    <row r="453" spans="4:4" ht="12.5" x14ac:dyDescent="0.25">
      <c r="D453" s="3"/>
    </row>
    <row r="454" spans="4:4" ht="12.5" x14ac:dyDescent="0.25">
      <c r="D454" s="3"/>
    </row>
    <row r="455" spans="4:4" ht="12.5" x14ac:dyDescent="0.25">
      <c r="D455" s="3"/>
    </row>
    <row r="456" spans="4:4" ht="12.5" x14ac:dyDescent="0.25">
      <c r="D456" s="3"/>
    </row>
    <row r="457" spans="4:4" ht="12.5" x14ac:dyDescent="0.25">
      <c r="D457" s="3"/>
    </row>
    <row r="458" spans="4:4" ht="12.5" x14ac:dyDescent="0.25">
      <c r="D458" s="3"/>
    </row>
    <row r="459" spans="4:4" ht="12.5" x14ac:dyDescent="0.25">
      <c r="D459" s="3"/>
    </row>
    <row r="460" spans="4:4" ht="12.5" x14ac:dyDescent="0.25">
      <c r="D460" s="3"/>
    </row>
    <row r="461" spans="4:4" ht="12.5" x14ac:dyDescent="0.25">
      <c r="D461" s="3"/>
    </row>
    <row r="462" spans="4:4" ht="12.5" x14ac:dyDescent="0.25">
      <c r="D462" s="3"/>
    </row>
    <row r="463" spans="4:4" ht="12.5" x14ac:dyDescent="0.25">
      <c r="D463" s="3"/>
    </row>
    <row r="464" spans="4:4" ht="12.5" x14ac:dyDescent="0.25">
      <c r="D464" s="3"/>
    </row>
    <row r="465" spans="4:4" ht="12.5" x14ac:dyDescent="0.25">
      <c r="D465" s="3"/>
    </row>
    <row r="466" spans="4:4" ht="12.5" x14ac:dyDescent="0.25">
      <c r="D466" s="3"/>
    </row>
    <row r="467" spans="4:4" ht="12.5" x14ac:dyDescent="0.25">
      <c r="D467" s="3"/>
    </row>
    <row r="468" spans="4:4" ht="12.5" x14ac:dyDescent="0.25">
      <c r="D468" s="3"/>
    </row>
    <row r="469" spans="4:4" ht="12.5" x14ac:dyDescent="0.25">
      <c r="D469" s="3"/>
    </row>
    <row r="470" spans="4:4" ht="12.5" x14ac:dyDescent="0.25">
      <c r="D470" s="3"/>
    </row>
    <row r="471" spans="4:4" ht="12.5" x14ac:dyDescent="0.25">
      <c r="D471" s="3"/>
    </row>
    <row r="472" spans="4:4" ht="12.5" x14ac:dyDescent="0.25">
      <c r="D472" s="3"/>
    </row>
    <row r="473" spans="4:4" ht="12.5" x14ac:dyDescent="0.25">
      <c r="D473" s="3"/>
    </row>
    <row r="474" spans="4:4" ht="12.5" x14ac:dyDescent="0.25">
      <c r="D474" s="3"/>
    </row>
    <row r="475" spans="4:4" ht="12.5" x14ac:dyDescent="0.25">
      <c r="D475" s="3"/>
    </row>
    <row r="476" spans="4:4" ht="12.5" x14ac:dyDescent="0.25">
      <c r="D476" s="3"/>
    </row>
    <row r="477" spans="4:4" ht="12.5" x14ac:dyDescent="0.25">
      <c r="D477" s="3"/>
    </row>
    <row r="478" spans="4:4" ht="12.5" x14ac:dyDescent="0.25">
      <c r="D478" s="3"/>
    </row>
    <row r="479" spans="4:4" ht="12.5" x14ac:dyDescent="0.25">
      <c r="D479" s="3"/>
    </row>
    <row r="480" spans="4:4" ht="12.5" x14ac:dyDescent="0.25">
      <c r="D480" s="3"/>
    </row>
    <row r="481" spans="4:4" ht="12.5" x14ac:dyDescent="0.25">
      <c r="D481" s="3"/>
    </row>
    <row r="482" spans="4:4" ht="12.5" x14ac:dyDescent="0.25">
      <c r="D482" s="3"/>
    </row>
    <row r="483" spans="4:4" ht="12.5" x14ac:dyDescent="0.25">
      <c r="D483" s="3"/>
    </row>
    <row r="484" spans="4:4" ht="12.5" x14ac:dyDescent="0.25">
      <c r="D484" s="3"/>
    </row>
    <row r="485" spans="4:4" ht="12.5" x14ac:dyDescent="0.25">
      <c r="D485" s="3"/>
    </row>
    <row r="486" spans="4:4" ht="12.5" x14ac:dyDescent="0.25">
      <c r="D486" s="3"/>
    </row>
    <row r="487" spans="4:4" ht="12.5" x14ac:dyDescent="0.25">
      <c r="D487" s="3"/>
    </row>
    <row r="488" spans="4:4" ht="12.5" x14ac:dyDescent="0.25">
      <c r="D488" s="3"/>
    </row>
    <row r="489" spans="4:4" ht="12.5" x14ac:dyDescent="0.25">
      <c r="D489" s="3"/>
    </row>
    <row r="490" spans="4:4" ht="12.5" x14ac:dyDescent="0.25">
      <c r="D490" s="3"/>
    </row>
    <row r="491" spans="4:4" ht="12.5" x14ac:dyDescent="0.25">
      <c r="D491" s="3"/>
    </row>
    <row r="492" spans="4:4" ht="12.5" x14ac:dyDescent="0.25">
      <c r="D492" s="3"/>
    </row>
    <row r="493" spans="4:4" ht="12.5" x14ac:dyDescent="0.25">
      <c r="D493" s="3"/>
    </row>
    <row r="494" spans="4:4" ht="12.5" x14ac:dyDescent="0.25">
      <c r="D494" s="3"/>
    </row>
    <row r="495" spans="4:4" ht="12.5" x14ac:dyDescent="0.25">
      <c r="D495" s="3"/>
    </row>
    <row r="496" spans="4:4" ht="12.5" x14ac:dyDescent="0.25">
      <c r="D496" s="3"/>
    </row>
    <row r="497" spans="4:4" ht="12.5" x14ac:dyDescent="0.25">
      <c r="D497" s="3"/>
    </row>
    <row r="498" spans="4:4" ht="12.5" x14ac:dyDescent="0.25">
      <c r="D498" s="3"/>
    </row>
    <row r="499" spans="4:4" ht="12.5" x14ac:dyDescent="0.25">
      <c r="D499" s="3"/>
    </row>
    <row r="500" spans="4:4" ht="12.5" x14ac:dyDescent="0.25">
      <c r="D500" s="3"/>
    </row>
    <row r="501" spans="4:4" ht="12.5" x14ac:dyDescent="0.25">
      <c r="D501" s="3"/>
    </row>
    <row r="502" spans="4:4" ht="12.5" x14ac:dyDescent="0.25">
      <c r="D502" s="3"/>
    </row>
    <row r="503" spans="4:4" ht="12.5" x14ac:dyDescent="0.25">
      <c r="D503" s="3"/>
    </row>
    <row r="504" spans="4:4" ht="12.5" x14ac:dyDescent="0.25">
      <c r="D504" s="3"/>
    </row>
    <row r="505" spans="4:4" ht="12.5" x14ac:dyDescent="0.25">
      <c r="D505" s="3"/>
    </row>
    <row r="506" spans="4:4" ht="12.5" x14ac:dyDescent="0.25">
      <c r="D506" s="3"/>
    </row>
    <row r="507" spans="4:4" ht="12.5" x14ac:dyDescent="0.25">
      <c r="D507" s="3"/>
    </row>
    <row r="508" spans="4:4" ht="12.5" x14ac:dyDescent="0.25">
      <c r="D508" s="3"/>
    </row>
    <row r="509" spans="4:4" ht="12.5" x14ac:dyDescent="0.25">
      <c r="D509" s="3"/>
    </row>
    <row r="510" spans="4:4" ht="12.5" x14ac:dyDescent="0.25">
      <c r="D510" s="3"/>
    </row>
    <row r="511" spans="4:4" ht="12.5" x14ac:dyDescent="0.25">
      <c r="D511" s="3"/>
    </row>
    <row r="512" spans="4:4" ht="12.5" x14ac:dyDescent="0.25">
      <c r="D512" s="3"/>
    </row>
    <row r="513" spans="4:4" ht="12.5" x14ac:dyDescent="0.25">
      <c r="D513" s="3"/>
    </row>
    <row r="514" spans="4:4" ht="12.5" x14ac:dyDescent="0.25">
      <c r="D514" s="3"/>
    </row>
    <row r="515" spans="4:4" ht="12.5" x14ac:dyDescent="0.25">
      <c r="D515" s="3"/>
    </row>
    <row r="516" spans="4:4" ht="12.5" x14ac:dyDescent="0.25">
      <c r="D516" s="3"/>
    </row>
    <row r="517" spans="4:4" ht="12.5" x14ac:dyDescent="0.25">
      <c r="D517" s="3"/>
    </row>
    <row r="518" spans="4:4" ht="12.5" x14ac:dyDescent="0.25">
      <c r="D518" s="3"/>
    </row>
    <row r="519" spans="4:4" ht="12.5" x14ac:dyDescent="0.25">
      <c r="D519" s="3"/>
    </row>
    <row r="520" spans="4:4" ht="12.5" x14ac:dyDescent="0.25">
      <c r="D520" s="3"/>
    </row>
    <row r="521" spans="4:4" ht="12.5" x14ac:dyDescent="0.25">
      <c r="D521" s="3"/>
    </row>
    <row r="522" spans="4:4" ht="12.5" x14ac:dyDescent="0.25">
      <c r="D522" s="3"/>
    </row>
    <row r="523" spans="4:4" ht="12.5" x14ac:dyDescent="0.25">
      <c r="D523" s="3"/>
    </row>
    <row r="524" spans="4:4" ht="12.5" x14ac:dyDescent="0.25">
      <c r="D524" s="3"/>
    </row>
    <row r="525" spans="4:4" ht="12.5" x14ac:dyDescent="0.25">
      <c r="D525" s="3"/>
    </row>
    <row r="526" spans="4:4" ht="12.5" x14ac:dyDescent="0.25">
      <c r="D526" s="3"/>
    </row>
    <row r="527" spans="4:4" ht="12.5" x14ac:dyDescent="0.25">
      <c r="D527" s="3"/>
    </row>
    <row r="528" spans="4:4" ht="12.5" x14ac:dyDescent="0.25">
      <c r="D528" s="3"/>
    </row>
    <row r="529" spans="4:4" ht="12.5" x14ac:dyDescent="0.25">
      <c r="D529" s="3"/>
    </row>
    <row r="530" spans="4:4" ht="12.5" x14ac:dyDescent="0.25">
      <c r="D530" s="3"/>
    </row>
    <row r="531" spans="4:4" ht="12.5" x14ac:dyDescent="0.25">
      <c r="D531" s="3"/>
    </row>
    <row r="532" spans="4:4" ht="12.5" x14ac:dyDescent="0.25">
      <c r="D532" s="3"/>
    </row>
    <row r="533" spans="4:4" ht="12.5" x14ac:dyDescent="0.25">
      <c r="D533" s="3"/>
    </row>
    <row r="534" spans="4:4" ht="12.5" x14ac:dyDescent="0.25">
      <c r="D534" s="3"/>
    </row>
    <row r="535" spans="4:4" ht="12.5" x14ac:dyDescent="0.25">
      <c r="D535" s="3"/>
    </row>
    <row r="536" spans="4:4" ht="12.5" x14ac:dyDescent="0.25">
      <c r="D536" s="3"/>
    </row>
    <row r="537" spans="4:4" ht="12.5" x14ac:dyDescent="0.25">
      <c r="D537" s="3"/>
    </row>
    <row r="538" spans="4:4" ht="12.5" x14ac:dyDescent="0.25">
      <c r="D538" s="3"/>
    </row>
    <row r="539" spans="4:4" ht="12.5" x14ac:dyDescent="0.25">
      <c r="D539" s="3"/>
    </row>
    <row r="540" spans="4:4" ht="12.5" x14ac:dyDescent="0.25">
      <c r="D540" s="3"/>
    </row>
    <row r="541" spans="4:4" ht="12.5" x14ac:dyDescent="0.25">
      <c r="D541" s="3"/>
    </row>
    <row r="542" spans="4:4" ht="12.5" x14ac:dyDescent="0.25">
      <c r="D542" s="3"/>
    </row>
    <row r="543" spans="4:4" ht="12.5" x14ac:dyDescent="0.25">
      <c r="D543" s="3"/>
    </row>
    <row r="544" spans="4:4" ht="12.5" x14ac:dyDescent="0.25">
      <c r="D544" s="3"/>
    </row>
    <row r="545" spans="4:4" ht="12.5" x14ac:dyDescent="0.25">
      <c r="D545" s="3"/>
    </row>
    <row r="546" spans="4:4" ht="12.5" x14ac:dyDescent="0.25">
      <c r="D546" s="3"/>
    </row>
    <row r="547" spans="4:4" ht="12.5" x14ac:dyDescent="0.25">
      <c r="D547" s="3"/>
    </row>
    <row r="548" spans="4:4" ht="12.5" x14ac:dyDescent="0.25">
      <c r="D548" s="3"/>
    </row>
    <row r="549" spans="4:4" ht="12.5" x14ac:dyDescent="0.25">
      <c r="D549" s="3"/>
    </row>
    <row r="550" spans="4:4" ht="12.5" x14ac:dyDescent="0.25">
      <c r="D550" s="3"/>
    </row>
    <row r="551" spans="4:4" ht="12.5" x14ac:dyDescent="0.25">
      <c r="D551" s="3"/>
    </row>
    <row r="552" spans="4:4" ht="12.5" x14ac:dyDescent="0.25">
      <c r="D552" s="3"/>
    </row>
    <row r="553" spans="4:4" ht="12.5" x14ac:dyDescent="0.25">
      <c r="D553" s="3"/>
    </row>
    <row r="554" spans="4:4" ht="12.5" x14ac:dyDescent="0.25">
      <c r="D554" s="3"/>
    </row>
    <row r="555" spans="4:4" ht="12.5" x14ac:dyDescent="0.25">
      <c r="D555" s="3"/>
    </row>
    <row r="556" spans="4:4" ht="12.5" x14ac:dyDescent="0.25">
      <c r="D556" s="3"/>
    </row>
    <row r="557" spans="4:4" ht="12.5" x14ac:dyDescent="0.25">
      <c r="D557" s="3"/>
    </row>
    <row r="558" spans="4:4" ht="12.5" x14ac:dyDescent="0.25">
      <c r="D558" s="3"/>
    </row>
    <row r="559" spans="4:4" ht="12.5" x14ac:dyDescent="0.25">
      <c r="D559" s="3"/>
    </row>
    <row r="560" spans="4:4" ht="12.5" x14ac:dyDescent="0.25">
      <c r="D560" s="3"/>
    </row>
    <row r="561" spans="4:4" ht="12.5" x14ac:dyDescent="0.25">
      <c r="D561" s="3"/>
    </row>
    <row r="562" spans="4:4" ht="12.5" x14ac:dyDescent="0.25">
      <c r="D562" s="3"/>
    </row>
    <row r="563" spans="4:4" ht="12.5" x14ac:dyDescent="0.25">
      <c r="D563" s="3"/>
    </row>
    <row r="564" spans="4:4" ht="12.5" x14ac:dyDescent="0.25">
      <c r="D564" s="3"/>
    </row>
    <row r="565" spans="4:4" ht="12.5" x14ac:dyDescent="0.25">
      <c r="D565" s="3"/>
    </row>
    <row r="566" spans="4:4" ht="12.5" x14ac:dyDescent="0.25">
      <c r="D566" s="3"/>
    </row>
    <row r="567" spans="4:4" ht="12.5" x14ac:dyDescent="0.25">
      <c r="D567" s="3"/>
    </row>
    <row r="568" spans="4:4" ht="12.5" x14ac:dyDescent="0.25">
      <c r="D568" s="3"/>
    </row>
    <row r="569" spans="4:4" ht="12.5" x14ac:dyDescent="0.25">
      <c r="D569" s="3"/>
    </row>
    <row r="570" spans="4:4" ht="12.5" x14ac:dyDescent="0.25">
      <c r="D570" s="3"/>
    </row>
    <row r="571" spans="4:4" ht="12.5" x14ac:dyDescent="0.25">
      <c r="D571" s="3"/>
    </row>
    <row r="572" spans="4:4" ht="12.5" x14ac:dyDescent="0.25">
      <c r="D572" s="3"/>
    </row>
    <row r="573" spans="4:4" ht="12.5" x14ac:dyDescent="0.25">
      <c r="D573" s="3"/>
    </row>
    <row r="574" spans="4:4" ht="12.5" x14ac:dyDescent="0.25">
      <c r="D574" s="3"/>
    </row>
    <row r="575" spans="4:4" ht="12.5" x14ac:dyDescent="0.25">
      <c r="D575" s="3"/>
    </row>
    <row r="576" spans="4:4" ht="12.5" x14ac:dyDescent="0.25">
      <c r="D576" s="3"/>
    </row>
    <row r="577" spans="4:4" ht="12.5" x14ac:dyDescent="0.25">
      <c r="D577" s="3"/>
    </row>
    <row r="578" spans="4:4" ht="12.5" x14ac:dyDescent="0.25">
      <c r="D578" s="3"/>
    </row>
    <row r="579" spans="4:4" ht="12.5" x14ac:dyDescent="0.25">
      <c r="D579" s="3"/>
    </row>
    <row r="580" spans="4:4" ht="12.5" x14ac:dyDescent="0.25">
      <c r="D580" s="3"/>
    </row>
    <row r="581" spans="4:4" ht="12.5" x14ac:dyDescent="0.25">
      <c r="D581" s="3"/>
    </row>
    <row r="582" spans="4:4" ht="12.5" x14ac:dyDescent="0.25">
      <c r="D582" s="3"/>
    </row>
    <row r="583" spans="4:4" ht="12.5" x14ac:dyDescent="0.25">
      <c r="D583" s="3"/>
    </row>
    <row r="584" spans="4:4" ht="12.5" x14ac:dyDescent="0.25">
      <c r="D584" s="3"/>
    </row>
    <row r="585" spans="4:4" ht="12.5" x14ac:dyDescent="0.25">
      <c r="D585" s="3"/>
    </row>
    <row r="586" spans="4:4" ht="12.5" x14ac:dyDescent="0.25">
      <c r="D586" s="3"/>
    </row>
    <row r="587" spans="4:4" ht="12.5" x14ac:dyDescent="0.25">
      <c r="D587" s="3"/>
    </row>
    <row r="588" spans="4:4" ht="12.5" x14ac:dyDescent="0.25">
      <c r="D588" s="3"/>
    </row>
    <row r="589" spans="4:4" ht="12.5" x14ac:dyDescent="0.25">
      <c r="D589" s="3"/>
    </row>
    <row r="590" spans="4:4" ht="12.5" x14ac:dyDescent="0.25">
      <c r="D590" s="3"/>
    </row>
    <row r="591" spans="4:4" ht="12.5" x14ac:dyDescent="0.25">
      <c r="D591" s="3"/>
    </row>
    <row r="592" spans="4:4" ht="12.5" x14ac:dyDescent="0.25">
      <c r="D592" s="3"/>
    </row>
    <row r="593" spans="4:4" ht="12.5" x14ac:dyDescent="0.25">
      <c r="D593" s="3"/>
    </row>
    <row r="594" spans="4:4" ht="12.5" x14ac:dyDescent="0.25">
      <c r="D594" s="3"/>
    </row>
    <row r="595" spans="4:4" ht="12.5" x14ac:dyDescent="0.25">
      <c r="D595" s="3"/>
    </row>
    <row r="596" spans="4:4" ht="12.5" x14ac:dyDescent="0.25">
      <c r="D596" s="3"/>
    </row>
    <row r="597" spans="4:4" ht="12.5" x14ac:dyDescent="0.25">
      <c r="D597" s="3"/>
    </row>
    <row r="598" spans="4:4" ht="12.5" x14ac:dyDescent="0.25">
      <c r="D598" s="3"/>
    </row>
    <row r="599" spans="4:4" ht="12.5" x14ac:dyDescent="0.25">
      <c r="D599" s="3"/>
    </row>
    <row r="600" spans="4:4" ht="12.5" x14ac:dyDescent="0.25">
      <c r="D600" s="3"/>
    </row>
    <row r="601" spans="4:4" ht="12.5" x14ac:dyDescent="0.25">
      <c r="D601" s="3"/>
    </row>
    <row r="602" spans="4:4" ht="12.5" x14ac:dyDescent="0.25">
      <c r="D602" s="3"/>
    </row>
    <row r="603" spans="4:4" ht="12.5" x14ac:dyDescent="0.25">
      <c r="D603" s="3"/>
    </row>
    <row r="604" spans="4:4" ht="12.5" x14ac:dyDescent="0.25">
      <c r="D604" s="3"/>
    </row>
    <row r="605" spans="4:4" ht="12.5" x14ac:dyDescent="0.25">
      <c r="D605" s="3"/>
    </row>
    <row r="606" spans="4:4" ht="12.5" x14ac:dyDescent="0.25">
      <c r="D606" s="3"/>
    </row>
    <row r="607" spans="4:4" ht="12.5" x14ac:dyDescent="0.25">
      <c r="D607" s="3"/>
    </row>
    <row r="608" spans="4:4" ht="12.5" x14ac:dyDescent="0.25">
      <c r="D608" s="3"/>
    </row>
    <row r="609" spans="4:4" ht="12.5" x14ac:dyDescent="0.25">
      <c r="D609" s="3"/>
    </row>
    <row r="610" spans="4:4" ht="12.5" x14ac:dyDescent="0.25">
      <c r="D610" s="3"/>
    </row>
    <row r="611" spans="4:4" ht="12.5" x14ac:dyDescent="0.25">
      <c r="D611" s="3"/>
    </row>
    <row r="612" spans="4:4" ht="12.5" x14ac:dyDescent="0.25">
      <c r="D612" s="3"/>
    </row>
    <row r="613" spans="4:4" ht="12.5" x14ac:dyDescent="0.25">
      <c r="D613" s="3"/>
    </row>
    <row r="614" spans="4:4" ht="12.5" x14ac:dyDescent="0.25">
      <c r="D614" s="3"/>
    </row>
    <row r="615" spans="4:4" ht="12.5" x14ac:dyDescent="0.25">
      <c r="D615" s="3"/>
    </row>
    <row r="616" spans="4:4" ht="12.5" x14ac:dyDescent="0.25">
      <c r="D616" s="3"/>
    </row>
    <row r="617" spans="4:4" ht="12.5" x14ac:dyDescent="0.25">
      <c r="D617" s="3"/>
    </row>
    <row r="618" spans="4:4" ht="12.5" x14ac:dyDescent="0.25">
      <c r="D618" s="3"/>
    </row>
    <row r="619" spans="4:4" ht="12.5" x14ac:dyDescent="0.25">
      <c r="D619" s="3"/>
    </row>
    <row r="620" spans="4:4" ht="12.5" x14ac:dyDescent="0.25">
      <c r="D620" s="3"/>
    </row>
    <row r="621" spans="4:4" ht="12.5" x14ac:dyDescent="0.25">
      <c r="D621" s="3"/>
    </row>
    <row r="622" spans="4:4" ht="12.5" x14ac:dyDescent="0.25">
      <c r="D622" s="3"/>
    </row>
    <row r="623" spans="4:4" ht="12.5" x14ac:dyDescent="0.25">
      <c r="D623" s="3"/>
    </row>
    <row r="624" spans="4:4" ht="12.5" x14ac:dyDescent="0.25">
      <c r="D624" s="3"/>
    </row>
    <row r="625" spans="4:4" ht="12.5" x14ac:dyDescent="0.25">
      <c r="D625" s="3"/>
    </row>
    <row r="626" spans="4:4" ht="12.5" x14ac:dyDescent="0.25">
      <c r="D626" s="3"/>
    </row>
    <row r="627" spans="4:4" ht="12.5" x14ac:dyDescent="0.25">
      <c r="D627" s="3"/>
    </row>
    <row r="628" spans="4:4" ht="12.5" x14ac:dyDescent="0.25">
      <c r="D628" s="3"/>
    </row>
    <row r="629" spans="4:4" ht="12.5" x14ac:dyDescent="0.25">
      <c r="D629" s="3"/>
    </row>
    <row r="630" spans="4:4" ht="12.5" x14ac:dyDescent="0.25">
      <c r="D630" s="3"/>
    </row>
    <row r="631" spans="4:4" ht="12.5" x14ac:dyDescent="0.25">
      <c r="D631" s="3"/>
    </row>
    <row r="632" spans="4:4" ht="12.5" x14ac:dyDescent="0.25">
      <c r="D632" s="3"/>
    </row>
    <row r="633" spans="4:4" ht="12.5" x14ac:dyDescent="0.25">
      <c r="D633" s="3"/>
    </row>
    <row r="634" spans="4:4" ht="12.5" x14ac:dyDescent="0.25">
      <c r="D634" s="3"/>
    </row>
    <row r="635" spans="4:4" ht="12.5" x14ac:dyDescent="0.25">
      <c r="D635" s="3"/>
    </row>
    <row r="636" spans="4:4" ht="12.5" x14ac:dyDescent="0.25">
      <c r="D636" s="3"/>
    </row>
    <row r="637" spans="4:4" ht="12.5" x14ac:dyDescent="0.25">
      <c r="D637" s="3"/>
    </row>
    <row r="638" spans="4:4" ht="12.5" x14ac:dyDescent="0.25">
      <c r="D638" s="3"/>
    </row>
    <row r="639" spans="4:4" ht="12.5" x14ac:dyDescent="0.25">
      <c r="D639" s="3"/>
    </row>
    <row r="640" spans="4:4" ht="12.5" x14ac:dyDescent="0.25">
      <c r="D640" s="3"/>
    </row>
    <row r="641" spans="4:4" ht="12.5" x14ac:dyDescent="0.25">
      <c r="D641" s="3"/>
    </row>
    <row r="642" spans="4:4" ht="12.5" x14ac:dyDescent="0.25">
      <c r="D642" s="3"/>
    </row>
    <row r="643" spans="4:4" ht="12.5" x14ac:dyDescent="0.25">
      <c r="D643" s="3"/>
    </row>
    <row r="644" spans="4:4" ht="12.5" x14ac:dyDescent="0.25">
      <c r="D644" s="3"/>
    </row>
    <row r="645" spans="4:4" ht="12.5" x14ac:dyDescent="0.25">
      <c r="D645" s="3"/>
    </row>
    <row r="646" spans="4:4" ht="12.5" x14ac:dyDescent="0.25">
      <c r="D646" s="3"/>
    </row>
    <row r="647" spans="4:4" ht="12.5" x14ac:dyDescent="0.25">
      <c r="D647" s="3"/>
    </row>
    <row r="648" spans="4:4" ht="12.5" x14ac:dyDescent="0.25">
      <c r="D648" s="3"/>
    </row>
    <row r="649" spans="4:4" ht="12.5" x14ac:dyDescent="0.25">
      <c r="D649" s="3"/>
    </row>
    <row r="650" spans="4:4" ht="12.5" x14ac:dyDescent="0.25">
      <c r="D650" s="3"/>
    </row>
    <row r="651" spans="4:4" ht="12.5" x14ac:dyDescent="0.25">
      <c r="D651" s="3"/>
    </row>
    <row r="652" spans="4:4" ht="12.5" x14ac:dyDescent="0.25">
      <c r="D652" s="3"/>
    </row>
    <row r="653" spans="4:4" ht="12.5" x14ac:dyDescent="0.25">
      <c r="D653" s="3"/>
    </row>
    <row r="654" spans="4:4" ht="12.5" x14ac:dyDescent="0.25">
      <c r="D654" s="3"/>
    </row>
    <row r="655" spans="4:4" ht="12.5" x14ac:dyDescent="0.25">
      <c r="D655" s="3"/>
    </row>
    <row r="656" spans="4:4" ht="12.5" x14ac:dyDescent="0.25">
      <c r="D656" s="3"/>
    </row>
    <row r="657" spans="4:4" ht="12.5" x14ac:dyDescent="0.25">
      <c r="D657" s="3"/>
    </row>
    <row r="658" spans="4:4" ht="12.5" x14ac:dyDescent="0.25">
      <c r="D658" s="3"/>
    </row>
    <row r="659" spans="4:4" ht="12.5" x14ac:dyDescent="0.25">
      <c r="D659" s="3"/>
    </row>
    <row r="660" spans="4:4" ht="12.5" x14ac:dyDescent="0.25">
      <c r="D660" s="3"/>
    </row>
    <row r="661" spans="4:4" ht="12.5" x14ac:dyDescent="0.25">
      <c r="D661" s="3"/>
    </row>
    <row r="662" spans="4:4" ht="12.5" x14ac:dyDescent="0.25">
      <c r="D662" s="3"/>
    </row>
    <row r="663" spans="4:4" ht="12.5" x14ac:dyDescent="0.25">
      <c r="D663" s="3"/>
    </row>
    <row r="664" spans="4:4" ht="12.5" x14ac:dyDescent="0.25">
      <c r="D664" s="3"/>
    </row>
    <row r="665" spans="4:4" ht="12.5" x14ac:dyDescent="0.25">
      <c r="D665" s="3"/>
    </row>
    <row r="666" spans="4:4" ht="12.5" x14ac:dyDescent="0.25">
      <c r="D666" s="3"/>
    </row>
    <row r="667" spans="4:4" ht="12.5" x14ac:dyDescent="0.25">
      <c r="D667" s="3"/>
    </row>
    <row r="668" spans="4:4" ht="12.5" x14ac:dyDescent="0.25">
      <c r="D668" s="3"/>
    </row>
    <row r="669" spans="4:4" ht="12.5" x14ac:dyDescent="0.25">
      <c r="D669" s="3"/>
    </row>
    <row r="670" spans="4:4" ht="12.5" x14ac:dyDescent="0.25">
      <c r="D670" s="3"/>
    </row>
    <row r="671" spans="4:4" ht="12.5" x14ac:dyDescent="0.25">
      <c r="D671" s="3"/>
    </row>
    <row r="672" spans="4:4" ht="12.5" x14ac:dyDescent="0.25">
      <c r="D672" s="3"/>
    </row>
    <row r="673" spans="4:4" ht="12.5" x14ac:dyDescent="0.25">
      <c r="D673" s="3"/>
    </row>
    <row r="674" spans="4:4" ht="12.5" x14ac:dyDescent="0.25">
      <c r="D674" s="3"/>
    </row>
    <row r="675" spans="4:4" ht="12.5" x14ac:dyDescent="0.25">
      <c r="D675" s="3"/>
    </row>
    <row r="676" spans="4:4" ht="12.5" x14ac:dyDescent="0.25">
      <c r="D676" s="3"/>
    </row>
    <row r="677" spans="4:4" ht="12.5" x14ac:dyDescent="0.25">
      <c r="D677" s="3"/>
    </row>
    <row r="678" spans="4:4" ht="12.5" x14ac:dyDescent="0.25">
      <c r="D678" s="3"/>
    </row>
    <row r="679" spans="4:4" ht="12.5" x14ac:dyDescent="0.25">
      <c r="D679" s="3"/>
    </row>
    <row r="680" spans="4:4" ht="12.5" x14ac:dyDescent="0.25">
      <c r="D680" s="3"/>
    </row>
    <row r="681" spans="4:4" ht="12.5" x14ac:dyDescent="0.25">
      <c r="D681" s="3"/>
    </row>
    <row r="682" spans="4:4" ht="12.5" x14ac:dyDescent="0.25">
      <c r="D682" s="3"/>
    </row>
    <row r="683" spans="4:4" ht="12.5" x14ac:dyDescent="0.25">
      <c r="D683" s="3"/>
    </row>
    <row r="684" spans="4:4" ht="12.5" x14ac:dyDescent="0.25">
      <c r="D684" s="3"/>
    </row>
    <row r="685" spans="4:4" ht="12.5" x14ac:dyDescent="0.25">
      <c r="D685" s="3"/>
    </row>
    <row r="686" spans="4:4" ht="12.5" x14ac:dyDescent="0.25">
      <c r="D686" s="3"/>
    </row>
    <row r="687" spans="4:4" ht="12.5" x14ac:dyDescent="0.25">
      <c r="D687" s="3"/>
    </row>
    <row r="688" spans="4:4" ht="12.5" x14ac:dyDescent="0.25">
      <c r="D688" s="3"/>
    </row>
    <row r="689" spans="4:4" ht="12.5" x14ac:dyDescent="0.25">
      <c r="D689" s="3"/>
    </row>
    <row r="690" spans="4:4" ht="12.5" x14ac:dyDescent="0.25">
      <c r="D690" s="3"/>
    </row>
    <row r="691" spans="4:4" ht="12.5" x14ac:dyDescent="0.25">
      <c r="D691" s="3"/>
    </row>
    <row r="692" spans="4:4" ht="12.5" x14ac:dyDescent="0.25">
      <c r="D692" s="3"/>
    </row>
    <row r="693" spans="4:4" ht="12.5" x14ac:dyDescent="0.25">
      <c r="D693" s="3"/>
    </row>
    <row r="694" spans="4:4" ht="12.5" x14ac:dyDescent="0.25">
      <c r="D694" s="3"/>
    </row>
    <row r="695" spans="4:4" ht="12.5" x14ac:dyDescent="0.25">
      <c r="D695" s="3"/>
    </row>
    <row r="696" spans="4:4" ht="12.5" x14ac:dyDescent="0.25">
      <c r="D696" s="3"/>
    </row>
    <row r="697" spans="4:4" ht="12.5" x14ac:dyDescent="0.25">
      <c r="D697" s="3"/>
    </row>
    <row r="698" spans="4:4" ht="12.5" x14ac:dyDescent="0.25">
      <c r="D698" s="3"/>
    </row>
    <row r="699" spans="4:4" ht="12.5" x14ac:dyDescent="0.25">
      <c r="D699" s="3"/>
    </row>
    <row r="700" spans="4:4" ht="12.5" x14ac:dyDescent="0.25">
      <c r="D700" s="3"/>
    </row>
    <row r="701" spans="4:4" ht="12.5" x14ac:dyDescent="0.25">
      <c r="D701" s="3"/>
    </row>
    <row r="702" spans="4:4" ht="12.5" x14ac:dyDescent="0.25">
      <c r="D702" s="3"/>
    </row>
    <row r="703" spans="4:4" ht="12.5" x14ac:dyDescent="0.25">
      <c r="D703" s="3"/>
    </row>
    <row r="704" spans="4:4" ht="12.5" x14ac:dyDescent="0.25">
      <c r="D704" s="3"/>
    </row>
    <row r="705" spans="4:4" ht="12.5" x14ac:dyDescent="0.25">
      <c r="D705" s="3"/>
    </row>
    <row r="706" spans="4:4" ht="12.5" x14ac:dyDescent="0.25">
      <c r="D706" s="3"/>
    </row>
    <row r="707" spans="4:4" ht="12.5" x14ac:dyDescent="0.25">
      <c r="D707" s="3"/>
    </row>
    <row r="708" spans="4:4" ht="12.5" x14ac:dyDescent="0.25">
      <c r="D708" s="3"/>
    </row>
    <row r="709" spans="4:4" ht="12.5" x14ac:dyDescent="0.25">
      <c r="D709" s="3"/>
    </row>
    <row r="710" spans="4:4" ht="12.5" x14ac:dyDescent="0.25">
      <c r="D710" s="3"/>
    </row>
    <row r="711" spans="4:4" ht="12.5" x14ac:dyDescent="0.25">
      <c r="D711" s="3"/>
    </row>
    <row r="712" spans="4:4" ht="12.5" x14ac:dyDescent="0.25">
      <c r="D712" s="3"/>
    </row>
    <row r="713" spans="4:4" ht="12.5" x14ac:dyDescent="0.25">
      <c r="D713" s="3"/>
    </row>
    <row r="714" spans="4:4" ht="12.5" x14ac:dyDescent="0.25">
      <c r="D714" s="3"/>
    </row>
    <row r="715" spans="4:4" ht="12.5" x14ac:dyDescent="0.25">
      <c r="D715" s="3"/>
    </row>
    <row r="716" spans="4:4" ht="12.5" x14ac:dyDescent="0.25">
      <c r="D716" s="3"/>
    </row>
    <row r="717" spans="4:4" ht="12.5" x14ac:dyDescent="0.25">
      <c r="D717" s="3"/>
    </row>
    <row r="718" spans="4:4" ht="12.5" x14ac:dyDescent="0.25">
      <c r="D718" s="3"/>
    </row>
    <row r="719" spans="4:4" ht="12.5" x14ac:dyDescent="0.25">
      <c r="D719" s="3"/>
    </row>
    <row r="720" spans="4:4" ht="12.5" x14ac:dyDescent="0.25">
      <c r="D720" s="3"/>
    </row>
    <row r="721" spans="4:4" ht="12.5" x14ac:dyDescent="0.25">
      <c r="D721" s="3"/>
    </row>
    <row r="722" spans="4:4" ht="12.5" x14ac:dyDescent="0.25">
      <c r="D722" s="3"/>
    </row>
    <row r="723" spans="4:4" ht="12.5" x14ac:dyDescent="0.25">
      <c r="D723" s="3"/>
    </row>
    <row r="724" spans="4:4" ht="12.5" x14ac:dyDescent="0.25">
      <c r="D724" s="3"/>
    </row>
    <row r="725" spans="4:4" ht="12.5" x14ac:dyDescent="0.25">
      <c r="D725" s="3"/>
    </row>
    <row r="726" spans="4:4" ht="12.5" x14ac:dyDescent="0.25">
      <c r="D726" s="3"/>
    </row>
    <row r="727" spans="4:4" ht="12.5" x14ac:dyDescent="0.25">
      <c r="D727" s="3"/>
    </row>
    <row r="728" spans="4:4" ht="12.5" x14ac:dyDescent="0.25">
      <c r="D728" s="3"/>
    </row>
    <row r="729" spans="4:4" ht="12.5" x14ac:dyDescent="0.25">
      <c r="D729" s="3"/>
    </row>
    <row r="730" spans="4:4" ht="12.5" x14ac:dyDescent="0.25">
      <c r="D730" s="3"/>
    </row>
    <row r="731" spans="4:4" ht="12.5" x14ac:dyDescent="0.25">
      <c r="D731" s="3"/>
    </row>
    <row r="732" spans="4:4" ht="12.5" x14ac:dyDescent="0.25">
      <c r="D732" s="3"/>
    </row>
    <row r="733" spans="4:4" ht="12.5" x14ac:dyDescent="0.25">
      <c r="D733" s="3"/>
    </row>
    <row r="734" spans="4:4" ht="12.5" x14ac:dyDescent="0.25">
      <c r="D734" s="3"/>
    </row>
    <row r="735" spans="4:4" ht="12.5" x14ac:dyDescent="0.25">
      <c r="D735" s="3"/>
    </row>
    <row r="736" spans="4:4" ht="12.5" x14ac:dyDescent="0.25">
      <c r="D736" s="3"/>
    </row>
    <row r="737" spans="4:4" ht="12.5" x14ac:dyDescent="0.25">
      <c r="D737" s="3"/>
    </row>
    <row r="738" spans="4:4" ht="12.5" x14ac:dyDescent="0.25">
      <c r="D738" s="3"/>
    </row>
    <row r="739" spans="4:4" ht="12.5" x14ac:dyDescent="0.25">
      <c r="D739" s="3"/>
    </row>
    <row r="740" spans="4:4" ht="12.5" x14ac:dyDescent="0.25">
      <c r="D740" s="3"/>
    </row>
    <row r="741" spans="4:4" ht="12.5" x14ac:dyDescent="0.25">
      <c r="D741" s="3"/>
    </row>
    <row r="742" spans="4:4" ht="12.5" x14ac:dyDescent="0.25">
      <c r="D742" s="3"/>
    </row>
    <row r="743" spans="4:4" ht="12.5" x14ac:dyDescent="0.25">
      <c r="D743" s="3"/>
    </row>
    <row r="744" spans="4:4" ht="12.5" x14ac:dyDescent="0.25">
      <c r="D744" s="3"/>
    </row>
    <row r="745" spans="4:4" ht="12.5" x14ac:dyDescent="0.25">
      <c r="D745" s="3"/>
    </row>
    <row r="746" spans="4:4" ht="12.5" x14ac:dyDescent="0.25">
      <c r="D746" s="3"/>
    </row>
    <row r="747" spans="4:4" ht="12.5" x14ac:dyDescent="0.25">
      <c r="D747" s="3"/>
    </row>
    <row r="748" spans="4:4" ht="12.5" x14ac:dyDescent="0.25">
      <c r="D748" s="3"/>
    </row>
    <row r="749" spans="4:4" ht="12.5" x14ac:dyDescent="0.25">
      <c r="D749" s="3"/>
    </row>
    <row r="750" spans="4:4" ht="12.5" x14ac:dyDescent="0.25">
      <c r="D750" s="3"/>
    </row>
    <row r="751" spans="4:4" ht="12.5" x14ac:dyDescent="0.25">
      <c r="D751" s="3"/>
    </row>
    <row r="752" spans="4:4" ht="12.5" x14ac:dyDescent="0.25">
      <c r="D752" s="3"/>
    </row>
    <row r="753" spans="4:4" ht="12.5" x14ac:dyDescent="0.25">
      <c r="D753" s="3"/>
    </row>
    <row r="754" spans="4:4" ht="12.5" x14ac:dyDescent="0.25">
      <c r="D754" s="3"/>
    </row>
    <row r="755" spans="4:4" ht="12.5" x14ac:dyDescent="0.25">
      <c r="D755" s="3"/>
    </row>
    <row r="756" spans="4:4" ht="12.5" x14ac:dyDescent="0.25">
      <c r="D756" s="3"/>
    </row>
    <row r="757" spans="4:4" ht="12.5" x14ac:dyDescent="0.25">
      <c r="D757" s="3"/>
    </row>
    <row r="758" spans="4:4" ht="12.5" x14ac:dyDescent="0.25">
      <c r="D758" s="3"/>
    </row>
    <row r="759" spans="4:4" ht="12.5" x14ac:dyDescent="0.25">
      <c r="D759" s="3"/>
    </row>
    <row r="760" spans="4:4" ht="12.5" x14ac:dyDescent="0.25">
      <c r="D760" s="3"/>
    </row>
    <row r="761" spans="4:4" ht="12.5" x14ac:dyDescent="0.25">
      <c r="D761" s="3"/>
    </row>
    <row r="762" spans="4:4" ht="12.5" x14ac:dyDescent="0.25">
      <c r="D762" s="3"/>
    </row>
    <row r="763" spans="4:4" ht="12.5" x14ac:dyDescent="0.25">
      <c r="D763" s="3"/>
    </row>
    <row r="764" spans="4:4" ht="12.5" x14ac:dyDescent="0.25">
      <c r="D764" s="3"/>
    </row>
    <row r="765" spans="4:4" ht="12.5" x14ac:dyDescent="0.25">
      <c r="D765" s="3"/>
    </row>
    <row r="766" spans="4:4" ht="12.5" x14ac:dyDescent="0.25">
      <c r="D766" s="3"/>
    </row>
    <row r="767" spans="4:4" ht="12.5" x14ac:dyDescent="0.25">
      <c r="D767" s="3"/>
    </row>
    <row r="768" spans="4:4" ht="12.5" x14ac:dyDescent="0.25">
      <c r="D768" s="3"/>
    </row>
    <row r="769" spans="4:4" ht="12.5" x14ac:dyDescent="0.25">
      <c r="D769" s="3"/>
    </row>
    <row r="770" spans="4:4" ht="12.5" x14ac:dyDescent="0.25">
      <c r="D770" s="3"/>
    </row>
    <row r="771" spans="4:4" ht="12.5" x14ac:dyDescent="0.25">
      <c r="D771" s="3"/>
    </row>
    <row r="772" spans="4:4" ht="12.5" x14ac:dyDescent="0.25">
      <c r="D772" s="3"/>
    </row>
    <row r="773" spans="4:4" ht="12.5" x14ac:dyDescent="0.25">
      <c r="D773" s="3"/>
    </row>
    <row r="774" spans="4:4" ht="12.5" x14ac:dyDescent="0.25">
      <c r="D774" s="3"/>
    </row>
    <row r="775" spans="4:4" ht="12.5" x14ac:dyDescent="0.25">
      <c r="D775" s="3"/>
    </row>
    <row r="776" spans="4:4" ht="12.5" x14ac:dyDescent="0.25">
      <c r="D776" s="3"/>
    </row>
    <row r="777" spans="4:4" ht="12.5" x14ac:dyDescent="0.25">
      <c r="D777" s="3"/>
    </row>
    <row r="778" spans="4:4" ht="12.5" x14ac:dyDescent="0.25">
      <c r="D778" s="3"/>
    </row>
    <row r="779" spans="4:4" ht="12.5" x14ac:dyDescent="0.25">
      <c r="D779" s="3"/>
    </row>
    <row r="780" spans="4:4" ht="12.5" x14ac:dyDescent="0.25">
      <c r="D780" s="3"/>
    </row>
    <row r="781" spans="4:4" ht="12.5" x14ac:dyDescent="0.25">
      <c r="D781" s="3"/>
    </row>
    <row r="782" spans="4:4" ht="12.5" x14ac:dyDescent="0.25">
      <c r="D782" s="3"/>
    </row>
    <row r="783" spans="4:4" ht="12.5" x14ac:dyDescent="0.25">
      <c r="D783" s="3"/>
    </row>
    <row r="784" spans="4:4" ht="12.5" x14ac:dyDescent="0.25">
      <c r="D784" s="3"/>
    </row>
    <row r="785" spans="4:4" ht="12.5" x14ac:dyDescent="0.25">
      <c r="D785" s="3"/>
    </row>
    <row r="786" spans="4:4" ht="12.5" x14ac:dyDescent="0.25">
      <c r="D786" s="3"/>
    </row>
    <row r="787" spans="4:4" ht="12.5" x14ac:dyDescent="0.25">
      <c r="D787" s="3"/>
    </row>
    <row r="788" spans="4:4" ht="12.5" x14ac:dyDescent="0.25">
      <c r="D788" s="3"/>
    </row>
    <row r="789" spans="4:4" ht="12.5" x14ac:dyDescent="0.25">
      <c r="D789" s="3"/>
    </row>
    <row r="790" spans="4:4" ht="12.5" x14ac:dyDescent="0.25">
      <c r="D790" s="3"/>
    </row>
    <row r="791" spans="4:4" ht="12.5" x14ac:dyDescent="0.25">
      <c r="D791" s="3"/>
    </row>
    <row r="792" spans="4:4" ht="12.5" x14ac:dyDescent="0.25">
      <c r="D792" s="3"/>
    </row>
    <row r="793" spans="4:4" ht="12.5" x14ac:dyDescent="0.25">
      <c r="D793" s="3"/>
    </row>
    <row r="794" spans="4:4" ht="12.5" x14ac:dyDescent="0.25">
      <c r="D794" s="3"/>
    </row>
    <row r="795" spans="4:4" ht="12.5" x14ac:dyDescent="0.25">
      <c r="D795" s="3"/>
    </row>
    <row r="796" spans="4:4" ht="12.5" x14ac:dyDescent="0.25">
      <c r="D796" s="3"/>
    </row>
    <row r="797" spans="4:4" ht="12.5" x14ac:dyDescent="0.25">
      <c r="D797" s="3"/>
    </row>
    <row r="798" spans="4:4" ht="12.5" x14ac:dyDescent="0.25">
      <c r="D798" s="3"/>
    </row>
    <row r="799" spans="4:4" ht="12.5" x14ac:dyDescent="0.25">
      <c r="D799" s="3"/>
    </row>
    <row r="800" spans="4:4" ht="12.5" x14ac:dyDescent="0.25">
      <c r="D800" s="3"/>
    </row>
    <row r="801" spans="4:4" ht="12.5" x14ac:dyDescent="0.25">
      <c r="D801" s="3"/>
    </row>
    <row r="802" spans="4:4" ht="12.5" x14ac:dyDescent="0.25">
      <c r="D802" s="3"/>
    </row>
    <row r="803" spans="4:4" ht="12.5" x14ac:dyDescent="0.25">
      <c r="D803" s="3"/>
    </row>
    <row r="804" spans="4:4" ht="12.5" x14ac:dyDescent="0.25">
      <c r="D804" s="3"/>
    </row>
    <row r="805" spans="4:4" ht="12.5" x14ac:dyDescent="0.25">
      <c r="D805" s="3"/>
    </row>
    <row r="806" spans="4:4" ht="12.5" x14ac:dyDescent="0.25">
      <c r="D806" s="3"/>
    </row>
    <row r="807" spans="4:4" ht="12.5" x14ac:dyDescent="0.25">
      <c r="D807" s="3"/>
    </row>
    <row r="808" spans="4:4" ht="12.5" x14ac:dyDescent="0.25">
      <c r="D808" s="3"/>
    </row>
    <row r="809" spans="4:4" ht="12.5" x14ac:dyDescent="0.25">
      <c r="D809" s="3"/>
    </row>
    <row r="810" spans="4:4" ht="12.5" x14ac:dyDescent="0.25">
      <c r="D810" s="3"/>
    </row>
    <row r="811" spans="4:4" ht="12.5" x14ac:dyDescent="0.25">
      <c r="D811" s="3"/>
    </row>
    <row r="812" spans="4:4" ht="12.5" x14ac:dyDescent="0.25">
      <c r="D812" s="3"/>
    </row>
    <row r="813" spans="4:4" ht="12.5" x14ac:dyDescent="0.25">
      <c r="D813" s="3"/>
    </row>
    <row r="814" spans="4:4" ht="12.5" x14ac:dyDescent="0.25">
      <c r="D814" s="3"/>
    </row>
    <row r="815" spans="4:4" ht="12.5" x14ac:dyDescent="0.25">
      <c r="D815" s="3"/>
    </row>
    <row r="816" spans="4:4" ht="12.5" x14ac:dyDescent="0.25">
      <c r="D816" s="3"/>
    </row>
    <row r="817" spans="4:4" ht="12.5" x14ac:dyDescent="0.25">
      <c r="D817" s="3"/>
    </row>
    <row r="818" spans="4:4" ht="12.5" x14ac:dyDescent="0.25">
      <c r="D818" s="3"/>
    </row>
    <row r="819" spans="4:4" ht="12.5" x14ac:dyDescent="0.25">
      <c r="D819" s="3"/>
    </row>
    <row r="820" spans="4:4" ht="12.5" x14ac:dyDescent="0.25">
      <c r="D820" s="3"/>
    </row>
    <row r="821" spans="4:4" ht="12.5" x14ac:dyDescent="0.25">
      <c r="D821" s="3"/>
    </row>
    <row r="822" spans="4:4" ht="12.5" x14ac:dyDescent="0.25">
      <c r="D822" s="3"/>
    </row>
    <row r="823" spans="4:4" ht="12.5" x14ac:dyDescent="0.25">
      <c r="D823" s="3"/>
    </row>
    <row r="824" spans="4:4" ht="12.5" x14ac:dyDescent="0.25">
      <c r="D824" s="3"/>
    </row>
    <row r="825" spans="4:4" ht="12.5" x14ac:dyDescent="0.25">
      <c r="D825" s="3"/>
    </row>
    <row r="826" spans="4:4" ht="12.5" x14ac:dyDescent="0.25">
      <c r="D826" s="3"/>
    </row>
    <row r="827" spans="4:4" ht="12.5" x14ac:dyDescent="0.25">
      <c r="D827" s="3"/>
    </row>
    <row r="828" spans="4:4" ht="12.5" x14ac:dyDescent="0.25">
      <c r="D828" s="3"/>
    </row>
    <row r="829" spans="4:4" ht="12.5" x14ac:dyDescent="0.25">
      <c r="D829" s="3"/>
    </row>
    <row r="830" spans="4:4" ht="12.5" x14ac:dyDescent="0.25">
      <c r="D830" s="3"/>
    </row>
    <row r="831" spans="4:4" ht="12.5" x14ac:dyDescent="0.25">
      <c r="D831" s="3"/>
    </row>
    <row r="832" spans="4:4" ht="12.5" x14ac:dyDescent="0.25">
      <c r="D832" s="3"/>
    </row>
    <row r="833" spans="4:4" ht="12.5" x14ac:dyDescent="0.25">
      <c r="D833" s="3"/>
    </row>
    <row r="834" spans="4:4" ht="12.5" x14ac:dyDescent="0.25">
      <c r="D834" s="3"/>
    </row>
    <row r="835" spans="4:4" ht="12.5" x14ac:dyDescent="0.25">
      <c r="D835" s="3"/>
    </row>
    <row r="836" spans="4:4" ht="12.5" x14ac:dyDescent="0.25">
      <c r="D836" s="3"/>
    </row>
    <row r="837" spans="4:4" ht="12.5" x14ac:dyDescent="0.25">
      <c r="D837" s="3"/>
    </row>
    <row r="838" spans="4:4" ht="12.5" x14ac:dyDescent="0.25">
      <c r="D838" s="3"/>
    </row>
    <row r="839" spans="4:4" ht="12.5" x14ac:dyDescent="0.25">
      <c r="D839" s="3"/>
    </row>
    <row r="840" spans="4:4" ht="12.5" x14ac:dyDescent="0.25">
      <c r="D840" s="3"/>
    </row>
    <row r="841" spans="4:4" ht="12.5" x14ac:dyDescent="0.25">
      <c r="D841" s="3"/>
    </row>
    <row r="842" spans="4:4" ht="12.5" x14ac:dyDescent="0.25">
      <c r="D842" s="3"/>
    </row>
    <row r="843" spans="4:4" ht="12.5" x14ac:dyDescent="0.25">
      <c r="D843" s="3"/>
    </row>
    <row r="844" spans="4:4" ht="12.5" x14ac:dyDescent="0.25">
      <c r="D844" s="3"/>
    </row>
    <row r="845" spans="4:4" ht="12.5" x14ac:dyDescent="0.25">
      <c r="D845" s="3"/>
    </row>
    <row r="846" spans="4:4" ht="12.5" x14ac:dyDescent="0.25">
      <c r="D846" s="3"/>
    </row>
    <row r="847" spans="4:4" ht="12.5" x14ac:dyDescent="0.25">
      <c r="D847" s="3"/>
    </row>
    <row r="848" spans="4:4" ht="12.5" x14ac:dyDescent="0.25">
      <c r="D848" s="3"/>
    </row>
    <row r="849" spans="4:4" ht="12.5" x14ac:dyDescent="0.25">
      <c r="D849" s="3"/>
    </row>
    <row r="850" spans="4:4" ht="12.5" x14ac:dyDescent="0.25">
      <c r="D850" s="3"/>
    </row>
    <row r="851" spans="4:4" ht="12.5" x14ac:dyDescent="0.25">
      <c r="D851" s="3"/>
    </row>
    <row r="852" spans="4:4" ht="12.5" x14ac:dyDescent="0.25">
      <c r="D852" s="3"/>
    </row>
    <row r="853" spans="4:4" ht="12.5" x14ac:dyDescent="0.25">
      <c r="D853" s="3"/>
    </row>
    <row r="854" spans="4:4" ht="12.5" x14ac:dyDescent="0.25">
      <c r="D854" s="3"/>
    </row>
    <row r="855" spans="4:4" ht="12.5" x14ac:dyDescent="0.25">
      <c r="D855" s="3"/>
    </row>
    <row r="856" spans="4:4" ht="12.5" x14ac:dyDescent="0.25">
      <c r="D856" s="3"/>
    </row>
    <row r="857" spans="4:4" ht="12.5" x14ac:dyDescent="0.25">
      <c r="D857" s="3"/>
    </row>
    <row r="858" spans="4:4" ht="12.5" x14ac:dyDescent="0.25">
      <c r="D858" s="3"/>
    </row>
    <row r="859" spans="4:4" ht="12.5" x14ac:dyDescent="0.25">
      <c r="D859" s="3"/>
    </row>
    <row r="860" spans="4:4" ht="12.5" x14ac:dyDescent="0.25">
      <c r="D860" s="3"/>
    </row>
    <row r="861" spans="4:4" ht="12.5" x14ac:dyDescent="0.25">
      <c r="D861" s="3"/>
    </row>
    <row r="862" spans="4:4" ht="12.5" x14ac:dyDescent="0.25">
      <c r="D862" s="3"/>
    </row>
    <row r="863" spans="4:4" ht="12.5" x14ac:dyDescent="0.25">
      <c r="D863" s="3"/>
    </row>
    <row r="864" spans="4:4" ht="12.5" x14ac:dyDescent="0.25">
      <c r="D864" s="3"/>
    </row>
    <row r="865" spans="4:4" ht="12.5" x14ac:dyDescent="0.25">
      <c r="D865" s="3"/>
    </row>
    <row r="866" spans="4:4" ht="12.5" x14ac:dyDescent="0.25">
      <c r="D866" s="3"/>
    </row>
    <row r="867" spans="4:4" ht="12.5" x14ac:dyDescent="0.25">
      <c r="D867" s="3"/>
    </row>
    <row r="868" spans="4:4" ht="12.5" x14ac:dyDescent="0.25">
      <c r="D868" s="3"/>
    </row>
    <row r="869" spans="4:4" ht="12.5" x14ac:dyDescent="0.25">
      <c r="D869" s="3"/>
    </row>
    <row r="870" spans="4:4" ht="12.5" x14ac:dyDescent="0.25">
      <c r="D870" s="3"/>
    </row>
    <row r="871" spans="4:4" ht="12.5" x14ac:dyDescent="0.25">
      <c r="D871" s="3"/>
    </row>
    <row r="872" spans="4:4" ht="12.5" x14ac:dyDescent="0.25">
      <c r="D872" s="3"/>
    </row>
    <row r="873" spans="4:4" ht="12.5" x14ac:dyDescent="0.25">
      <c r="D873" s="3"/>
    </row>
    <row r="874" spans="4:4" ht="12.5" x14ac:dyDescent="0.25">
      <c r="D874" s="3"/>
    </row>
    <row r="875" spans="4:4" ht="12.5" x14ac:dyDescent="0.25">
      <c r="D875" s="3"/>
    </row>
    <row r="876" spans="4:4" ht="12.5" x14ac:dyDescent="0.25">
      <c r="D876" s="3"/>
    </row>
    <row r="877" spans="4:4" ht="12.5" x14ac:dyDescent="0.25">
      <c r="D877" s="3"/>
    </row>
    <row r="878" spans="4:4" ht="12.5" x14ac:dyDescent="0.25">
      <c r="D878" s="3"/>
    </row>
    <row r="879" spans="4:4" ht="12.5" x14ac:dyDescent="0.25">
      <c r="D879" s="3"/>
    </row>
    <row r="880" spans="4:4" ht="12.5" x14ac:dyDescent="0.25">
      <c r="D880" s="3"/>
    </row>
    <row r="881" spans="4:4" ht="12.5" x14ac:dyDescent="0.25">
      <c r="D881" s="3"/>
    </row>
    <row r="882" spans="4:4" ht="12.5" x14ac:dyDescent="0.25">
      <c r="D882" s="3"/>
    </row>
    <row r="883" spans="4:4" ht="12.5" x14ac:dyDescent="0.25">
      <c r="D883" s="3"/>
    </row>
    <row r="884" spans="4:4" ht="12.5" x14ac:dyDescent="0.25">
      <c r="D884" s="3"/>
    </row>
    <row r="885" spans="4:4" ht="12.5" x14ac:dyDescent="0.25">
      <c r="D885" s="3"/>
    </row>
    <row r="886" spans="4:4" ht="12.5" x14ac:dyDescent="0.25">
      <c r="D886" s="3"/>
    </row>
    <row r="887" spans="4:4" ht="12.5" x14ac:dyDescent="0.25">
      <c r="D887" s="3"/>
    </row>
    <row r="888" spans="4:4" ht="12.5" x14ac:dyDescent="0.25">
      <c r="D888" s="3"/>
    </row>
    <row r="889" spans="4:4" ht="12.5" x14ac:dyDescent="0.25">
      <c r="D889" s="3"/>
    </row>
    <row r="890" spans="4:4" ht="12.5" x14ac:dyDescent="0.25">
      <c r="D890" s="3"/>
    </row>
    <row r="891" spans="4:4" ht="12.5" x14ac:dyDescent="0.25">
      <c r="D891" s="3"/>
    </row>
    <row r="892" spans="4:4" ht="12.5" x14ac:dyDescent="0.25">
      <c r="D892" s="3"/>
    </row>
    <row r="893" spans="4:4" ht="12.5" x14ac:dyDescent="0.25">
      <c r="D893" s="3"/>
    </row>
    <row r="894" spans="4:4" ht="12.5" x14ac:dyDescent="0.25">
      <c r="D894" s="3"/>
    </row>
    <row r="895" spans="4:4" ht="12.5" x14ac:dyDescent="0.25">
      <c r="D895" s="3"/>
    </row>
    <row r="896" spans="4:4" ht="12.5" x14ac:dyDescent="0.25">
      <c r="D896" s="3"/>
    </row>
    <row r="897" spans="4:4" ht="12.5" x14ac:dyDescent="0.25">
      <c r="D897" s="3"/>
    </row>
    <row r="898" spans="4:4" ht="12.5" x14ac:dyDescent="0.25">
      <c r="D898" s="3"/>
    </row>
    <row r="899" spans="4:4" ht="12.5" x14ac:dyDescent="0.25">
      <c r="D899" s="3"/>
    </row>
    <row r="900" spans="4:4" ht="12.5" x14ac:dyDescent="0.25">
      <c r="D900" s="3"/>
    </row>
    <row r="901" spans="4:4" ht="12.5" x14ac:dyDescent="0.25">
      <c r="D901" s="3"/>
    </row>
    <row r="902" spans="4:4" ht="12.5" x14ac:dyDescent="0.25">
      <c r="D902" s="3"/>
    </row>
    <row r="903" spans="4:4" ht="12.5" x14ac:dyDescent="0.25">
      <c r="D903" s="3"/>
    </row>
    <row r="904" spans="4:4" ht="12.5" x14ac:dyDescent="0.25">
      <c r="D904" s="3"/>
    </row>
    <row r="905" spans="4:4" ht="12.5" x14ac:dyDescent="0.25">
      <c r="D905" s="3"/>
    </row>
    <row r="906" spans="4:4" ht="12.5" x14ac:dyDescent="0.25">
      <c r="D906" s="3"/>
    </row>
    <row r="907" spans="4:4" ht="12.5" x14ac:dyDescent="0.25">
      <c r="D907" s="3"/>
    </row>
    <row r="908" spans="4:4" ht="12.5" x14ac:dyDescent="0.25">
      <c r="D908" s="3"/>
    </row>
    <row r="909" spans="4:4" ht="12.5" x14ac:dyDescent="0.25">
      <c r="D909" s="3"/>
    </row>
    <row r="910" spans="4:4" ht="12.5" x14ac:dyDescent="0.25">
      <c r="D910" s="3"/>
    </row>
    <row r="911" spans="4:4" ht="12.5" x14ac:dyDescent="0.25">
      <c r="D911" s="3"/>
    </row>
    <row r="912" spans="4:4" ht="12.5" x14ac:dyDescent="0.25">
      <c r="D912" s="3"/>
    </row>
    <row r="913" spans="4:4" ht="12.5" x14ac:dyDescent="0.25">
      <c r="D913" s="3"/>
    </row>
    <row r="914" spans="4:4" ht="12.5" x14ac:dyDescent="0.25">
      <c r="D914" s="3"/>
    </row>
    <row r="915" spans="4:4" ht="12.5" x14ac:dyDescent="0.25">
      <c r="D915" s="3"/>
    </row>
    <row r="916" spans="4:4" ht="12.5" x14ac:dyDescent="0.25">
      <c r="D916" s="3"/>
    </row>
    <row r="917" spans="4:4" ht="12.5" x14ac:dyDescent="0.25">
      <c r="D917" s="3"/>
    </row>
    <row r="918" spans="4:4" ht="12.5" x14ac:dyDescent="0.25">
      <c r="D918" s="3"/>
    </row>
    <row r="919" spans="4:4" ht="12.5" x14ac:dyDescent="0.25">
      <c r="D919" s="3"/>
    </row>
    <row r="920" spans="4:4" ht="12.5" x14ac:dyDescent="0.25">
      <c r="D920" s="3"/>
    </row>
    <row r="921" spans="4:4" ht="12.5" x14ac:dyDescent="0.25">
      <c r="D921" s="3"/>
    </row>
    <row r="922" spans="4:4" ht="12.5" x14ac:dyDescent="0.25">
      <c r="D922" s="3"/>
    </row>
    <row r="923" spans="4:4" ht="12.5" x14ac:dyDescent="0.25">
      <c r="D923" s="3"/>
    </row>
    <row r="924" spans="4:4" ht="12.5" x14ac:dyDescent="0.25">
      <c r="D924" s="3"/>
    </row>
    <row r="925" spans="4:4" ht="12.5" x14ac:dyDescent="0.25">
      <c r="D925" s="3"/>
    </row>
    <row r="926" spans="4:4" ht="12.5" x14ac:dyDescent="0.25">
      <c r="D926" s="3"/>
    </row>
    <row r="927" spans="4:4" ht="12.5" x14ac:dyDescent="0.25">
      <c r="D927" s="3"/>
    </row>
    <row r="928" spans="4:4" ht="12.5" x14ac:dyDescent="0.25">
      <c r="D928" s="3"/>
    </row>
    <row r="929" spans="4:4" ht="12.5" x14ac:dyDescent="0.25">
      <c r="D929" s="3"/>
    </row>
    <row r="930" spans="4:4" ht="12.5" x14ac:dyDescent="0.25">
      <c r="D930" s="3"/>
    </row>
    <row r="931" spans="4:4" ht="12.5" x14ac:dyDescent="0.25">
      <c r="D931" s="3"/>
    </row>
    <row r="932" spans="4:4" ht="12.5" x14ac:dyDescent="0.25">
      <c r="D932" s="3"/>
    </row>
    <row r="933" spans="4:4" ht="12.5" x14ac:dyDescent="0.25">
      <c r="D933" s="3"/>
    </row>
    <row r="934" spans="4:4" ht="12.5" x14ac:dyDescent="0.25">
      <c r="D934" s="3"/>
    </row>
    <row r="935" spans="4:4" ht="12.5" x14ac:dyDescent="0.25">
      <c r="D935" s="3"/>
    </row>
    <row r="936" spans="4:4" ht="12.5" x14ac:dyDescent="0.25">
      <c r="D936" s="3"/>
    </row>
    <row r="937" spans="4:4" ht="12.5" x14ac:dyDescent="0.25">
      <c r="D937" s="3"/>
    </row>
    <row r="938" spans="4:4" ht="12.5" x14ac:dyDescent="0.25">
      <c r="D938" s="3"/>
    </row>
    <row r="939" spans="4:4" ht="12.5" x14ac:dyDescent="0.25">
      <c r="D939" s="3"/>
    </row>
    <row r="940" spans="4:4" ht="12.5" x14ac:dyDescent="0.25">
      <c r="D940" s="3"/>
    </row>
    <row r="941" spans="4:4" ht="12.5" x14ac:dyDescent="0.25">
      <c r="D941" s="3"/>
    </row>
    <row r="942" spans="4:4" ht="12.5" x14ac:dyDescent="0.25">
      <c r="D942" s="3"/>
    </row>
    <row r="943" spans="4:4" ht="12.5" x14ac:dyDescent="0.25">
      <c r="D943" s="3"/>
    </row>
    <row r="944" spans="4:4" ht="12.5" x14ac:dyDescent="0.25">
      <c r="D944" s="3"/>
    </row>
    <row r="945" spans="4:4" ht="12.5" x14ac:dyDescent="0.25">
      <c r="D945" s="3"/>
    </row>
    <row r="946" spans="4:4" ht="12.5" x14ac:dyDescent="0.25">
      <c r="D946" s="3"/>
    </row>
    <row r="947" spans="4:4" ht="12.5" x14ac:dyDescent="0.25">
      <c r="D947" s="3"/>
    </row>
    <row r="948" spans="4:4" ht="12.5" x14ac:dyDescent="0.25">
      <c r="D948" s="3"/>
    </row>
    <row r="949" spans="4:4" ht="12.5" x14ac:dyDescent="0.25">
      <c r="D949" s="3"/>
    </row>
    <row r="950" spans="4:4" ht="12.5" x14ac:dyDescent="0.25">
      <c r="D950" s="3"/>
    </row>
    <row r="951" spans="4:4" ht="12.5" x14ac:dyDescent="0.25">
      <c r="D951" s="3"/>
    </row>
    <row r="952" spans="4:4" ht="12.5" x14ac:dyDescent="0.25">
      <c r="D952" s="3"/>
    </row>
    <row r="953" spans="4:4" ht="12.5" x14ac:dyDescent="0.25">
      <c r="D953" s="3"/>
    </row>
    <row r="954" spans="4:4" ht="12.5" x14ac:dyDescent="0.25">
      <c r="D954" s="3"/>
    </row>
    <row r="955" spans="4:4" ht="12.5" x14ac:dyDescent="0.25">
      <c r="D955" s="3"/>
    </row>
    <row r="956" spans="4:4" ht="12.5" x14ac:dyDescent="0.25">
      <c r="D956" s="3"/>
    </row>
    <row r="957" spans="4:4" ht="12.5" x14ac:dyDescent="0.25">
      <c r="D957" s="3"/>
    </row>
    <row r="958" spans="4:4" ht="12.5" x14ac:dyDescent="0.25">
      <c r="D958" s="3"/>
    </row>
    <row r="959" spans="4:4" ht="12.5" x14ac:dyDescent="0.25">
      <c r="D959" s="3"/>
    </row>
    <row r="960" spans="4:4" ht="12.5" x14ac:dyDescent="0.25">
      <c r="D960" s="3"/>
    </row>
    <row r="961" spans="4:4" ht="12.5" x14ac:dyDescent="0.25">
      <c r="D961" s="3"/>
    </row>
    <row r="962" spans="4:4" ht="12.5" x14ac:dyDescent="0.25">
      <c r="D962" s="3"/>
    </row>
    <row r="963" spans="4:4" ht="12.5" x14ac:dyDescent="0.25">
      <c r="D963" s="3"/>
    </row>
    <row r="964" spans="4:4" ht="12.5" x14ac:dyDescent="0.25">
      <c r="D964" s="3"/>
    </row>
    <row r="965" spans="4:4" ht="12.5" x14ac:dyDescent="0.25">
      <c r="D965" s="3"/>
    </row>
    <row r="966" spans="4:4" ht="12.5" x14ac:dyDescent="0.25">
      <c r="D966" s="3"/>
    </row>
    <row r="967" spans="4:4" ht="12.5" x14ac:dyDescent="0.25">
      <c r="D967" s="3"/>
    </row>
    <row r="968" spans="4:4" ht="12.5" x14ac:dyDescent="0.25">
      <c r="D968" s="3"/>
    </row>
    <row r="969" spans="4:4" ht="12.5" x14ac:dyDescent="0.25">
      <c r="D969" s="3"/>
    </row>
    <row r="970" spans="4:4" ht="12.5" x14ac:dyDescent="0.25">
      <c r="D970" s="3"/>
    </row>
    <row r="971" spans="4:4" ht="12.5" x14ac:dyDescent="0.25">
      <c r="D971" s="3"/>
    </row>
    <row r="972" spans="4:4" ht="12.5" x14ac:dyDescent="0.25">
      <c r="D972" s="3"/>
    </row>
    <row r="973" spans="4:4" ht="12.5" x14ac:dyDescent="0.25">
      <c r="D973" s="3"/>
    </row>
    <row r="974" spans="4:4" ht="12.5" x14ac:dyDescent="0.25">
      <c r="D974" s="3"/>
    </row>
    <row r="975" spans="4:4" ht="12.5" x14ac:dyDescent="0.25">
      <c r="D975" s="3"/>
    </row>
    <row r="976" spans="4:4" ht="12.5" x14ac:dyDescent="0.25">
      <c r="D976" s="3"/>
    </row>
    <row r="977" spans="4:4" ht="12.5" x14ac:dyDescent="0.25">
      <c r="D977" s="3"/>
    </row>
    <row r="978" spans="4:4" ht="12.5" x14ac:dyDescent="0.25">
      <c r="D978" s="3"/>
    </row>
    <row r="979" spans="4:4" ht="12.5" x14ac:dyDescent="0.25">
      <c r="D979" s="3"/>
    </row>
    <row r="980" spans="4:4" ht="12.5" x14ac:dyDescent="0.25">
      <c r="D980" s="3"/>
    </row>
    <row r="981" spans="4:4" ht="12.5" x14ac:dyDescent="0.25">
      <c r="D981" s="3"/>
    </row>
    <row r="982" spans="4:4" ht="12.5" x14ac:dyDescent="0.25">
      <c r="D982" s="3"/>
    </row>
    <row r="983" spans="4:4" ht="12.5" x14ac:dyDescent="0.25">
      <c r="D983" s="3"/>
    </row>
    <row r="984" spans="4:4" ht="12.5" x14ac:dyDescent="0.25">
      <c r="D984" s="3"/>
    </row>
    <row r="985" spans="4:4" ht="12.5" x14ac:dyDescent="0.25">
      <c r="D985" s="3"/>
    </row>
    <row r="986" spans="4:4" ht="12.5" x14ac:dyDescent="0.25">
      <c r="D986" s="3"/>
    </row>
    <row r="987" spans="4:4" ht="12.5" x14ac:dyDescent="0.25">
      <c r="D987" s="3"/>
    </row>
    <row r="988" spans="4:4" ht="12.5" x14ac:dyDescent="0.25">
      <c r="D988" s="3"/>
    </row>
    <row r="989" spans="4:4" ht="12.5" x14ac:dyDescent="0.25">
      <c r="D989" s="3"/>
    </row>
    <row r="990" spans="4:4" ht="12.5" x14ac:dyDescent="0.25">
      <c r="D990" s="3"/>
    </row>
    <row r="991" spans="4:4" ht="12.5" x14ac:dyDescent="0.25">
      <c r="D991" s="3"/>
    </row>
    <row r="992" spans="4:4" ht="12.5" x14ac:dyDescent="0.25">
      <c r="D992" s="3"/>
    </row>
    <row r="993" spans="4:4" ht="12.5" x14ac:dyDescent="0.25">
      <c r="D993" s="3"/>
    </row>
    <row r="994" spans="4:4" ht="12.5" x14ac:dyDescent="0.25">
      <c r="D994" s="3"/>
    </row>
    <row r="995" spans="4:4" ht="12.5" x14ac:dyDescent="0.25">
      <c r="D995" s="3"/>
    </row>
    <row r="996" spans="4:4" ht="12.5" x14ac:dyDescent="0.25">
      <c r="D996" s="3"/>
    </row>
    <row r="997" spans="4:4" ht="12.5" x14ac:dyDescent="0.25">
      <c r="D997" s="3"/>
    </row>
    <row r="998" spans="4:4" ht="12.5" x14ac:dyDescent="0.25">
      <c r="D998" s="3"/>
    </row>
    <row r="999" spans="4:4" ht="12.5" x14ac:dyDescent="0.25">
      <c r="D999" s="3"/>
    </row>
    <row r="1000" spans="4:4" ht="12.5" x14ac:dyDescent="0.25">
      <c r="D1000" s="3"/>
    </row>
  </sheetData>
  <autoFilter ref="A1:N75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8E219-809A-4ADF-A637-57A9705FB3E5}">
  <dimension ref="A1:N65"/>
  <sheetViews>
    <sheetView workbookViewId="0">
      <selection activeCell="E9" sqref="E9"/>
    </sheetView>
  </sheetViews>
  <sheetFormatPr defaultRowHeight="12.5" x14ac:dyDescent="0.25"/>
  <sheetData>
    <row r="1" spans="1:14" x14ac:dyDescent="0.25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  <c r="H1" t="s">
        <v>0</v>
      </c>
      <c r="I1" t="s">
        <v>58</v>
      </c>
      <c r="J1" t="s">
        <v>59</v>
      </c>
      <c r="K1" t="s">
        <v>1</v>
      </c>
      <c r="L1" t="s">
        <v>2</v>
      </c>
      <c r="M1" t="s">
        <v>60</v>
      </c>
      <c r="N1" t="s">
        <v>3</v>
      </c>
    </row>
    <row r="2" spans="1:14" x14ac:dyDescent="0.25">
      <c r="A2" t="s">
        <v>61</v>
      </c>
      <c r="B2">
        <v>14</v>
      </c>
      <c r="C2" t="s">
        <v>62</v>
      </c>
      <c r="D2">
        <v>2023</v>
      </c>
      <c r="E2" s="1" t="s">
        <v>6</v>
      </c>
      <c r="F2" s="1">
        <v>2</v>
      </c>
      <c r="G2" t="s">
        <v>64</v>
      </c>
      <c r="H2" t="s">
        <v>7</v>
      </c>
      <c r="I2" t="s">
        <v>74</v>
      </c>
      <c r="J2" t="s">
        <v>75</v>
      </c>
      <c r="K2" s="1">
        <v>4613518.6229999997</v>
      </c>
      <c r="L2" s="1">
        <v>413784.098</v>
      </c>
      <c r="M2" s="1">
        <v>0.6</v>
      </c>
    </row>
    <row r="3" spans="1:14" x14ac:dyDescent="0.25">
      <c r="A3" t="s">
        <v>61</v>
      </c>
      <c r="B3">
        <v>14</v>
      </c>
      <c r="C3" t="s">
        <v>62</v>
      </c>
      <c r="D3">
        <v>2023</v>
      </c>
      <c r="E3" s="1" t="s">
        <v>6</v>
      </c>
      <c r="F3" s="1">
        <v>3</v>
      </c>
      <c r="G3" t="s">
        <v>64</v>
      </c>
      <c r="H3" t="s">
        <v>7</v>
      </c>
      <c r="I3" t="s">
        <v>74</v>
      </c>
      <c r="J3" t="s">
        <v>75</v>
      </c>
      <c r="K3" s="1">
        <v>4613520.767</v>
      </c>
      <c r="L3" s="1">
        <v>413789.29700000002</v>
      </c>
      <c r="M3" s="1">
        <v>0.67700000000000005</v>
      </c>
    </row>
    <row r="4" spans="1:14" x14ac:dyDescent="0.25">
      <c r="A4" t="s">
        <v>61</v>
      </c>
      <c r="B4">
        <v>14</v>
      </c>
      <c r="C4" t="s">
        <v>62</v>
      </c>
      <c r="D4">
        <v>2023</v>
      </c>
      <c r="E4" s="1" t="s">
        <v>8</v>
      </c>
      <c r="F4" s="1">
        <v>4</v>
      </c>
      <c r="G4" t="s">
        <v>65</v>
      </c>
      <c r="H4" t="s">
        <v>9</v>
      </c>
      <c r="I4" t="s">
        <v>74</v>
      </c>
      <c r="J4" t="s">
        <v>75</v>
      </c>
      <c r="K4" s="1">
        <v>4613519.4220000003</v>
      </c>
      <c r="L4" s="1">
        <v>413771.076</v>
      </c>
      <c r="M4" s="1">
        <v>0.53800000000000003</v>
      </c>
    </row>
    <row r="5" spans="1:14" x14ac:dyDescent="0.25">
      <c r="A5" t="s">
        <v>61</v>
      </c>
      <c r="B5">
        <v>14</v>
      </c>
      <c r="C5" t="s">
        <v>62</v>
      </c>
      <c r="D5">
        <v>2023</v>
      </c>
      <c r="E5" s="1" t="s">
        <v>8</v>
      </c>
      <c r="F5" s="1">
        <v>5</v>
      </c>
      <c r="G5" t="s">
        <v>65</v>
      </c>
      <c r="H5" t="s">
        <v>9</v>
      </c>
      <c r="I5" t="s">
        <v>74</v>
      </c>
      <c r="J5" t="s">
        <v>75</v>
      </c>
      <c r="K5" s="1">
        <v>4613522.8090000004</v>
      </c>
      <c r="L5" s="1">
        <v>413768.64399999997</v>
      </c>
      <c r="M5" s="1">
        <v>0.56999999999999995</v>
      </c>
    </row>
    <row r="6" spans="1:14" x14ac:dyDescent="0.25">
      <c r="A6" t="s">
        <v>61</v>
      </c>
      <c r="B6">
        <v>14</v>
      </c>
      <c r="C6" t="s">
        <v>62</v>
      </c>
      <c r="D6">
        <v>2023</v>
      </c>
      <c r="E6" s="1" t="s">
        <v>5</v>
      </c>
      <c r="F6" s="1">
        <v>6</v>
      </c>
      <c r="G6" t="s">
        <v>65</v>
      </c>
      <c r="H6" t="s">
        <v>9</v>
      </c>
      <c r="I6" t="s">
        <v>74</v>
      </c>
      <c r="J6" t="s">
        <v>75</v>
      </c>
      <c r="K6" s="1">
        <v>4613522.2520000003</v>
      </c>
      <c r="L6" s="1">
        <v>413760.908</v>
      </c>
      <c r="M6" s="1">
        <v>0.55500000000000005</v>
      </c>
    </row>
    <row r="7" spans="1:14" x14ac:dyDescent="0.25">
      <c r="A7" t="s">
        <v>61</v>
      </c>
      <c r="B7">
        <v>14</v>
      </c>
      <c r="C7" t="s">
        <v>62</v>
      </c>
      <c r="D7">
        <v>2023</v>
      </c>
      <c r="E7" s="1" t="s">
        <v>5</v>
      </c>
      <c r="F7" s="1">
        <v>7</v>
      </c>
      <c r="G7" t="s">
        <v>65</v>
      </c>
      <c r="H7" t="s">
        <v>9</v>
      </c>
      <c r="I7" t="s">
        <v>74</v>
      </c>
      <c r="J7" t="s">
        <v>75</v>
      </c>
      <c r="K7" s="1">
        <v>4613520.6859999998</v>
      </c>
      <c r="L7" s="1">
        <v>413756.538</v>
      </c>
      <c r="M7" s="1">
        <v>0.55700000000000005</v>
      </c>
    </row>
    <row r="8" spans="1:14" x14ac:dyDescent="0.25">
      <c r="A8" t="s">
        <v>61</v>
      </c>
      <c r="B8">
        <v>14</v>
      </c>
      <c r="C8" t="s">
        <v>62</v>
      </c>
      <c r="D8">
        <v>2023</v>
      </c>
      <c r="E8" s="1" t="s">
        <v>9</v>
      </c>
      <c r="F8" s="1">
        <v>8</v>
      </c>
      <c r="G8" t="s">
        <v>64</v>
      </c>
      <c r="H8" t="s">
        <v>7</v>
      </c>
      <c r="I8" t="s">
        <v>74</v>
      </c>
      <c r="J8" t="s">
        <v>75</v>
      </c>
      <c r="K8" s="1">
        <v>4613524.4939999999</v>
      </c>
      <c r="L8" s="1">
        <v>413627.73100000003</v>
      </c>
      <c r="M8" s="1">
        <v>0.90800000000000003</v>
      </c>
    </row>
    <row r="9" spans="1:14" x14ac:dyDescent="0.25">
      <c r="A9" t="s">
        <v>61</v>
      </c>
      <c r="B9">
        <v>14</v>
      </c>
      <c r="C9" t="s">
        <v>62</v>
      </c>
      <c r="D9">
        <v>2023</v>
      </c>
      <c r="E9" s="1" t="s">
        <v>9</v>
      </c>
      <c r="F9" s="1">
        <v>9</v>
      </c>
      <c r="G9" t="s">
        <v>64</v>
      </c>
      <c r="H9" t="s">
        <v>7</v>
      </c>
      <c r="I9" t="s">
        <v>74</v>
      </c>
      <c r="J9" t="s">
        <v>75</v>
      </c>
      <c r="K9" s="1">
        <v>4613523.0659999996</v>
      </c>
      <c r="L9" s="1">
        <v>413631.79800000001</v>
      </c>
      <c r="M9" s="1">
        <v>0.89700000000000002</v>
      </c>
    </row>
    <row r="10" spans="1:14" x14ac:dyDescent="0.25">
      <c r="A10" t="s">
        <v>61</v>
      </c>
      <c r="B10">
        <v>14</v>
      </c>
      <c r="C10" t="s">
        <v>62</v>
      </c>
      <c r="D10">
        <v>2023</v>
      </c>
      <c r="E10" s="1" t="s">
        <v>7</v>
      </c>
      <c r="F10" s="1">
        <v>10</v>
      </c>
      <c r="G10" t="s">
        <v>66</v>
      </c>
      <c r="H10" t="s">
        <v>10</v>
      </c>
      <c r="I10" t="s">
        <v>74</v>
      </c>
      <c r="J10" t="s">
        <v>75</v>
      </c>
      <c r="K10" s="1">
        <v>4613464.4570000004</v>
      </c>
      <c r="L10" s="1">
        <v>413397.21799999999</v>
      </c>
      <c r="M10" s="1">
        <v>0.68799999999999994</v>
      </c>
      <c r="N10" s="1" t="s">
        <v>11</v>
      </c>
    </row>
    <row r="11" spans="1:14" x14ac:dyDescent="0.25">
      <c r="A11" t="s">
        <v>61</v>
      </c>
      <c r="B11">
        <v>14</v>
      </c>
      <c r="C11" t="s">
        <v>62</v>
      </c>
      <c r="D11">
        <v>2023</v>
      </c>
      <c r="E11" s="1" t="s">
        <v>7</v>
      </c>
      <c r="F11" s="1">
        <v>11</v>
      </c>
      <c r="G11" t="s">
        <v>66</v>
      </c>
      <c r="H11" t="s">
        <v>10</v>
      </c>
      <c r="I11" t="s">
        <v>74</v>
      </c>
      <c r="J11" t="s">
        <v>75</v>
      </c>
      <c r="K11" s="1">
        <v>4613465.0719999997</v>
      </c>
      <c r="L11" s="1">
        <v>413395.50300000003</v>
      </c>
      <c r="M11" s="1">
        <v>0.69099999999999995</v>
      </c>
      <c r="N11" s="1" t="s">
        <v>11</v>
      </c>
    </row>
    <row r="12" spans="1:14" x14ac:dyDescent="0.25">
      <c r="A12" t="s">
        <v>61</v>
      </c>
      <c r="B12">
        <v>14</v>
      </c>
      <c r="C12" t="s">
        <v>62</v>
      </c>
      <c r="D12">
        <v>2023</v>
      </c>
      <c r="E12" s="1" t="s">
        <v>12</v>
      </c>
      <c r="F12" s="1">
        <v>12</v>
      </c>
      <c r="G12" t="s">
        <v>64</v>
      </c>
      <c r="H12" t="s">
        <v>7</v>
      </c>
      <c r="I12" t="s">
        <v>74</v>
      </c>
      <c r="J12" t="s">
        <v>75</v>
      </c>
      <c r="K12" s="1">
        <v>4613473.4610000001</v>
      </c>
      <c r="L12" s="1">
        <v>413370.42300000001</v>
      </c>
      <c r="M12" s="1">
        <v>0.63100000000000001</v>
      </c>
    </row>
    <row r="13" spans="1:14" x14ac:dyDescent="0.25">
      <c r="A13" t="s">
        <v>61</v>
      </c>
      <c r="B13">
        <v>14</v>
      </c>
      <c r="C13" t="s">
        <v>62</v>
      </c>
      <c r="D13">
        <v>2023</v>
      </c>
      <c r="E13" s="1" t="s">
        <v>12</v>
      </c>
      <c r="F13" s="1">
        <v>13</v>
      </c>
      <c r="G13" t="s">
        <v>64</v>
      </c>
      <c r="H13" t="s">
        <v>7</v>
      </c>
      <c r="I13" t="s">
        <v>74</v>
      </c>
      <c r="J13" t="s">
        <v>75</v>
      </c>
      <c r="K13" s="1">
        <v>4613474.9289999995</v>
      </c>
      <c r="L13" s="1">
        <v>413375.10600000003</v>
      </c>
      <c r="M13" s="1">
        <v>0.64500000000000002</v>
      </c>
    </row>
    <row r="14" spans="1:14" x14ac:dyDescent="0.25">
      <c r="A14" t="s">
        <v>61</v>
      </c>
      <c r="B14">
        <v>14</v>
      </c>
      <c r="C14" t="s">
        <v>62</v>
      </c>
      <c r="D14">
        <v>2023</v>
      </c>
      <c r="E14" s="1" t="s">
        <v>13</v>
      </c>
      <c r="F14" s="1">
        <v>14</v>
      </c>
      <c r="G14" t="s">
        <v>64</v>
      </c>
      <c r="H14" t="s">
        <v>7</v>
      </c>
      <c r="I14" t="s">
        <v>74</v>
      </c>
      <c r="J14" t="s">
        <v>75</v>
      </c>
      <c r="K14" s="1">
        <v>4613449.8389999997</v>
      </c>
      <c r="L14" s="1">
        <v>413305.26299999998</v>
      </c>
      <c r="M14" s="1">
        <v>0.55800000000000005</v>
      </c>
    </row>
    <row r="15" spans="1:14" x14ac:dyDescent="0.25">
      <c r="A15" t="s">
        <v>61</v>
      </c>
      <c r="B15">
        <v>14</v>
      </c>
      <c r="C15" t="s">
        <v>62</v>
      </c>
      <c r="D15">
        <v>2023</v>
      </c>
      <c r="E15" s="1" t="s">
        <v>13</v>
      </c>
      <c r="F15" s="1">
        <v>15</v>
      </c>
      <c r="G15" t="s">
        <v>64</v>
      </c>
      <c r="H15" t="s">
        <v>7</v>
      </c>
      <c r="I15" t="s">
        <v>74</v>
      </c>
      <c r="J15" t="s">
        <v>75</v>
      </c>
      <c r="K15" s="1">
        <v>4613445.6909999996</v>
      </c>
      <c r="L15" s="1">
        <v>413305.45699999999</v>
      </c>
      <c r="M15" s="1">
        <v>0.55600000000000005</v>
      </c>
    </row>
    <row r="16" spans="1:14" x14ac:dyDescent="0.25">
      <c r="A16" t="s">
        <v>61</v>
      </c>
      <c r="B16">
        <v>14</v>
      </c>
      <c r="C16" t="s">
        <v>62</v>
      </c>
      <c r="D16">
        <v>2023</v>
      </c>
      <c r="E16" s="1" t="s">
        <v>14</v>
      </c>
      <c r="F16" s="1">
        <v>16</v>
      </c>
      <c r="G16" t="s">
        <v>64</v>
      </c>
      <c r="H16" t="s">
        <v>7</v>
      </c>
      <c r="I16" t="s">
        <v>74</v>
      </c>
      <c r="J16" t="s">
        <v>75</v>
      </c>
      <c r="K16" s="1">
        <v>4613494.7769999998</v>
      </c>
      <c r="L16" s="1">
        <v>413302.19400000002</v>
      </c>
      <c r="M16" s="1">
        <v>0.60799999999999998</v>
      </c>
      <c r="N16" s="1" t="s">
        <v>15</v>
      </c>
    </row>
    <row r="17" spans="1:14" x14ac:dyDescent="0.25">
      <c r="A17" t="s">
        <v>61</v>
      </c>
      <c r="B17">
        <v>14</v>
      </c>
      <c r="C17" t="s">
        <v>62</v>
      </c>
      <c r="D17">
        <v>2023</v>
      </c>
      <c r="E17" s="1" t="s">
        <v>14</v>
      </c>
      <c r="F17" s="1">
        <v>17</v>
      </c>
      <c r="G17" t="s">
        <v>64</v>
      </c>
      <c r="H17" t="s">
        <v>7</v>
      </c>
      <c r="I17" t="s">
        <v>74</v>
      </c>
      <c r="J17" t="s">
        <v>75</v>
      </c>
      <c r="K17" s="1">
        <v>4613495.8969999999</v>
      </c>
      <c r="L17" s="1">
        <v>413296.48700000002</v>
      </c>
      <c r="M17" s="1">
        <v>0.621</v>
      </c>
      <c r="N17" s="1" t="s">
        <v>15</v>
      </c>
    </row>
    <row r="18" spans="1:14" x14ac:dyDescent="0.25">
      <c r="A18" t="s">
        <v>61</v>
      </c>
      <c r="B18">
        <v>14</v>
      </c>
      <c r="C18" t="s">
        <v>62</v>
      </c>
      <c r="D18">
        <v>2023</v>
      </c>
      <c r="E18" s="1" t="s">
        <v>10</v>
      </c>
      <c r="F18" s="1">
        <v>18</v>
      </c>
      <c r="G18" t="s">
        <v>64</v>
      </c>
      <c r="H18" t="s">
        <v>7</v>
      </c>
      <c r="I18" t="s">
        <v>74</v>
      </c>
      <c r="J18" t="s">
        <v>75</v>
      </c>
      <c r="K18" s="1">
        <v>4613500.3820000002</v>
      </c>
      <c r="L18" s="1">
        <v>413286.26299999998</v>
      </c>
      <c r="M18" s="1">
        <v>0.54900000000000004</v>
      </c>
      <c r="N18" s="1" t="s">
        <v>15</v>
      </c>
    </row>
    <row r="19" spans="1:14" x14ac:dyDescent="0.25">
      <c r="A19" t="s">
        <v>61</v>
      </c>
      <c r="B19">
        <v>14</v>
      </c>
      <c r="C19" t="s">
        <v>62</v>
      </c>
      <c r="D19">
        <v>2023</v>
      </c>
      <c r="E19" s="1" t="s">
        <v>10</v>
      </c>
      <c r="F19" s="1">
        <v>19</v>
      </c>
      <c r="G19" t="s">
        <v>64</v>
      </c>
      <c r="H19" t="s">
        <v>7</v>
      </c>
      <c r="I19" t="s">
        <v>74</v>
      </c>
      <c r="J19" t="s">
        <v>75</v>
      </c>
      <c r="K19" s="1">
        <v>4613496.7240000004</v>
      </c>
      <c r="L19" s="1">
        <v>413284.913</v>
      </c>
      <c r="M19" s="1">
        <v>0.56899999999999995</v>
      </c>
      <c r="N19" s="1" t="s">
        <v>15</v>
      </c>
    </row>
    <row r="20" spans="1:14" x14ac:dyDescent="0.25">
      <c r="A20" t="s">
        <v>61</v>
      </c>
      <c r="B20">
        <v>14</v>
      </c>
      <c r="C20" t="s">
        <v>62</v>
      </c>
      <c r="D20">
        <v>2023</v>
      </c>
      <c r="E20" s="1" t="s">
        <v>16</v>
      </c>
      <c r="F20" s="1">
        <v>20</v>
      </c>
      <c r="G20" t="s">
        <v>67</v>
      </c>
      <c r="H20" t="s">
        <v>13</v>
      </c>
      <c r="I20" t="s">
        <v>74</v>
      </c>
      <c r="J20" t="s">
        <v>75</v>
      </c>
      <c r="K20" s="1">
        <v>4613524.3870000001</v>
      </c>
      <c r="L20" s="1">
        <v>413281.62800000003</v>
      </c>
      <c r="M20" s="1">
        <v>0.65200000000000002</v>
      </c>
    </row>
    <row r="21" spans="1:14" x14ac:dyDescent="0.25">
      <c r="A21" t="s">
        <v>61</v>
      </c>
      <c r="B21">
        <v>14</v>
      </c>
      <c r="C21" t="s">
        <v>62</v>
      </c>
      <c r="D21">
        <v>2023</v>
      </c>
      <c r="E21" s="1" t="s">
        <v>16</v>
      </c>
      <c r="F21" s="1">
        <v>21</v>
      </c>
      <c r="G21" t="s">
        <v>67</v>
      </c>
      <c r="H21" t="s">
        <v>13</v>
      </c>
      <c r="I21" t="s">
        <v>74</v>
      </c>
      <c r="J21" t="s">
        <v>75</v>
      </c>
      <c r="K21" s="1">
        <v>4613519.0199999996</v>
      </c>
      <c r="L21" s="1">
        <v>413279.38900000002</v>
      </c>
      <c r="M21" s="1">
        <v>0.624</v>
      </c>
    </row>
    <row r="22" spans="1:14" x14ac:dyDescent="0.25">
      <c r="A22" t="s">
        <v>61</v>
      </c>
      <c r="B22">
        <v>14</v>
      </c>
      <c r="C22" t="s">
        <v>62</v>
      </c>
      <c r="D22">
        <v>2023</v>
      </c>
      <c r="E22" s="1" t="s">
        <v>19</v>
      </c>
      <c r="F22" s="1">
        <v>27</v>
      </c>
      <c r="G22" t="s">
        <v>63</v>
      </c>
      <c r="H22" t="s">
        <v>5</v>
      </c>
      <c r="I22" t="s">
        <v>74</v>
      </c>
      <c r="J22" t="s">
        <v>75</v>
      </c>
      <c r="K22" s="1">
        <v>4613518.7570000002</v>
      </c>
      <c r="L22" s="1">
        <v>413256.99</v>
      </c>
      <c r="M22" s="1">
        <v>0.61799999999999999</v>
      </c>
    </row>
    <row r="23" spans="1:14" x14ac:dyDescent="0.25">
      <c r="A23" t="s">
        <v>61</v>
      </c>
      <c r="B23">
        <v>14</v>
      </c>
      <c r="C23" t="s">
        <v>62</v>
      </c>
      <c r="D23">
        <v>2023</v>
      </c>
      <c r="E23" s="1" t="s">
        <v>19</v>
      </c>
      <c r="F23" s="1">
        <v>28</v>
      </c>
      <c r="G23" t="s">
        <v>63</v>
      </c>
      <c r="H23" t="s">
        <v>5</v>
      </c>
      <c r="I23" t="s">
        <v>74</v>
      </c>
      <c r="J23" t="s">
        <v>75</v>
      </c>
      <c r="K23" s="1">
        <v>4613521.477</v>
      </c>
      <c r="L23" s="1">
        <v>413255.83899999998</v>
      </c>
      <c r="M23" s="1">
        <v>0.59199999999999997</v>
      </c>
    </row>
    <row r="24" spans="1:14" x14ac:dyDescent="0.25">
      <c r="A24" t="s">
        <v>61</v>
      </c>
      <c r="B24">
        <v>14</v>
      </c>
      <c r="C24" t="s">
        <v>62</v>
      </c>
      <c r="D24">
        <v>2023</v>
      </c>
      <c r="E24" s="1" t="s">
        <v>20</v>
      </c>
      <c r="F24" s="1">
        <v>29</v>
      </c>
      <c r="G24" t="s">
        <v>63</v>
      </c>
      <c r="H24" t="s">
        <v>5</v>
      </c>
      <c r="I24" t="s">
        <v>74</v>
      </c>
      <c r="J24" t="s">
        <v>75</v>
      </c>
      <c r="K24" s="1">
        <v>4613526.17</v>
      </c>
      <c r="L24" s="1">
        <v>413253.60700000002</v>
      </c>
      <c r="M24" s="1">
        <v>0.65100000000000002</v>
      </c>
    </row>
    <row r="25" spans="1:14" x14ac:dyDescent="0.25">
      <c r="A25" t="s">
        <v>61</v>
      </c>
      <c r="B25">
        <v>14</v>
      </c>
      <c r="C25" t="s">
        <v>62</v>
      </c>
      <c r="D25">
        <v>2023</v>
      </c>
      <c r="E25" s="1" t="s">
        <v>20</v>
      </c>
      <c r="F25" s="1">
        <v>30</v>
      </c>
      <c r="G25" t="s">
        <v>63</v>
      </c>
      <c r="H25" t="s">
        <v>5</v>
      </c>
      <c r="I25" t="s">
        <v>74</v>
      </c>
      <c r="J25" t="s">
        <v>75</v>
      </c>
      <c r="K25" s="1">
        <v>4613525.9939999999</v>
      </c>
      <c r="L25" s="1">
        <v>413251.038</v>
      </c>
      <c r="M25" s="1">
        <v>0.64200000000000002</v>
      </c>
    </row>
    <row r="26" spans="1:14" x14ac:dyDescent="0.25">
      <c r="A26" t="s">
        <v>61</v>
      </c>
      <c r="B26">
        <v>14</v>
      </c>
      <c r="C26" t="s">
        <v>62</v>
      </c>
      <c r="D26">
        <v>2023</v>
      </c>
      <c r="E26" s="1" t="s">
        <v>22</v>
      </c>
      <c r="F26" s="1">
        <v>32</v>
      </c>
      <c r="G26" t="s">
        <v>65</v>
      </c>
      <c r="H26" t="s">
        <v>9</v>
      </c>
      <c r="I26" t="s">
        <v>74</v>
      </c>
      <c r="J26" t="s">
        <v>75</v>
      </c>
      <c r="K26" s="1">
        <v>4613602.2240000004</v>
      </c>
      <c r="L26" s="1">
        <v>413442.84100000001</v>
      </c>
      <c r="M26" s="1">
        <v>0.625</v>
      </c>
    </row>
    <row r="27" spans="1:14" x14ac:dyDescent="0.25">
      <c r="A27" t="s">
        <v>61</v>
      </c>
      <c r="B27">
        <v>14</v>
      </c>
      <c r="C27" t="s">
        <v>62</v>
      </c>
      <c r="D27">
        <v>2023</v>
      </c>
      <c r="E27" s="1" t="s">
        <v>22</v>
      </c>
      <c r="F27" s="1">
        <v>33</v>
      </c>
      <c r="G27" t="s">
        <v>65</v>
      </c>
      <c r="H27" t="s">
        <v>9</v>
      </c>
      <c r="I27" t="s">
        <v>74</v>
      </c>
      <c r="J27" t="s">
        <v>75</v>
      </c>
      <c r="K27" s="1">
        <v>4613605.2390000001</v>
      </c>
      <c r="L27" s="1">
        <v>413437.06900000002</v>
      </c>
      <c r="M27" s="1">
        <v>0.59899999999999998</v>
      </c>
    </row>
    <row r="28" spans="1:14" x14ac:dyDescent="0.25">
      <c r="A28" t="s">
        <v>61</v>
      </c>
      <c r="B28">
        <v>14</v>
      </c>
      <c r="C28" t="s">
        <v>62</v>
      </c>
      <c r="D28">
        <v>2023</v>
      </c>
      <c r="E28" s="1" t="s">
        <v>23</v>
      </c>
      <c r="F28" s="1">
        <v>34</v>
      </c>
      <c r="G28" t="s">
        <v>68</v>
      </c>
      <c r="H28" t="s">
        <v>14</v>
      </c>
      <c r="I28" t="s">
        <v>74</v>
      </c>
      <c r="J28" t="s">
        <v>75</v>
      </c>
      <c r="K28" s="1">
        <v>4613606.0130000003</v>
      </c>
      <c r="L28" s="1">
        <v>413456.60100000002</v>
      </c>
      <c r="M28" s="1">
        <v>0.746</v>
      </c>
    </row>
    <row r="29" spans="1:14" x14ac:dyDescent="0.25">
      <c r="A29" t="s">
        <v>61</v>
      </c>
      <c r="B29">
        <v>14</v>
      </c>
      <c r="C29" t="s">
        <v>62</v>
      </c>
      <c r="D29">
        <v>2023</v>
      </c>
      <c r="E29" s="1" t="s">
        <v>23</v>
      </c>
      <c r="F29" s="1">
        <v>35</v>
      </c>
      <c r="G29" t="s">
        <v>68</v>
      </c>
      <c r="H29" t="s">
        <v>14</v>
      </c>
      <c r="I29" t="s">
        <v>74</v>
      </c>
      <c r="J29" t="s">
        <v>75</v>
      </c>
      <c r="K29" s="1">
        <v>4613611.8619999997</v>
      </c>
      <c r="L29" s="1">
        <v>413439.58</v>
      </c>
      <c r="M29" s="1">
        <v>0.71899999999999997</v>
      </c>
    </row>
    <row r="30" spans="1:14" x14ac:dyDescent="0.25">
      <c r="A30" t="s">
        <v>61</v>
      </c>
      <c r="B30">
        <v>14</v>
      </c>
      <c r="C30" t="s">
        <v>62</v>
      </c>
      <c r="D30">
        <v>2023</v>
      </c>
      <c r="E30" s="1" t="s">
        <v>24</v>
      </c>
      <c r="F30" s="1">
        <v>36</v>
      </c>
      <c r="G30" t="s">
        <v>64</v>
      </c>
      <c r="H30" t="s">
        <v>7</v>
      </c>
      <c r="I30" t="s">
        <v>74</v>
      </c>
      <c r="J30" t="s">
        <v>75</v>
      </c>
      <c r="K30" s="1">
        <v>4613608.0920000002</v>
      </c>
      <c r="L30" s="1">
        <v>413434.49900000001</v>
      </c>
      <c r="M30" s="1">
        <v>0.61699999999999999</v>
      </c>
    </row>
    <row r="31" spans="1:14" x14ac:dyDescent="0.25">
      <c r="A31" t="s">
        <v>61</v>
      </c>
      <c r="B31">
        <v>14</v>
      </c>
      <c r="C31" t="s">
        <v>62</v>
      </c>
      <c r="D31">
        <v>2023</v>
      </c>
      <c r="E31" s="1" t="s">
        <v>24</v>
      </c>
      <c r="F31" s="1">
        <v>37</v>
      </c>
      <c r="G31" t="s">
        <v>64</v>
      </c>
      <c r="H31" t="s">
        <v>7</v>
      </c>
      <c r="I31" t="s">
        <v>74</v>
      </c>
      <c r="J31" t="s">
        <v>75</v>
      </c>
      <c r="K31" s="1">
        <v>4613609.8360000001</v>
      </c>
      <c r="L31" s="1">
        <v>413430.79300000001</v>
      </c>
      <c r="M31" s="1">
        <v>0.58399999999999996</v>
      </c>
    </row>
    <row r="32" spans="1:14" x14ac:dyDescent="0.25">
      <c r="A32" t="s">
        <v>61</v>
      </c>
      <c r="B32">
        <v>14</v>
      </c>
      <c r="C32" t="s">
        <v>62</v>
      </c>
      <c r="D32">
        <v>2023</v>
      </c>
      <c r="E32" s="1" t="s">
        <v>25</v>
      </c>
      <c r="F32" s="1">
        <v>38</v>
      </c>
      <c r="G32" t="s">
        <v>67</v>
      </c>
      <c r="H32" t="s">
        <v>13</v>
      </c>
      <c r="I32" t="s">
        <v>74</v>
      </c>
      <c r="J32" t="s">
        <v>75</v>
      </c>
      <c r="K32" s="1">
        <v>4613623.1069999998</v>
      </c>
      <c r="L32" s="1">
        <v>413411.42499999999</v>
      </c>
      <c r="M32" s="1">
        <v>0.69599999999999995</v>
      </c>
    </row>
    <row r="33" spans="1:14" x14ac:dyDescent="0.25">
      <c r="A33" t="s">
        <v>61</v>
      </c>
      <c r="B33">
        <v>14</v>
      </c>
      <c r="C33" t="s">
        <v>62</v>
      </c>
      <c r="D33">
        <v>2023</v>
      </c>
      <c r="E33" s="1" t="s">
        <v>25</v>
      </c>
      <c r="F33" s="1">
        <v>39</v>
      </c>
      <c r="G33" t="s">
        <v>67</v>
      </c>
      <c r="H33" t="s">
        <v>13</v>
      </c>
      <c r="I33" t="s">
        <v>74</v>
      </c>
      <c r="J33" t="s">
        <v>75</v>
      </c>
      <c r="K33" s="1">
        <v>4613624.3629999999</v>
      </c>
      <c r="L33" s="1">
        <v>413401.38400000002</v>
      </c>
      <c r="M33" s="1">
        <v>0.67800000000000005</v>
      </c>
    </row>
    <row r="34" spans="1:14" x14ac:dyDescent="0.25">
      <c r="A34" t="s">
        <v>61</v>
      </c>
      <c r="B34">
        <v>14</v>
      </c>
      <c r="C34" t="s">
        <v>62</v>
      </c>
      <c r="D34">
        <v>2023</v>
      </c>
      <c r="E34" s="1" t="s">
        <v>26</v>
      </c>
      <c r="F34" s="1">
        <v>40</v>
      </c>
      <c r="G34" t="s">
        <v>27</v>
      </c>
      <c r="H34" t="s">
        <v>8</v>
      </c>
      <c r="I34" t="s">
        <v>76</v>
      </c>
      <c r="J34" t="s">
        <v>75</v>
      </c>
      <c r="K34" s="1">
        <v>4613678.9620000003</v>
      </c>
      <c r="L34" s="1">
        <v>413417.83600000001</v>
      </c>
      <c r="M34" s="1">
        <v>0.58699999999999997</v>
      </c>
    </row>
    <row r="35" spans="1:14" x14ac:dyDescent="0.25">
      <c r="A35" t="s">
        <v>61</v>
      </c>
      <c r="B35">
        <v>14</v>
      </c>
      <c r="C35" t="s">
        <v>62</v>
      </c>
      <c r="D35">
        <v>2023</v>
      </c>
      <c r="E35" s="1" t="s">
        <v>26</v>
      </c>
      <c r="F35" s="1">
        <v>41</v>
      </c>
      <c r="G35" t="s">
        <v>27</v>
      </c>
      <c r="H35" t="s">
        <v>8</v>
      </c>
      <c r="I35" t="s">
        <v>76</v>
      </c>
      <c r="J35" t="s">
        <v>75</v>
      </c>
      <c r="K35" s="1">
        <v>4613685.023</v>
      </c>
      <c r="L35" s="1">
        <v>413417.533</v>
      </c>
      <c r="M35" s="1">
        <v>0.56499999999999995</v>
      </c>
    </row>
    <row r="36" spans="1:14" x14ac:dyDescent="0.25">
      <c r="A36" t="s">
        <v>61</v>
      </c>
      <c r="B36">
        <v>14</v>
      </c>
      <c r="C36" t="s">
        <v>62</v>
      </c>
      <c r="D36">
        <v>2023</v>
      </c>
      <c r="E36" s="1" t="s">
        <v>28</v>
      </c>
      <c r="F36" s="1">
        <v>42</v>
      </c>
      <c r="G36" t="s">
        <v>27</v>
      </c>
      <c r="H36" t="s">
        <v>8</v>
      </c>
      <c r="I36" t="s">
        <v>76</v>
      </c>
      <c r="J36" t="s">
        <v>75</v>
      </c>
      <c r="K36" s="1">
        <v>4613684.7970000003</v>
      </c>
      <c r="L36" s="1">
        <v>413425.25699999998</v>
      </c>
      <c r="M36" s="1">
        <v>0.54900000000000004</v>
      </c>
      <c r="N36" s="1" t="s">
        <v>29</v>
      </c>
    </row>
    <row r="37" spans="1:14" x14ac:dyDescent="0.25">
      <c r="A37" t="s">
        <v>61</v>
      </c>
      <c r="B37">
        <v>14</v>
      </c>
      <c r="C37" t="s">
        <v>62</v>
      </c>
      <c r="D37">
        <v>2023</v>
      </c>
      <c r="E37" s="1" t="s">
        <v>28</v>
      </c>
      <c r="F37" s="1">
        <v>43</v>
      </c>
      <c r="G37" t="s">
        <v>27</v>
      </c>
      <c r="H37" t="s">
        <v>8</v>
      </c>
      <c r="I37" t="s">
        <v>76</v>
      </c>
      <c r="J37" t="s">
        <v>75</v>
      </c>
      <c r="K37" s="1">
        <v>4613688.9369999999</v>
      </c>
      <c r="L37" s="1">
        <v>413423.44500000001</v>
      </c>
      <c r="M37" s="1">
        <v>0.53</v>
      </c>
    </row>
    <row r="38" spans="1:14" x14ac:dyDescent="0.25">
      <c r="A38" t="s">
        <v>61</v>
      </c>
      <c r="B38">
        <v>14</v>
      </c>
      <c r="C38" t="s">
        <v>62</v>
      </c>
      <c r="D38">
        <v>2023</v>
      </c>
      <c r="E38" s="1" t="s">
        <v>32</v>
      </c>
      <c r="F38" s="1">
        <v>45</v>
      </c>
      <c r="G38" t="s">
        <v>64</v>
      </c>
      <c r="H38" t="s">
        <v>7</v>
      </c>
      <c r="I38" t="s">
        <v>74</v>
      </c>
      <c r="J38" t="s">
        <v>75</v>
      </c>
      <c r="K38" s="1">
        <v>4613678.6169999996</v>
      </c>
      <c r="L38" s="1">
        <v>413378.14500000002</v>
      </c>
      <c r="M38" s="1">
        <v>0.59799999999999998</v>
      </c>
    </row>
    <row r="39" spans="1:14" x14ac:dyDescent="0.25">
      <c r="A39" t="s">
        <v>61</v>
      </c>
      <c r="B39">
        <v>14</v>
      </c>
      <c r="C39" t="s">
        <v>62</v>
      </c>
      <c r="D39">
        <v>2023</v>
      </c>
      <c r="E39" s="1" t="s">
        <v>32</v>
      </c>
      <c r="F39" s="1">
        <v>46</v>
      </c>
      <c r="G39" t="s">
        <v>64</v>
      </c>
      <c r="H39" t="s">
        <v>7</v>
      </c>
      <c r="I39" t="s">
        <v>74</v>
      </c>
      <c r="J39" t="s">
        <v>75</v>
      </c>
      <c r="K39" s="1">
        <v>4613681.3609999996</v>
      </c>
      <c r="L39" s="1">
        <v>413372.12199999997</v>
      </c>
      <c r="M39" s="1">
        <v>0.59499999999999997</v>
      </c>
    </row>
    <row r="40" spans="1:14" x14ac:dyDescent="0.25">
      <c r="A40" t="s">
        <v>61</v>
      </c>
      <c r="B40">
        <v>14</v>
      </c>
      <c r="C40" t="s">
        <v>62</v>
      </c>
      <c r="D40">
        <v>2023</v>
      </c>
      <c r="E40" s="1" t="s">
        <v>33</v>
      </c>
      <c r="F40" s="1">
        <v>47</v>
      </c>
      <c r="G40" t="s">
        <v>69</v>
      </c>
      <c r="H40" t="s">
        <v>17</v>
      </c>
      <c r="I40" t="s">
        <v>74</v>
      </c>
      <c r="J40" t="s">
        <v>75</v>
      </c>
      <c r="K40" s="1">
        <v>4613658.5839999998</v>
      </c>
      <c r="L40" s="1">
        <v>413342.44799999997</v>
      </c>
      <c r="M40" s="1">
        <v>0.63900000000000001</v>
      </c>
      <c r="N40" s="1" t="s">
        <v>34</v>
      </c>
    </row>
    <row r="41" spans="1:14" x14ac:dyDescent="0.25">
      <c r="A41" t="s">
        <v>61</v>
      </c>
      <c r="B41">
        <v>14</v>
      </c>
      <c r="C41" t="s">
        <v>62</v>
      </c>
      <c r="D41">
        <v>2023</v>
      </c>
      <c r="E41" s="1" t="s">
        <v>33</v>
      </c>
      <c r="F41" s="1">
        <v>48</v>
      </c>
      <c r="G41" t="s">
        <v>69</v>
      </c>
      <c r="H41" t="s">
        <v>17</v>
      </c>
      <c r="I41" t="s">
        <v>74</v>
      </c>
      <c r="J41" t="s">
        <v>75</v>
      </c>
      <c r="K41" s="1">
        <v>4613654.0010000002</v>
      </c>
      <c r="L41" s="1">
        <v>413337.74900000001</v>
      </c>
      <c r="M41" s="1">
        <v>0.65500000000000003</v>
      </c>
      <c r="N41" s="1" t="s">
        <v>34</v>
      </c>
    </row>
    <row r="42" spans="1:14" x14ac:dyDescent="0.25">
      <c r="A42" t="s">
        <v>61</v>
      </c>
      <c r="B42">
        <v>14</v>
      </c>
      <c r="C42" t="s">
        <v>62</v>
      </c>
      <c r="D42">
        <v>2023</v>
      </c>
      <c r="E42" s="1" t="s">
        <v>35</v>
      </c>
      <c r="F42" s="1">
        <v>49</v>
      </c>
      <c r="G42" t="s">
        <v>64</v>
      </c>
      <c r="H42" t="s">
        <v>7</v>
      </c>
      <c r="I42" t="s">
        <v>74</v>
      </c>
      <c r="J42" t="s">
        <v>75</v>
      </c>
      <c r="K42" s="1">
        <v>4613649.9029999999</v>
      </c>
      <c r="L42" s="1">
        <v>413291.66899999999</v>
      </c>
      <c r="M42" s="1">
        <v>0.626</v>
      </c>
    </row>
    <row r="43" spans="1:14" x14ac:dyDescent="0.25">
      <c r="A43" t="s">
        <v>61</v>
      </c>
      <c r="B43">
        <v>14</v>
      </c>
      <c r="C43" t="s">
        <v>62</v>
      </c>
      <c r="D43">
        <v>2023</v>
      </c>
      <c r="E43" s="1" t="s">
        <v>35</v>
      </c>
      <c r="F43" s="1">
        <v>50</v>
      </c>
      <c r="G43" t="s">
        <v>64</v>
      </c>
      <c r="H43" t="s">
        <v>7</v>
      </c>
      <c r="I43" t="s">
        <v>74</v>
      </c>
      <c r="J43" t="s">
        <v>75</v>
      </c>
      <c r="K43" s="1">
        <v>4613655.9160000002</v>
      </c>
      <c r="L43" s="1">
        <v>413297.08899999998</v>
      </c>
      <c r="M43" s="1">
        <v>0.626</v>
      </c>
    </row>
    <row r="44" spans="1:14" x14ac:dyDescent="0.25">
      <c r="A44" t="s">
        <v>61</v>
      </c>
      <c r="B44">
        <v>14</v>
      </c>
      <c r="C44" t="s">
        <v>62</v>
      </c>
      <c r="D44">
        <v>2023</v>
      </c>
      <c r="E44" s="1" t="s">
        <v>36</v>
      </c>
      <c r="F44" s="1">
        <v>51</v>
      </c>
      <c r="G44" t="s">
        <v>70</v>
      </c>
      <c r="H44" t="s">
        <v>16</v>
      </c>
      <c r="I44" t="s">
        <v>74</v>
      </c>
      <c r="J44" t="s">
        <v>75</v>
      </c>
      <c r="K44" s="1">
        <v>4613645.4610000001</v>
      </c>
      <c r="L44" s="1">
        <v>413257.11499999999</v>
      </c>
      <c r="M44" s="1">
        <v>0.58599999999999997</v>
      </c>
    </row>
    <row r="45" spans="1:14" x14ac:dyDescent="0.25">
      <c r="A45" t="s">
        <v>61</v>
      </c>
      <c r="B45">
        <v>14</v>
      </c>
      <c r="C45" t="s">
        <v>62</v>
      </c>
      <c r="D45">
        <v>2023</v>
      </c>
      <c r="E45" s="1" t="s">
        <v>36</v>
      </c>
      <c r="F45" s="1">
        <v>52</v>
      </c>
      <c r="G45" t="s">
        <v>70</v>
      </c>
      <c r="H45" t="s">
        <v>16</v>
      </c>
      <c r="I45" t="s">
        <v>74</v>
      </c>
      <c r="J45" t="s">
        <v>75</v>
      </c>
      <c r="K45" s="1">
        <v>4613634.8</v>
      </c>
      <c r="L45" s="1">
        <v>413256.71</v>
      </c>
      <c r="M45" s="1">
        <v>0.58399999999999996</v>
      </c>
    </row>
    <row r="46" spans="1:14" x14ac:dyDescent="0.25">
      <c r="A46" t="s">
        <v>61</v>
      </c>
      <c r="B46">
        <v>14</v>
      </c>
      <c r="C46" t="s">
        <v>62</v>
      </c>
      <c r="D46">
        <v>2023</v>
      </c>
      <c r="E46" s="1" t="s">
        <v>37</v>
      </c>
      <c r="F46" s="1">
        <v>53</v>
      </c>
      <c r="G46" t="s">
        <v>70</v>
      </c>
      <c r="H46" t="s">
        <v>16</v>
      </c>
      <c r="I46" t="s">
        <v>74</v>
      </c>
      <c r="J46" t="s">
        <v>75</v>
      </c>
      <c r="K46" s="1">
        <v>4613647.4000000004</v>
      </c>
      <c r="L46" s="1">
        <v>413256.51799999998</v>
      </c>
      <c r="M46" s="1">
        <v>0.55400000000000005</v>
      </c>
    </row>
    <row r="47" spans="1:14" x14ac:dyDescent="0.25">
      <c r="A47" t="s">
        <v>61</v>
      </c>
      <c r="B47">
        <v>14</v>
      </c>
      <c r="C47" t="s">
        <v>62</v>
      </c>
      <c r="D47">
        <v>2023</v>
      </c>
      <c r="E47" s="1" t="s">
        <v>37</v>
      </c>
      <c r="F47" s="1">
        <v>54</v>
      </c>
      <c r="G47" t="s">
        <v>70</v>
      </c>
      <c r="H47" t="s">
        <v>16</v>
      </c>
      <c r="I47" t="s">
        <v>74</v>
      </c>
      <c r="J47" t="s">
        <v>75</v>
      </c>
      <c r="K47" s="1">
        <v>4613652.8289999999</v>
      </c>
      <c r="L47" s="1">
        <v>413255.90500000003</v>
      </c>
      <c r="M47" s="1">
        <v>0.58199999999999996</v>
      </c>
    </row>
    <row r="48" spans="1:14" x14ac:dyDescent="0.25">
      <c r="A48" t="s">
        <v>61</v>
      </c>
      <c r="B48">
        <v>14</v>
      </c>
      <c r="C48" t="s">
        <v>62</v>
      </c>
      <c r="D48">
        <v>2023</v>
      </c>
      <c r="E48" s="1" t="s">
        <v>38</v>
      </c>
      <c r="F48" s="1">
        <v>55</v>
      </c>
      <c r="G48" t="s">
        <v>69</v>
      </c>
      <c r="H48" t="s">
        <v>17</v>
      </c>
      <c r="I48" t="s">
        <v>74</v>
      </c>
      <c r="J48" t="s">
        <v>75</v>
      </c>
      <c r="K48" s="1">
        <v>4613666.5590000004</v>
      </c>
      <c r="L48" s="1">
        <v>413239.13699999999</v>
      </c>
      <c r="M48" s="1">
        <v>0.71799999999999997</v>
      </c>
    </row>
    <row r="49" spans="1:14" x14ac:dyDescent="0.25">
      <c r="A49" t="s">
        <v>61</v>
      </c>
      <c r="B49">
        <v>14</v>
      </c>
      <c r="C49" t="s">
        <v>62</v>
      </c>
      <c r="D49">
        <v>2023</v>
      </c>
      <c r="E49" s="1" t="s">
        <v>38</v>
      </c>
      <c r="F49" s="1">
        <v>56</v>
      </c>
      <c r="G49" t="s">
        <v>69</v>
      </c>
      <c r="H49" t="s">
        <v>17</v>
      </c>
      <c r="I49" t="s">
        <v>74</v>
      </c>
      <c r="J49" t="s">
        <v>75</v>
      </c>
      <c r="K49" s="1">
        <v>4613677.1789999995</v>
      </c>
      <c r="L49" s="1">
        <v>413240.19400000002</v>
      </c>
      <c r="M49" s="1">
        <v>0.68600000000000005</v>
      </c>
    </row>
    <row r="50" spans="1:14" x14ac:dyDescent="0.25">
      <c r="A50" t="s">
        <v>61</v>
      </c>
      <c r="B50">
        <v>14</v>
      </c>
      <c r="C50" t="s">
        <v>62</v>
      </c>
      <c r="D50">
        <v>2023</v>
      </c>
      <c r="E50" s="1" t="s">
        <v>39</v>
      </c>
      <c r="F50" s="1">
        <v>57</v>
      </c>
      <c r="G50" t="s">
        <v>40</v>
      </c>
      <c r="H50" t="s">
        <v>4</v>
      </c>
      <c r="I50" t="s">
        <v>76</v>
      </c>
      <c r="J50" t="s">
        <v>75</v>
      </c>
      <c r="K50" s="1">
        <v>4613910.1900000004</v>
      </c>
      <c r="L50" s="1">
        <v>413671.47399999999</v>
      </c>
      <c r="M50" s="1">
        <v>0.27800000000000002</v>
      </c>
      <c r="N50" s="1" t="s">
        <v>41</v>
      </c>
    </row>
    <row r="51" spans="1:14" x14ac:dyDescent="0.25">
      <c r="A51" t="s">
        <v>61</v>
      </c>
      <c r="B51">
        <v>14</v>
      </c>
      <c r="C51" t="s">
        <v>62</v>
      </c>
      <c r="D51">
        <v>2023</v>
      </c>
      <c r="E51" s="1" t="s">
        <v>39</v>
      </c>
      <c r="F51" s="1">
        <v>58</v>
      </c>
      <c r="G51" t="s">
        <v>40</v>
      </c>
      <c r="H51" t="s">
        <v>4</v>
      </c>
      <c r="I51" t="s">
        <v>76</v>
      </c>
      <c r="J51" t="s">
        <v>75</v>
      </c>
      <c r="K51" s="1">
        <v>4613914.5460000001</v>
      </c>
      <c r="L51" s="1">
        <v>413673.81900000002</v>
      </c>
      <c r="M51" s="1">
        <v>0.29499999999999998</v>
      </c>
      <c r="N51" s="1" t="s">
        <v>41</v>
      </c>
    </row>
    <row r="52" spans="1:14" x14ac:dyDescent="0.25">
      <c r="A52" t="s">
        <v>61</v>
      </c>
      <c r="B52">
        <v>14</v>
      </c>
      <c r="C52" t="s">
        <v>62</v>
      </c>
      <c r="D52">
        <v>2023</v>
      </c>
      <c r="E52" s="1" t="s">
        <v>42</v>
      </c>
      <c r="F52" s="1">
        <v>59</v>
      </c>
      <c r="G52" t="s">
        <v>31</v>
      </c>
      <c r="H52" t="s">
        <v>31</v>
      </c>
      <c r="I52" t="s">
        <v>77</v>
      </c>
      <c r="J52" t="s">
        <v>75</v>
      </c>
      <c r="K52" s="1">
        <v>4613889.983</v>
      </c>
      <c r="L52" s="1">
        <v>413674.04399999999</v>
      </c>
      <c r="M52" s="1">
        <v>0.39</v>
      </c>
    </row>
    <row r="53" spans="1:14" x14ac:dyDescent="0.25">
      <c r="A53" t="s">
        <v>61</v>
      </c>
      <c r="B53">
        <v>14</v>
      </c>
      <c r="C53" t="s">
        <v>62</v>
      </c>
      <c r="D53">
        <v>2023</v>
      </c>
      <c r="E53" s="1" t="s">
        <v>42</v>
      </c>
      <c r="F53" s="1">
        <v>60</v>
      </c>
      <c r="G53" t="s">
        <v>31</v>
      </c>
      <c r="H53" t="s">
        <v>31</v>
      </c>
      <c r="I53" t="s">
        <v>77</v>
      </c>
      <c r="J53" t="s">
        <v>75</v>
      </c>
      <c r="K53" s="1">
        <v>4613891.4349999996</v>
      </c>
      <c r="L53" s="1">
        <v>413680.17200000002</v>
      </c>
      <c r="M53" s="1">
        <v>0.48599999999999999</v>
      </c>
    </row>
    <row r="54" spans="1:14" x14ac:dyDescent="0.25">
      <c r="A54" t="s">
        <v>61</v>
      </c>
      <c r="B54">
        <v>14</v>
      </c>
      <c r="C54" t="s">
        <v>62</v>
      </c>
      <c r="D54">
        <v>2023</v>
      </c>
      <c r="E54" s="1" t="s">
        <v>43</v>
      </c>
      <c r="F54" s="1">
        <v>61</v>
      </c>
      <c r="G54" t="s">
        <v>31</v>
      </c>
      <c r="H54" t="s">
        <v>31</v>
      </c>
      <c r="I54" t="s">
        <v>77</v>
      </c>
      <c r="J54" t="s">
        <v>75</v>
      </c>
      <c r="K54" s="1">
        <v>4613885.0190000003</v>
      </c>
      <c r="L54" s="1">
        <v>413690.93599999999</v>
      </c>
      <c r="M54" s="1">
        <v>0.42399999999999999</v>
      </c>
    </row>
    <row r="55" spans="1:14" x14ac:dyDescent="0.25">
      <c r="A55" t="s">
        <v>61</v>
      </c>
      <c r="B55">
        <v>14</v>
      </c>
      <c r="C55" t="s">
        <v>62</v>
      </c>
      <c r="D55">
        <v>2023</v>
      </c>
      <c r="E55" s="1" t="s">
        <v>43</v>
      </c>
      <c r="F55" s="1">
        <v>62</v>
      </c>
      <c r="G55" t="s">
        <v>31</v>
      </c>
      <c r="H55" t="s">
        <v>31</v>
      </c>
      <c r="I55" t="s">
        <v>77</v>
      </c>
      <c r="J55" t="s">
        <v>75</v>
      </c>
      <c r="K55" s="1">
        <v>4613886.1569999997</v>
      </c>
      <c r="L55" s="1">
        <v>413695.42099999997</v>
      </c>
      <c r="M55" s="1">
        <v>0.47399999999999998</v>
      </c>
    </row>
    <row r="56" spans="1:14" x14ac:dyDescent="0.25">
      <c r="A56" t="s">
        <v>61</v>
      </c>
      <c r="B56">
        <v>14</v>
      </c>
      <c r="C56" t="s">
        <v>62</v>
      </c>
      <c r="D56">
        <v>2023</v>
      </c>
      <c r="E56" s="1" t="s">
        <v>44</v>
      </c>
      <c r="F56" s="1">
        <v>63</v>
      </c>
      <c r="G56" t="s">
        <v>70</v>
      </c>
      <c r="H56" t="s">
        <v>16</v>
      </c>
      <c r="I56" t="s">
        <v>74</v>
      </c>
      <c r="J56" t="s">
        <v>75</v>
      </c>
      <c r="K56" s="1">
        <v>4613885.8820000002</v>
      </c>
      <c r="L56" s="1">
        <v>413704.54100000003</v>
      </c>
      <c r="M56" s="1">
        <v>0.45900000000000002</v>
      </c>
      <c r="N56" s="1" t="s">
        <v>45</v>
      </c>
    </row>
    <row r="57" spans="1:14" x14ac:dyDescent="0.25">
      <c r="A57" t="s">
        <v>61</v>
      </c>
      <c r="B57">
        <v>14</v>
      </c>
      <c r="C57" t="s">
        <v>62</v>
      </c>
      <c r="D57">
        <v>2023</v>
      </c>
      <c r="E57" s="1" t="s">
        <v>44</v>
      </c>
      <c r="F57" s="1">
        <v>64</v>
      </c>
      <c r="G57" t="s">
        <v>70</v>
      </c>
      <c r="H57" t="s">
        <v>16</v>
      </c>
      <c r="I57" t="s">
        <v>74</v>
      </c>
      <c r="J57" t="s">
        <v>75</v>
      </c>
      <c r="K57" s="1">
        <v>4613882.9749999996</v>
      </c>
      <c r="L57" s="1">
        <v>413715.09899999999</v>
      </c>
      <c r="M57" s="1">
        <v>0.60699999999999998</v>
      </c>
      <c r="N57" s="1" t="s">
        <v>45</v>
      </c>
    </row>
    <row r="58" spans="1:14" x14ac:dyDescent="0.25">
      <c r="A58" t="s">
        <v>61</v>
      </c>
      <c r="B58">
        <v>14</v>
      </c>
      <c r="C58" t="s">
        <v>62</v>
      </c>
      <c r="D58">
        <v>2023</v>
      </c>
      <c r="E58" s="1" t="s">
        <v>31</v>
      </c>
      <c r="F58" s="1">
        <v>65</v>
      </c>
      <c r="G58" t="s">
        <v>71</v>
      </c>
      <c r="H58" t="s">
        <v>4</v>
      </c>
      <c r="I58" t="s">
        <v>74</v>
      </c>
      <c r="J58" t="s">
        <v>75</v>
      </c>
      <c r="K58" s="1">
        <v>4613880.8830000004</v>
      </c>
      <c r="L58" s="1">
        <v>413708.43199999997</v>
      </c>
      <c r="M58" s="1">
        <v>0.59099999999999997</v>
      </c>
    </row>
    <row r="59" spans="1:14" x14ac:dyDescent="0.25">
      <c r="A59" t="s">
        <v>61</v>
      </c>
      <c r="B59">
        <v>14</v>
      </c>
      <c r="C59" t="s">
        <v>62</v>
      </c>
      <c r="D59">
        <v>2023</v>
      </c>
      <c r="E59" s="1" t="s">
        <v>31</v>
      </c>
      <c r="F59" s="1">
        <v>66</v>
      </c>
      <c r="G59" t="s">
        <v>71</v>
      </c>
      <c r="H59" t="s">
        <v>4</v>
      </c>
      <c r="I59" t="s">
        <v>74</v>
      </c>
      <c r="J59" t="s">
        <v>75</v>
      </c>
      <c r="K59" s="1">
        <v>4613880.8689999999</v>
      </c>
      <c r="L59" s="1">
        <v>413714.03200000001</v>
      </c>
      <c r="M59" s="1">
        <v>0.57199999999999995</v>
      </c>
    </row>
    <row r="60" spans="1:14" x14ac:dyDescent="0.25">
      <c r="A60" t="s">
        <v>61</v>
      </c>
      <c r="B60">
        <v>14</v>
      </c>
      <c r="C60" t="s">
        <v>62</v>
      </c>
      <c r="D60">
        <v>2023</v>
      </c>
      <c r="E60" s="1" t="s">
        <v>46</v>
      </c>
      <c r="F60" s="1">
        <v>67</v>
      </c>
      <c r="G60" t="s">
        <v>72</v>
      </c>
      <c r="H60" t="s">
        <v>8</v>
      </c>
      <c r="I60" t="s">
        <v>74</v>
      </c>
      <c r="J60" t="s">
        <v>75</v>
      </c>
      <c r="K60" s="1">
        <v>4613875.4009999996</v>
      </c>
      <c r="L60" s="1">
        <v>413797.48100000003</v>
      </c>
      <c r="M60" s="1">
        <v>0.52500000000000002</v>
      </c>
    </row>
    <row r="61" spans="1:14" x14ac:dyDescent="0.25">
      <c r="A61" t="s">
        <v>61</v>
      </c>
      <c r="B61">
        <v>14</v>
      </c>
      <c r="C61" t="s">
        <v>62</v>
      </c>
      <c r="D61">
        <v>2023</v>
      </c>
      <c r="E61" s="1" t="s">
        <v>46</v>
      </c>
      <c r="F61" s="1">
        <v>68</v>
      </c>
      <c r="G61" t="s">
        <v>72</v>
      </c>
      <c r="H61" t="s">
        <v>8</v>
      </c>
      <c r="I61" t="s">
        <v>74</v>
      </c>
      <c r="J61" t="s">
        <v>75</v>
      </c>
      <c r="K61" s="1">
        <v>4613857.6960000005</v>
      </c>
      <c r="L61" s="1">
        <v>413802.049</v>
      </c>
      <c r="M61" s="1">
        <v>0.47399999999999998</v>
      </c>
    </row>
    <row r="62" spans="1:14" x14ac:dyDescent="0.25">
      <c r="A62" t="s">
        <v>61</v>
      </c>
      <c r="B62">
        <v>14</v>
      </c>
      <c r="C62" t="s">
        <v>62</v>
      </c>
      <c r="D62">
        <v>2023</v>
      </c>
      <c r="E62" s="1" t="s">
        <v>47</v>
      </c>
      <c r="F62" s="1">
        <v>69</v>
      </c>
      <c r="G62" t="s">
        <v>72</v>
      </c>
      <c r="H62" t="s">
        <v>8</v>
      </c>
      <c r="I62" t="s">
        <v>74</v>
      </c>
      <c r="J62" t="s">
        <v>75</v>
      </c>
      <c r="K62" s="1">
        <v>4613846.5159999998</v>
      </c>
      <c r="L62" s="1">
        <v>413727.26899999997</v>
      </c>
      <c r="M62" s="1">
        <v>0.5</v>
      </c>
    </row>
    <row r="63" spans="1:14" x14ac:dyDescent="0.25">
      <c r="A63" t="s">
        <v>61</v>
      </c>
      <c r="B63">
        <v>14</v>
      </c>
      <c r="C63" t="s">
        <v>62</v>
      </c>
      <c r="D63">
        <v>2023</v>
      </c>
      <c r="E63" s="1" t="s">
        <v>47</v>
      </c>
      <c r="F63" s="1">
        <v>70</v>
      </c>
      <c r="G63" t="s">
        <v>72</v>
      </c>
      <c r="H63" t="s">
        <v>8</v>
      </c>
      <c r="I63" t="s">
        <v>74</v>
      </c>
      <c r="J63" t="s">
        <v>75</v>
      </c>
      <c r="K63" s="1">
        <v>4613820.0080000004</v>
      </c>
      <c r="L63" s="1">
        <v>413707.60800000001</v>
      </c>
      <c r="M63" s="1">
        <v>0.38</v>
      </c>
    </row>
    <row r="64" spans="1:14" x14ac:dyDescent="0.25">
      <c r="A64" t="s">
        <v>61</v>
      </c>
      <c r="B64">
        <v>14</v>
      </c>
      <c r="C64" t="s">
        <v>62</v>
      </c>
      <c r="D64">
        <v>2023</v>
      </c>
      <c r="E64" s="1" t="s">
        <v>48</v>
      </c>
      <c r="F64" s="1">
        <v>71</v>
      </c>
      <c r="G64" t="s">
        <v>72</v>
      </c>
      <c r="H64" t="s">
        <v>8</v>
      </c>
      <c r="I64" t="s">
        <v>74</v>
      </c>
      <c r="J64" t="s">
        <v>75</v>
      </c>
      <c r="K64" s="1">
        <v>4613804.8679999998</v>
      </c>
      <c r="L64" s="1">
        <v>413692.04200000002</v>
      </c>
      <c r="M64" s="1">
        <v>0.497</v>
      </c>
    </row>
    <row r="65" spans="1:13" x14ac:dyDescent="0.25">
      <c r="A65" t="s">
        <v>61</v>
      </c>
      <c r="B65">
        <v>14</v>
      </c>
      <c r="C65" t="s">
        <v>62</v>
      </c>
      <c r="D65">
        <v>2023</v>
      </c>
      <c r="E65" s="1" t="s">
        <v>48</v>
      </c>
      <c r="F65" s="1">
        <v>72</v>
      </c>
      <c r="G65" t="s">
        <v>72</v>
      </c>
      <c r="H65" t="s">
        <v>8</v>
      </c>
      <c r="I65" t="s">
        <v>74</v>
      </c>
      <c r="J65" t="s">
        <v>75</v>
      </c>
      <c r="K65" s="1">
        <v>4613762.0199999996</v>
      </c>
      <c r="L65" s="1">
        <v>413676.152</v>
      </c>
      <c r="M65" s="1">
        <v>0.434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DA5AC-110D-43BB-81F0-7D16AAF2FB1A}">
  <dimension ref="A1:N6"/>
  <sheetViews>
    <sheetView workbookViewId="0">
      <selection activeCell="F9" sqref="F9"/>
    </sheetView>
  </sheetViews>
  <sheetFormatPr defaultRowHeight="12.5" x14ac:dyDescent="0.25"/>
  <sheetData>
    <row r="1" spans="1:14" x14ac:dyDescent="0.25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  <c r="H1" t="s">
        <v>0</v>
      </c>
      <c r="I1" t="s">
        <v>58</v>
      </c>
      <c r="J1" t="s">
        <v>59</v>
      </c>
      <c r="K1" t="s">
        <v>1</v>
      </c>
      <c r="L1" t="s">
        <v>2</v>
      </c>
      <c r="M1" t="s">
        <v>60</v>
      </c>
      <c r="N1" t="s">
        <v>3</v>
      </c>
    </row>
    <row r="2" spans="1:14" x14ac:dyDescent="0.25">
      <c r="A2" t="s">
        <v>61</v>
      </c>
      <c r="B2">
        <v>14</v>
      </c>
      <c r="C2" t="s">
        <v>62</v>
      </c>
      <c r="D2">
        <v>2023</v>
      </c>
      <c r="E2" s="1" t="s">
        <v>4</v>
      </c>
      <c r="F2" s="1">
        <v>1</v>
      </c>
      <c r="G2" t="s">
        <v>63</v>
      </c>
      <c r="H2" t="s">
        <v>5</v>
      </c>
      <c r="I2" t="s">
        <v>74</v>
      </c>
      <c r="J2" t="s">
        <v>78</v>
      </c>
      <c r="K2" s="1">
        <v>4613568.2659999998</v>
      </c>
      <c r="L2" s="1">
        <v>413696.45699999999</v>
      </c>
      <c r="M2" s="1">
        <v>0.53300000000000003</v>
      </c>
    </row>
    <row r="3" spans="1:14" x14ac:dyDescent="0.25">
      <c r="A3" t="s">
        <v>61</v>
      </c>
      <c r="B3">
        <v>14</v>
      </c>
      <c r="C3" t="s">
        <v>62</v>
      </c>
      <c r="D3">
        <v>2023</v>
      </c>
      <c r="E3" s="1" t="s">
        <v>21</v>
      </c>
      <c r="F3" s="1">
        <v>31</v>
      </c>
      <c r="G3" t="s">
        <v>66</v>
      </c>
      <c r="H3" t="s">
        <v>10</v>
      </c>
      <c r="I3" t="s">
        <v>74</v>
      </c>
      <c r="J3" t="s">
        <v>78</v>
      </c>
      <c r="K3" s="1">
        <v>4613527.21</v>
      </c>
      <c r="L3" s="1">
        <v>413234.58100000001</v>
      </c>
      <c r="M3" s="1">
        <v>0.629</v>
      </c>
    </row>
    <row r="4" spans="1:14" x14ac:dyDescent="0.25">
      <c r="A4" t="s">
        <v>61</v>
      </c>
      <c r="B4">
        <v>14</v>
      </c>
      <c r="C4" t="s">
        <v>62</v>
      </c>
      <c r="D4">
        <v>2023</v>
      </c>
      <c r="E4" s="1" t="s">
        <v>30</v>
      </c>
      <c r="F4" s="1">
        <v>44</v>
      </c>
      <c r="G4" t="s">
        <v>31</v>
      </c>
      <c r="H4" t="s">
        <v>31</v>
      </c>
      <c r="I4" t="s">
        <v>77</v>
      </c>
      <c r="J4" t="s">
        <v>78</v>
      </c>
      <c r="K4" s="1">
        <v>4613692.6370000001</v>
      </c>
      <c r="L4" s="1">
        <v>413414.86900000001</v>
      </c>
      <c r="M4" s="1">
        <v>0.54100000000000004</v>
      </c>
    </row>
    <row r="5" spans="1:14" x14ac:dyDescent="0.25">
      <c r="A5" t="s">
        <v>61</v>
      </c>
      <c r="B5">
        <v>14</v>
      </c>
      <c r="C5" t="s">
        <v>62</v>
      </c>
      <c r="D5">
        <v>2023</v>
      </c>
      <c r="E5" s="1" t="s">
        <v>49</v>
      </c>
      <c r="F5" s="1">
        <v>73</v>
      </c>
      <c r="G5" t="s">
        <v>31</v>
      </c>
      <c r="H5" t="s">
        <v>31</v>
      </c>
      <c r="I5" t="s">
        <v>77</v>
      </c>
      <c r="J5" t="s">
        <v>78</v>
      </c>
      <c r="K5" s="1">
        <v>4613765.9680000003</v>
      </c>
      <c r="L5" s="1">
        <v>413627.071</v>
      </c>
      <c r="M5" s="1">
        <v>0.59399999999999997</v>
      </c>
    </row>
    <row r="6" spans="1:14" x14ac:dyDescent="0.25">
      <c r="A6" t="s">
        <v>61</v>
      </c>
      <c r="B6">
        <v>14</v>
      </c>
      <c r="C6" t="s">
        <v>62</v>
      </c>
      <c r="D6">
        <v>2023</v>
      </c>
      <c r="E6" s="1" t="s">
        <v>50</v>
      </c>
      <c r="F6" s="1">
        <v>74</v>
      </c>
      <c r="G6" t="s">
        <v>31</v>
      </c>
      <c r="H6" t="s">
        <v>31</v>
      </c>
      <c r="I6" t="s">
        <v>77</v>
      </c>
      <c r="J6" t="s">
        <v>78</v>
      </c>
      <c r="K6" s="1">
        <v>4613763.3030000003</v>
      </c>
      <c r="L6" s="1">
        <v>413613.49699999997</v>
      </c>
      <c r="M6" s="1">
        <v>0.61199999999999999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B959A-2539-4FED-BC52-3DB66F46D41D}">
  <dimension ref="A1:N6"/>
  <sheetViews>
    <sheetView workbookViewId="0">
      <selection activeCell="B14" sqref="B14"/>
    </sheetView>
  </sheetViews>
  <sheetFormatPr defaultRowHeight="12.5" x14ac:dyDescent="0.25"/>
  <sheetData>
    <row r="1" spans="1:14" x14ac:dyDescent="0.25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  <c r="H1" t="s">
        <v>0</v>
      </c>
      <c r="I1" t="s">
        <v>58</v>
      </c>
      <c r="J1" t="s">
        <v>59</v>
      </c>
      <c r="K1" t="s">
        <v>1</v>
      </c>
      <c r="L1" t="s">
        <v>2</v>
      </c>
      <c r="M1" t="s">
        <v>60</v>
      </c>
      <c r="N1" t="s">
        <v>3</v>
      </c>
    </row>
    <row r="2" spans="1:14" x14ac:dyDescent="0.25">
      <c r="A2" t="s">
        <v>61</v>
      </c>
      <c r="B2">
        <v>14</v>
      </c>
      <c r="C2" t="s">
        <v>62</v>
      </c>
      <c r="D2">
        <v>2023</v>
      </c>
      <c r="E2" s="1" t="s">
        <v>17</v>
      </c>
      <c r="F2" s="1">
        <v>22</v>
      </c>
      <c r="G2" t="s">
        <v>68</v>
      </c>
      <c r="H2" t="s">
        <v>14</v>
      </c>
      <c r="I2" t="s">
        <v>74</v>
      </c>
      <c r="J2" t="s">
        <v>73</v>
      </c>
      <c r="K2" s="1">
        <v>4613520.9730000002</v>
      </c>
      <c r="L2" s="1">
        <v>413288.435</v>
      </c>
      <c r="M2" s="1">
        <v>0.73399999999999999</v>
      </c>
      <c r="N2" s="1" t="s">
        <v>18</v>
      </c>
    </row>
    <row r="3" spans="1:14" x14ac:dyDescent="0.25">
      <c r="A3" t="s">
        <v>61</v>
      </c>
      <c r="B3">
        <v>14</v>
      </c>
      <c r="C3" t="s">
        <v>62</v>
      </c>
      <c r="D3">
        <v>2023</v>
      </c>
      <c r="E3" s="1" t="s">
        <v>17</v>
      </c>
      <c r="F3" s="1">
        <v>23</v>
      </c>
      <c r="G3" t="s">
        <v>68</v>
      </c>
      <c r="H3" t="s">
        <v>14</v>
      </c>
      <c r="I3" t="s">
        <v>74</v>
      </c>
      <c r="J3" t="s">
        <v>73</v>
      </c>
      <c r="K3" s="1">
        <v>4613516.858</v>
      </c>
      <c r="L3" s="1">
        <v>413289.52799999999</v>
      </c>
      <c r="M3" s="1">
        <v>0.71499999999999997</v>
      </c>
      <c r="N3" s="1" t="s">
        <v>18</v>
      </c>
    </row>
    <row r="4" spans="1:14" x14ac:dyDescent="0.25">
      <c r="A4" t="s">
        <v>61</v>
      </c>
      <c r="B4">
        <v>14</v>
      </c>
      <c r="C4" t="s">
        <v>62</v>
      </c>
      <c r="D4">
        <v>2023</v>
      </c>
      <c r="E4" s="1" t="s">
        <v>17</v>
      </c>
      <c r="F4" s="1">
        <v>24</v>
      </c>
      <c r="G4" t="s">
        <v>68</v>
      </c>
      <c r="H4" t="s">
        <v>14</v>
      </c>
      <c r="I4" t="s">
        <v>74</v>
      </c>
      <c r="J4" t="s">
        <v>73</v>
      </c>
      <c r="K4" s="1">
        <v>4613522.37</v>
      </c>
      <c r="L4" s="1">
        <v>413303.50400000002</v>
      </c>
      <c r="M4" s="1">
        <v>0.72599999999999998</v>
      </c>
      <c r="N4" s="1" t="s">
        <v>18</v>
      </c>
    </row>
    <row r="5" spans="1:14" x14ac:dyDescent="0.25">
      <c r="A5" t="s">
        <v>61</v>
      </c>
      <c r="B5">
        <v>14</v>
      </c>
      <c r="C5" t="s">
        <v>62</v>
      </c>
      <c r="D5">
        <v>2023</v>
      </c>
      <c r="E5" s="1" t="s">
        <v>17</v>
      </c>
      <c r="F5" s="1">
        <v>25</v>
      </c>
      <c r="G5" t="s">
        <v>68</v>
      </c>
      <c r="H5" t="s">
        <v>14</v>
      </c>
      <c r="I5" t="s">
        <v>74</v>
      </c>
      <c r="J5" t="s">
        <v>73</v>
      </c>
      <c r="K5" s="1">
        <v>4613530.5290000001</v>
      </c>
      <c r="L5" s="1">
        <v>413299.43</v>
      </c>
      <c r="M5" s="1">
        <v>0.80500000000000005</v>
      </c>
      <c r="N5" s="1" t="s">
        <v>18</v>
      </c>
    </row>
    <row r="6" spans="1:14" x14ac:dyDescent="0.25">
      <c r="A6" t="s">
        <v>61</v>
      </c>
      <c r="B6">
        <v>14</v>
      </c>
      <c r="C6" t="s">
        <v>62</v>
      </c>
      <c r="D6">
        <v>2023</v>
      </c>
      <c r="E6" s="1" t="s">
        <v>17</v>
      </c>
      <c r="F6" s="1">
        <v>26</v>
      </c>
      <c r="G6" t="s">
        <v>68</v>
      </c>
      <c r="H6" t="s">
        <v>14</v>
      </c>
      <c r="I6" t="s">
        <v>74</v>
      </c>
      <c r="J6" t="s">
        <v>73</v>
      </c>
      <c r="K6" s="1">
        <v>4613524.3689999999</v>
      </c>
      <c r="L6" s="1">
        <v>413289.22399999999</v>
      </c>
      <c r="M6" s="1">
        <v>0.74199999999999999</v>
      </c>
      <c r="N6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LabeledData_RR_14Aug2023</vt:lpstr>
      <vt:lpstr>Line</vt:lpstr>
      <vt:lpstr>MU</vt:lpstr>
      <vt:lpstr>Poly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Wicks</dc:creator>
  <cp:lastModifiedBy>Ryan Wicks</cp:lastModifiedBy>
  <dcterms:created xsi:type="dcterms:W3CDTF">2025-04-15T19:47:01Z</dcterms:created>
  <dcterms:modified xsi:type="dcterms:W3CDTF">2025-04-26T14:27:27Z</dcterms:modified>
</cp:coreProperties>
</file>