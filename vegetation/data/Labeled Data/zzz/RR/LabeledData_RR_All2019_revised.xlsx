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Red River\Ground Truthing\"/>
    </mc:Choice>
  </mc:AlternateContent>
  <xr:revisionPtr revIDLastSave="0" documentId="13_ncr:1_{E387B31D-1245-4230-BA7E-03F629C936F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GroundTruthData_2019_All_revise" sheetId="1" r:id="rId1"/>
    <sheet name="Line" sheetId="2" r:id="rId2"/>
    <sheet name="MU" sheetId="3" r:id="rId3"/>
    <sheet name="Poly" sheetId="4" r:id="rId4"/>
  </sheets>
  <definedNames>
    <definedName name="_xlnm._FilterDatabase" localSheetId="0" hidden="1">GroundTruthData_2019_All_revise!$A$1:$N$306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6" i="1" l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14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E272" i="1"/>
  <c r="E269" i="1"/>
  <c r="E270" i="1" s="1"/>
  <c r="J270" i="1" s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155" i="1"/>
  <c r="E147" i="1"/>
  <c r="E148" i="1" s="1"/>
  <c r="E149" i="1" s="1"/>
  <c r="E150" i="1" s="1"/>
  <c r="E151" i="1" s="1"/>
  <c r="E152" i="1" s="1"/>
  <c r="E153" i="1" s="1"/>
  <c r="J153" i="1" s="1"/>
  <c r="E87" i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J116" i="1" s="1"/>
  <c r="F89" i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E56" i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J32" i="1" s="1"/>
  <c r="J25" i="1" l="1"/>
  <c r="J239" i="1"/>
  <c r="J96" i="1"/>
  <c r="J108" i="1"/>
  <c r="J29" i="1"/>
  <c r="J95" i="1"/>
  <c r="J104" i="1"/>
  <c r="J26" i="1"/>
  <c r="J87" i="1"/>
  <c r="J18" i="1"/>
  <c r="J88" i="1"/>
  <c r="J100" i="1"/>
  <c r="J111" i="1"/>
  <c r="J21" i="1"/>
  <c r="J92" i="1"/>
  <c r="J103" i="1"/>
  <c r="J112" i="1"/>
  <c r="J240" i="1"/>
  <c r="J154" i="1"/>
  <c r="J62" i="1"/>
  <c r="J152" i="1"/>
  <c r="E70" i="1"/>
  <c r="J69" i="1" s="1"/>
  <c r="J57" i="1"/>
  <c r="J65" i="1"/>
  <c r="J147" i="1"/>
  <c r="J235" i="1"/>
  <c r="J243" i="1"/>
  <c r="J22" i="1"/>
  <c r="J30" i="1"/>
  <c r="J58" i="1"/>
  <c r="J66" i="1"/>
  <c r="J91" i="1"/>
  <c r="J99" i="1"/>
  <c r="J107" i="1"/>
  <c r="J115" i="1"/>
  <c r="J148" i="1"/>
  <c r="J236" i="1"/>
  <c r="J244" i="1"/>
  <c r="J61" i="1"/>
  <c r="J151" i="1"/>
  <c r="J247" i="1"/>
  <c r="J248" i="1"/>
  <c r="J269" i="1"/>
  <c r="E252" i="1"/>
  <c r="J251" i="1" s="1"/>
  <c r="J19" i="1"/>
  <c r="J23" i="1"/>
  <c r="J27" i="1"/>
  <c r="J31" i="1"/>
  <c r="J55" i="1"/>
  <c r="J59" i="1"/>
  <c r="J63" i="1"/>
  <c r="J67" i="1"/>
  <c r="J89" i="1"/>
  <c r="J93" i="1"/>
  <c r="J97" i="1"/>
  <c r="J101" i="1"/>
  <c r="J105" i="1"/>
  <c r="J109" i="1"/>
  <c r="J113" i="1"/>
  <c r="J149" i="1"/>
  <c r="J233" i="1"/>
  <c r="J237" i="1"/>
  <c r="J241" i="1"/>
  <c r="J245" i="1"/>
  <c r="J249" i="1"/>
  <c r="E273" i="1"/>
  <c r="J271" i="1"/>
  <c r="E156" i="1"/>
  <c r="J155" i="1" s="1"/>
  <c r="J20" i="1"/>
  <c r="J24" i="1"/>
  <c r="J28" i="1"/>
  <c r="J56" i="1"/>
  <c r="J60" i="1"/>
  <c r="J64" i="1"/>
  <c r="J68" i="1"/>
  <c r="J90" i="1"/>
  <c r="J94" i="1"/>
  <c r="J98" i="1"/>
  <c r="J102" i="1"/>
  <c r="J106" i="1"/>
  <c r="J110" i="1"/>
  <c r="J114" i="1"/>
  <c r="J146" i="1"/>
  <c r="J150" i="1"/>
  <c r="J234" i="1"/>
  <c r="J238" i="1"/>
  <c r="J242" i="1"/>
  <c r="J246" i="1"/>
  <c r="J250" i="1"/>
  <c r="J272" i="1"/>
  <c r="E71" i="1"/>
  <c r="J70" i="1" s="1"/>
  <c r="E274" i="1" l="1"/>
  <c r="J273" i="1" s="1"/>
  <c r="E157" i="1"/>
  <c r="J156" i="1"/>
  <c r="E72" i="1"/>
  <c r="J72" i="1" s="1"/>
  <c r="E253" i="1"/>
  <c r="J252" i="1"/>
  <c r="J71" i="1" l="1"/>
  <c r="E254" i="1"/>
  <c r="J253" i="1"/>
  <c r="E158" i="1"/>
  <c r="J157" i="1" s="1"/>
  <c r="E275" i="1"/>
  <c r="J274" i="1" s="1"/>
  <c r="E159" i="1" l="1"/>
  <c r="J158" i="1" s="1"/>
  <c r="E276" i="1"/>
  <c r="J275" i="1" s="1"/>
  <c r="E255" i="1"/>
  <c r="J254" i="1"/>
  <c r="E277" i="1" l="1"/>
  <c r="J276" i="1" s="1"/>
  <c r="E256" i="1"/>
  <c r="J255" i="1" s="1"/>
  <c r="E160" i="1"/>
  <c r="E257" i="1" l="1"/>
  <c r="J256" i="1" s="1"/>
  <c r="E161" i="1"/>
  <c r="J160" i="1" s="1"/>
  <c r="J159" i="1"/>
  <c r="E278" i="1"/>
  <c r="J277" i="1" s="1"/>
  <c r="E162" i="1" l="1"/>
  <c r="J161" i="1"/>
  <c r="E279" i="1"/>
  <c r="J278" i="1" s="1"/>
  <c r="E258" i="1"/>
  <c r="J257" i="1" s="1"/>
  <c r="E280" i="1" l="1"/>
  <c r="J279" i="1"/>
  <c r="E259" i="1"/>
  <c r="J258" i="1" s="1"/>
  <c r="E163" i="1"/>
  <c r="J162" i="1" s="1"/>
  <c r="E260" i="1" l="1"/>
  <c r="J259" i="1"/>
  <c r="E164" i="1"/>
  <c r="J163" i="1" s="1"/>
  <c r="E281" i="1"/>
  <c r="J280" i="1" s="1"/>
  <c r="E165" i="1" l="1"/>
  <c r="J164" i="1"/>
  <c r="E282" i="1"/>
  <c r="J281" i="1" s="1"/>
  <c r="E261" i="1"/>
  <c r="J260" i="1"/>
  <c r="J283" i="1" l="1"/>
  <c r="J282" i="1"/>
  <c r="E262" i="1"/>
  <c r="J261" i="1" s="1"/>
  <c r="E166" i="1"/>
  <c r="J165" i="1" s="1"/>
  <c r="E263" i="1" l="1"/>
  <c r="J262" i="1"/>
  <c r="E167" i="1"/>
  <c r="J166" i="1"/>
  <c r="E168" i="1" l="1"/>
  <c r="J167" i="1"/>
  <c r="E264" i="1"/>
  <c r="J263" i="1"/>
  <c r="E265" i="1" l="1"/>
  <c r="J264" i="1"/>
  <c r="E169" i="1"/>
  <c r="J168" i="1"/>
  <c r="E170" i="1" l="1"/>
  <c r="J169" i="1"/>
  <c r="E266" i="1"/>
  <c r="J265" i="1" s="1"/>
  <c r="E267" i="1" l="1"/>
  <c r="J266" i="1"/>
  <c r="E171" i="1"/>
  <c r="J170" i="1"/>
  <c r="E172" i="1" l="1"/>
  <c r="J171" i="1"/>
  <c r="J267" i="1"/>
  <c r="J268" i="1"/>
  <c r="E173" i="1" l="1"/>
  <c r="J172" i="1"/>
  <c r="E174" i="1" l="1"/>
  <c r="J173" i="1"/>
  <c r="E175" i="1" l="1"/>
  <c r="J174" i="1"/>
  <c r="E176" i="1" l="1"/>
  <c r="J175" i="1"/>
  <c r="E177" i="1" l="1"/>
  <c r="J176" i="1"/>
  <c r="E178" i="1" l="1"/>
  <c r="J177" i="1"/>
  <c r="E179" i="1" l="1"/>
  <c r="J178" i="1"/>
  <c r="E180" i="1" l="1"/>
  <c r="J179" i="1"/>
  <c r="E181" i="1" l="1"/>
  <c r="J180" i="1"/>
  <c r="E182" i="1" l="1"/>
  <c r="J181" i="1"/>
  <c r="E183" i="1" l="1"/>
  <c r="J182" i="1"/>
  <c r="E184" i="1" l="1"/>
  <c r="J183" i="1"/>
  <c r="E185" i="1" l="1"/>
  <c r="J184" i="1"/>
  <c r="E186" i="1" l="1"/>
  <c r="J185" i="1"/>
  <c r="E187" i="1" l="1"/>
  <c r="J186" i="1"/>
  <c r="E188" i="1" l="1"/>
  <c r="J187" i="1"/>
  <c r="E189" i="1" l="1"/>
  <c r="J188" i="1"/>
  <c r="E190" i="1" l="1"/>
  <c r="J189" i="1"/>
  <c r="E191" i="1" l="1"/>
  <c r="J190" i="1"/>
  <c r="E192" i="1" l="1"/>
  <c r="J191" i="1"/>
  <c r="E193" i="1" l="1"/>
  <c r="J192" i="1"/>
  <c r="E194" i="1" l="1"/>
  <c r="J193" i="1"/>
  <c r="E195" i="1" l="1"/>
  <c r="J194" i="1" s="1"/>
  <c r="E196" i="1" l="1"/>
  <c r="J195" i="1" s="1"/>
  <c r="E197" i="1" l="1"/>
  <c r="J196" i="1"/>
  <c r="E198" i="1" l="1"/>
  <c r="J197" i="1"/>
  <c r="E199" i="1" l="1"/>
  <c r="J198" i="1"/>
  <c r="E200" i="1" l="1"/>
  <c r="J199" i="1"/>
  <c r="E201" i="1" l="1"/>
  <c r="J200" i="1"/>
  <c r="E202" i="1" l="1"/>
  <c r="J201" i="1"/>
  <c r="E203" i="1" l="1"/>
  <c r="E204" i="1" l="1"/>
  <c r="J203" i="1"/>
  <c r="J202" i="1"/>
  <c r="E205" i="1" l="1"/>
  <c r="J204" i="1"/>
  <c r="E206" i="1" l="1"/>
  <c r="J205" i="1"/>
  <c r="E207" i="1" l="1"/>
  <c r="J206" i="1"/>
  <c r="E208" i="1" l="1"/>
  <c r="J207" i="1"/>
  <c r="E209" i="1" l="1"/>
  <c r="J208" i="1"/>
  <c r="E210" i="1" l="1"/>
  <c r="J209" i="1"/>
  <c r="E211" i="1" l="1"/>
  <c r="J210" i="1"/>
  <c r="E212" i="1" l="1"/>
  <c r="J211" i="1"/>
  <c r="E213" i="1" l="1"/>
  <c r="J212" i="1"/>
  <c r="E214" i="1" l="1"/>
  <c r="J213" i="1" s="1"/>
  <c r="E215" i="1" l="1"/>
  <c r="J214" i="1"/>
  <c r="E216" i="1" l="1"/>
  <c r="J215" i="1"/>
  <c r="E217" i="1" l="1"/>
  <c r="J216" i="1"/>
  <c r="E218" i="1" l="1"/>
  <c r="J217" i="1"/>
  <c r="E219" i="1" l="1"/>
  <c r="J218" i="1"/>
  <c r="E220" i="1" l="1"/>
  <c r="J219" i="1"/>
  <c r="E221" i="1" l="1"/>
  <c r="J220" i="1"/>
  <c r="E222" i="1" l="1"/>
  <c r="J221" i="1"/>
  <c r="E223" i="1" l="1"/>
  <c r="E224" i="1" l="1"/>
  <c r="J224" i="1" s="1"/>
  <c r="J223" i="1"/>
  <c r="J222" i="1"/>
</calcChain>
</file>

<file path=xl/sharedStrings.xml><?xml version="1.0" encoding="utf-8"?>
<sst xmlns="http://schemas.openxmlformats.org/spreadsheetml/2006/main" count="2773" uniqueCount="81">
  <si>
    <t>Subclass</t>
  </si>
  <si>
    <t>Northing</t>
  </si>
  <si>
    <t>Easting</t>
  </si>
  <si>
    <t>Altitude</t>
  </si>
  <si>
    <t>22jr</t>
  </si>
  <si>
    <t>22gjr</t>
  </si>
  <si>
    <t>31isk</t>
  </si>
  <si>
    <t>09ag</t>
  </si>
  <si>
    <t>09a</t>
  </si>
  <si>
    <t>09b</t>
  </si>
  <si>
    <t>04a</t>
  </si>
  <si>
    <t>04b</t>
  </si>
  <si>
    <t>03a</t>
  </si>
  <si>
    <t>06a</t>
  </si>
  <si>
    <t>03b</t>
  </si>
  <si>
    <t>08b</t>
  </si>
  <si>
    <t>05a</t>
  </si>
  <si>
    <t>01a</t>
  </si>
  <si>
    <t>09ai</t>
  </si>
  <si>
    <t>10a</t>
  </si>
  <si>
    <t>02a</t>
  </si>
  <si>
    <t>33kg</t>
  </si>
  <si>
    <t>32b</t>
  </si>
  <si>
    <t>11a</t>
  </si>
  <si>
    <t>12a</t>
  </si>
  <si>
    <t>07a</t>
  </si>
  <si>
    <t>03bc</t>
  </si>
  <si>
    <t>33c</t>
  </si>
  <si>
    <t>01ac</t>
  </si>
  <si>
    <t>01ae</t>
  </si>
  <si>
    <t>22kr</t>
  </si>
  <si>
    <t>22k</t>
  </si>
  <si>
    <t>22gkr</t>
  </si>
  <si>
    <t>Site</t>
  </si>
  <si>
    <t>Day</t>
  </si>
  <si>
    <t>Month</t>
  </si>
  <si>
    <t>Year</t>
  </si>
  <si>
    <t>RR</t>
  </si>
  <si>
    <t>Aug</t>
  </si>
  <si>
    <t>SampFormat</t>
  </si>
  <si>
    <t>Line</t>
  </si>
  <si>
    <t>MU</t>
  </si>
  <si>
    <t>Poly</t>
  </si>
  <si>
    <t>PolygonNum</t>
  </si>
  <si>
    <t>PointNum</t>
  </si>
  <si>
    <t>Sub&amp;Att</t>
  </si>
  <si>
    <t>Attributes</t>
  </si>
  <si>
    <t>Notes</t>
  </si>
  <si>
    <t>31</t>
  </si>
  <si>
    <t>isk</t>
  </si>
  <si>
    <t>09</t>
  </si>
  <si>
    <t>b</t>
  </si>
  <si>
    <t>03</t>
  </si>
  <si>
    <t>a</t>
  </si>
  <si>
    <t>04</t>
  </si>
  <si>
    <t>06</t>
  </si>
  <si>
    <t>9</t>
  </si>
  <si>
    <t/>
  </si>
  <si>
    <t>08</t>
  </si>
  <si>
    <t>05</t>
  </si>
  <si>
    <t>01</t>
  </si>
  <si>
    <t>ae</t>
  </si>
  <si>
    <t>02</t>
  </si>
  <si>
    <t>11</t>
  </si>
  <si>
    <t>32</t>
  </si>
  <si>
    <t>07</t>
  </si>
  <si>
    <t>bc</t>
  </si>
  <si>
    <t>33</t>
  </si>
  <si>
    <t>c</t>
  </si>
  <si>
    <t>ac</t>
  </si>
  <si>
    <t>12</t>
  </si>
  <si>
    <t>22</t>
  </si>
  <si>
    <t>kr</t>
  </si>
  <si>
    <t>jr</t>
  </si>
  <si>
    <t>gkr</t>
  </si>
  <si>
    <t>k</t>
  </si>
  <si>
    <t>ag</t>
  </si>
  <si>
    <t>ai</t>
  </si>
  <si>
    <t>10</t>
  </si>
  <si>
    <t>kg</t>
  </si>
  <si>
    <t>gjr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</si>
</sst>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0"/>
  <sheetViews>
    <sheetView tabSelected="1" workbookViewId="0">
      <pane ySplit="1" topLeftCell="A225" activePane="bottomLeft" state="frozen"/>
      <selection activeCell="E1" sqref="E1"/>
      <selection pane="bottomLeft" activeCell="D233" sqref="D233"/>
    </sheetView>
  </sheetViews>
  <sheetFormatPr defaultRowHeight="15" x14ac:dyDescent="0.25"/>
  <cols>
    <col min="5" max="5" width="9.28515625" bestFit="1" customWidth="1"/>
    <col min="11" max="11" width="13.28515625" customWidth="1"/>
    <col min="12" max="12" width="11.7109375" customWidth="1"/>
  </cols>
  <sheetData>
    <row r="1" spans="1:36" x14ac:dyDescent="0.25">
      <c r="A1" t="s">
        <v>33</v>
      </c>
      <c r="B1" t="s">
        <v>34</v>
      </c>
      <c r="C1" t="s">
        <v>35</v>
      </c>
      <c r="D1" t="s">
        <v>36</v>
      </c>
      <c r="E1" t="s">
        <v>43</v>
      </c>
      <c r="F1" t="s">
        <v>44</v>
      </c>
      <c r="G1" t="s">
        <v>45</v>
      </c>
      <c r="H1" t="s">
        <v>0</v>
      </c>
      <c r="I1" t="s">
        <v>46</v>
      </c>
      <c r="J1" t="s">
        <v>39</v>
      </c>
      <c r="K1" t="s">
        <v>1</v>
      </c>
      <c r="L1" t="s">
        <v>2</v>
      </c>
      <c r="M1" t="s">
        <v>3</v>
      </c>
      <c r="N1" t="s">
        <v>47</v>
      </c>
    </row>
    <row r="2" spans="1:36" x14ac:dyDescent="0.25">
      <c r="A2" t="s">
        <v>37</v>
      </c>
      <c r="B2">
        <v>14</v>
      </c>
      <c r="C2" t="s">
        <v>38</v>
      </c>
      <c r="D2">
        <v>2019</v>
      </c>
      <c r="E2">
        <v>1</v>
      </c>
      <c r="F2">
        <v>1</v>
      </c>
      <c r="G2" t="s">
        <v>6</v>
      </c>
      <c r="H2" t="str">
        <f t="shared" ref="H2:H65" si="0">LEFT(G2,2)</f>
        <v>31</v>
      </c>
      <c r="I2" t="str">
        <f t="shared" ref="I2:I65" si="1">RIGHT(G2,LEN(G2)-LEN(H2))</f>
        <v>isk</v>
      </c>
      <c r="J2" t="s">
        <v>40</v>
      </c>
      <c r="K2">
        <v>4613427.5219999999</v>
      </c>
      <c r="L2">
        <v>413588.12199999997</v>
      </c>
      <c r="M2">
        <v>1.19</v>
      </c>
      <c r="AF2" s="1"/>
      <c r="AH2" s="1"/>
      <c r="AJ2" s="1"/>
    </row>
    <row r="3" spans="1:36" x14ac:dyDescent="0.25">
      <c r="A3" t="s">
        <v>37</v>
      </c>
      <c r="B3">
        <v>14</v>
      </c>
      <c r="C3" t="s">
        <v>38</v>
      </c>
      <c r="D3">
        <v>2019</v>
      </c>
      <c r="E3">
        <v>1</v>
      </c>
      <c r="F3">
        <v>2</v>
      </c>
      <c r="G3" t="s">
        <v>6</v>
      </c>
      <c r="H3" t="str">
        <f t="shared" si="0"/>
        <v>31</v>
      </c>
      <c r="I3" t="str">
        <f t="shared" si="1"/>
        <v>isk</v>
      </c>
      <c r="J3" t="s">
        <v>40</v>
      </c>
      <c r="K3">
        <v>4613460.0549999997</v>
      </c>
      <c r="L3">
        <v>413585.505</v>
      </c>
      <c r="M3">
        <v>0.91600000000000004</v>
      </c>
      <c r="AF3" s="1"/>
      <c r="AH3" s="1"/>
      <c r="AJ3" s="1"/>
    </row>
    <row r="4" spans="1:36" x14ac:dyDescent="0.25">
      <c r="A4" t="s">
        <v>37</v>
      </c>
      <c r="B4">
        <v>14</v>
      </c>
      <c r="C4" t="s">
        <v>38</v>
      </c>
      <c r="D4">
        <v>2019</v>
      </c>
      <c r="E4">
        <v>2</v>
      </c>
      <c r="F4">
        <v>4</v>
      </c>
      <c r="G4" t="s">
        <v>7</v>
      </c>
      <c r="H4" t="str">
        <f t="shared" si="0"/>
        <v>09</v>
      </c>
      <c r="I4" t="str">
        <f t="shared" si="1"/>
        <v>ag</v>
      </c>
      <c r="J4" t="s">
        <v>41</v>
      </c>
      <c r="K4">
        <v>4613460.1490000002</v>
      </c>
      <c r="L4">
        <v>413580.29499999998</v>
      </c>
      <c r="M4">
        <v>1.38</v>
      </c>
      <c r="AF4" s="1"/>
      <c r="AH4" s="1"/>
      <c r="AJ4" s="1"/>
    </row>
    <row r="5" spans="1:36" x14ac:dyDescent="0.25">
      <c r="A5" t="s">
        <v>37</v>
      </c>
      <c r="B5">
        <v>14</v>
      </c>
      <c r="C5" t="s">
        <v>38</v>
      </c>
      <c r="D5">
        <v>2019</v>
      </c>
      <c r="E5">
        <v>3</v>
      </c>
      <c r="F5">
        <v>5</v>
      </c>
      <c r="G5" t="s">
        <v>8</v>
      </c>
      <c r="H5" t="str">
        <f t="shared" si="0"/>
        <v>09</v>
      </c>
      <c r="I5" t="str">
        <f t="shared" si="1"/>
        <v>a</v>
      </c>
      <c r="J5" t="s">
        <v>41</v>
      </c>
      <c r="K5">
        <v>4613460.5219999999</v>
      </c>
      <c r="L5">
        <v>413576.77</v>
      </c>
      <c r="M5">
        <v>1.3</v>
      </c>
      <c r="AF5" s="1"/>
      <c r="AH5" s="1"/>
      <c r="AJ5" s="1"/>
    </row>
    <row r="6" spans="1:36" x14ac:dyDescent="0.25">
      <c r="A6" t="s">
        <v>37</v>
      </c>
      <c r="B6">
        <v>14</v>
      </c>
      <c r="C6" t="s">
        <v>38</v>
      </c>
      <c r="D6">
        <v>2019</v>
      </c>
      <c r="E6">
        <v>4</v>
      </c>
      <c r="F6">
        <v>6</v>
      </c>
      <c r="G6" t="s">
        <v>9</v>
      </c>
      <c r="H6" t="str">
        <f t="shared" si="0"/>
        <v>09</v>
      </c>
      <c r="I6" t="str">
        <f t="shared" si="1"/>
        <v>b</v>
      </c>
      <c r="J6" t="s">
        <v>40</v>
      </c>
      <c r="K6">
        <v>4613460.7110000001</v>
      </c>
      <c r="L6">
        <v>413574.86599999998</v>
      </c>
      <c r="M6">
        <v>1.1819999999999999</v>
      </c>
      <c r="AF6" s="1"/>
      <c r="AH6" s="1"/>
      <c r="AJ6" s="1"/>
    </row>
    <row r="7" spans="1:36" x14ac:dyDescent="0.25">
      <c r="A7" t="s">
        <v>37</v>
      </c>
      <c r="B7">
        <v>14</v>
      </c>
      <c r="C7" t="s">
        <v>38</v>
      </c>
      <c r="D7">
        <v>2019</v>
      </c>
      <c r="E7">
        <v>4</v>
      </c>
      <c r="F7">
        <v>7</v>
      </c>
      <c r="G7" t="s">
        <v>9</v>
      </c>
      <c r="H7" t="str">
        <f t="shared" si="0"/>
        <v>09</v>
      </c>
      <c r="I7" t="str">
        <f t="shared" si="1"/>
        <v>b</v>
      </c>
      <c r="J7" t="s">
        <v>40</v>
      </c>
      <c r="K7">
        <v>4613461.051</v>
      </c>
      <c r="L7">
        <v>413570.50900000002</v>
      </c>
      <c r="M7">
        <v>0.91200000000000003</v>
      </c>
      <c r="AF7" s="1"/>
      <c r="AH7" s="1"/>
      <c r="AJ7" s="1"/>
    </row>
    <row r="8" spans="1:36" x14ac:dyDescent="0.25">
      <c r="A8" t="s">
        <v>37</v>
      </c>
      <c r="B8">
        <v>14</v>
      </c>
      <c r="C8" t="s">
        <v>38</v>
      </c>
      <c r="D8">
        <v>2019</v>
      </c>
      <c r="E8">
        <v>5</v>
      </c>
      <c r="F8">
        <v>8</v>
      </c>
      <c r="G8" t="s">
        <v>10</v>
      </c>
      <c r="H8" t="str">
        <f t="shared" si="0"/>
        <v>04</v>
      </c>
      <c r="I8" t="str">
        <f t="shared" si="1"/>
        <v>a</v>
      </c>
      <c r="J8" t="s">
        <v>41</v>
      </c>
      <c r="K8">
        <v>4613461.3049999997</v>
      </c>
      <c r="L8">
        <v>413568.40100000001</v>
      </c>
      <c r="M8">
        <v>0.60799999999999998</v>
      </c>
      <c r="AF8" s="1"/>
      <c r="AH8" s="1"/>
      <c r="AJ8" s="1"/>
    </row>
    <row r="9" spans="1:36" x14ac:dyDescent="0.25">
      <c r="A9" t="s">
        <v>37</v>
      </c>
      <c r="B9">
        <v>14</v>
      </c>
      <c r="C9" t="s">
        <v>38</v>
      </c>
      <c r="D9">
        <v>2019</v>
      </c>
      <c r="E9">
        <v>6</v>
      </c>
      <c r="F9">
        <v>9</v>
      </c>
      <c r="G9" t="s">
        <v>11</v>
      </c>
      <c r="H9" t="str">
        <f t="shared" si="0"/>
        <v>04</v>
      </c>
      <c r="I9" t="str">
        <f t="shared" si="1"/>
        <v>b</v>
      </c>
      <c r="J9" t="s">
        <v>41</v>
      </c>
      <c r="K9">
        <v>4613460.7010000004</v>
      </c>
      <c r="L9">
        <v>413564.217</v>
      </c>
      <c r="M9">
        <v>0.57199999999999995</v>
      </c>
      <c r="AF9" s="1"/>
      <c r="AH9" s="1"/>
      <c r="AJ9" s="1"/>
    </row>
    <row r="10" spans="1:36" x14ac:dyDescent="0.25">
      <c r="A10" t="s">
        <v>37</v>
      </c>
      <c r="B10">
        <v>14</v>
      </c>
      <c r="C10" t="s">
        <v>38</v>
      </c>
      <c r="D10">
        <v>2019</v>
      </c>
      <c r="E10">
        <v>7</v>
      </c>
      <c r="F10">
        <v>10</v>
      </c>
      <c r="G10" t="s">
        <v>12</v>
      </c>
      <c r="H10" t="str">
        <f t="shared" si="0"/>
        <v>03</v>
      </c>
      <c r="I10" t="str">
        <f t="shared" si="1"/>
        <v>a</v>
      </c>
      <c r="J10" t="s">
        <v>40</v>
      </c>
      <c r="K10">
        <v>4613458.6880000001</v>
      </c>
      <c r="L10">
        <v>413564.23700000002</v>
      </c>
      <c r="M10">
        <v>0.52700000000000002</v>
      </c>
      <c r="AF10" s="1"/>
      <c r="AH10" s="1"/>
      <c r="AJ10" s="1"/>
    </row>
    <row r="11" spans="1:36" x14ac:dyDescent="0.25">
      <c r="A11" t="s">
        <v>37</v>
      </c>
      <c r="B11">
        <v>14</v>
      </c>
      <c r="C11" t="s">
        <v>38</v>
      </c>
      <c r="D11">
        <v>2019</v>
      </c>
      <c r="E11">
        <v>7</v>
      </c>
      <c r="F11">
        <v>11</v>
      </c>
      <c r="G11" t="s">
        <v>12</v>
      </c>
      <c r="H11" t="str">
        <f t="shared" si="0"/>
        <v>03</v>
      </c>
      <c r="I11" t="str">
        <f t="shared" si="1"/>
        <v>a</v>
      </c>
      <c r="J11" t="s">
        <v>40</v>
      </c>
      <c r="K11">
        <v>4613450.9349999996</v>
      </c>
      <c r="L11">
        <v>413563.94300000003</v>
      </c>
      <c r="M11">
        <v>0.52400000000000002</v>
      </c>
      <c r="AF11" s="1"/>
      <c r="AH11" s="1"/>
      <c r="AJ11" s="1"/>
    </row>
    <row r="12" spans="1:36" x14ac:dyDescent="0.25">
      <c r="A12" t="s">
        <v>37</v>
      </c>
      <c r="B12">
        <v>14</v>
      </c>
      <c r="C12" t="s">
        <v>38</v>
      </c>
      <c r="D12">
        <v>2019</v>
      </c>
      <c r="E12">
        <v>8</v>
      </c>
      <c r="F12">
        <v>12</v>
      </c>
      <c r="G12" t="s">
        <v>10</v>
      </c>
      <c r="H12" t="str">
        <f t="shared" si="0"/>
        <v>04</v>
      </c>
      <c r="I12" t="str">
        <f t="shared" si="1"/>
        <v>a</v>
      </c>
      <c r="J12" t="s">
        <v>40</v>
      </c>
      <c r="K12">
        <v>4613448.9230000004</v>
      </c>
      <c r="L12">
        <v>413564.10800000001</v>
      </c>
      <c r="M12">
        <v>0.59899999999999998</v>
      </c>
      <c r="AF12" s="1"/>
      <c r="AH12" s="1"/>
      <c r="AJ12" s="1"/>
    </row>
    <row r="13" spans="1:36" x14ac:dyDescent="0.25">
      <c r="A13" t="s">
        <v>37</v>
      </c>
      <c r="B13">
        <v>14</v>
      </c>
      <c r="C13" t="s">
        <v>38</v>
      </c>
      <c r="D13">
        <v>2019</v>
      </c>
      <c r="E13">
        <v>8</v>
      </c>
      <c r="F13">
        <v>13</v>
      </c>
      <c r="G13" t="s">
        <v>10</v>
      </c>
      <c r="H13" t="str">
        <f t="shared" si="0"/>
        <v>04</v>
      </c>
      <c r="I13" t="str">
        <f t="shared" si="1"/>
        <v>a</v>
      </c>
      <c r="J13" t="s">
        <v>40</v>
      </c>
      <c r="K13">
        <v>4613441.51</v>
      </c>
      <c r="L13">
        <v>413564.527</v>
      </c>
      <c r="M13">
        <v>0.63500000000000001</v>
      </c>
      <c r="AF13" s="1"/>
      <c r="AH13" s="1"/>
      <c r="AJ13" s="1"/>
    </row>
    <row r="14" spans="1:36" x14ac:dyDescent="0.25">
      <c r="A14" t="s">
        <v>37</v>
      </c>
      <c r="B14">
        <v>14</v>
      </c>
      <c r="C14" t="s">
        <v>38</v>
      </c>
      <c r="D14">
        <v>2019</v>
      </c>
      <c r="E14">
        <v>9</v>
      </c>
      <c r="F14">
        <v>14</v>
      </c>
      <c r="G14" t="s">
        <v>13</v>
      </c>
      <c r="H14" t="str">
        <f t="shared" si="0"/>
        <v>06</v>
      </c>
      <c r="I14" t="str">
        <f t="shared" si="1"/>
        <v>a</v>
      </c>
      <c r="J14" t="s">
        <v>40</v>
      </c>
      <c r="K14">
        <v>4613439.6109999996</v>
      </c>
      <c r="L14">
        <v>413564.33399999997</v>
      </c>
      <c r="M14">
        <v>0.65500000000000003</v>
      </c>
      <c r="AF14" s="1"/>
      <c r="AH14" s="1"/>
      <c r="AJ14" s="1"/>
    </row>
    <row r="15" spans="1:36" x14ac:dyDescent="0.25">
      <c r="A15" t="s">
        <v>37</v>
      </c>
      <c r="B15">
        <v>14</v>
      </c>
      <c r="C15" t="s">
        <v>38</v>
      </c>
      <c r="D15">
        <v>2019</v>
      </c>
      <c r="E15">
        <v>9</v>
      </c>
      <c r="F15">
        <v>15</v>
      </c>
      <c r="G15" t="s">
        <v>13</v>
      </c>
      <c r="H15" t="str">
        <f t="shared" si="0"/>
        <v>06</v>
      </c>
      <c r="I15" t="str">
        <f t="shared" si="1"/>
        <v>a</v>
      </c>
      <c r="J15" t="s">
        <v>40</v>
      </c>
      <c r="K15">
        <v>4613432.2290000003</v>
      </c>
      <c r="L15">
        <v>413564.02299999999</v>
      </c>
      <c r="M15">
        <v>0.76900000000000002</v>
      </c>
      <c r="AF15" s="1"/>
      <c r="AH15" s="1"/>
      <c r="AJ15" s="1"/>
    </row>
    <row r="16" spans="1:36" x14ac:dyDescent="0.25">
      <c r="A16" t="s">
        <v>37</v>
      </c>
      <c r="B16">
        <v>14</v>
      </c>
      <c r="C16" t="s">
        <v>38</v>
      </c>
      <c r="D16">
        <v>2019</v>
      </c>
      <c r="E16">
        <v>10</v>
      </c>
      <c r="F16">
        <v>16</v>
      </c>
      <c r="G16" t="s">
        <v>9</v>
      </c>
      <c r="H16" t="str">
        <f t="shared" si="0"/>
        <v>09</v>
      </c>
      <c r="I16" t="str">
        <f t="shared" si="1"/>
        <v>b</v>
      </c>
      <c r="J16" t="s">
        <v>40</v>
      </c>
      <c r="K16">
        <v>4613430.3210000005</v>
      </c>
      <c r="L16">
        <v>413564.16399999999</v>
      </c>
      <c r="M16">
        <v>0.97599999999999998</v>
      </c>
      <c r="AF16" s="1"/>
      <c r="AH16" s="1"/>
      <c r="AJ16" s="1"/>
    </row>
    <row r="17" spans="1:36" x14ac:dyDescent="0.25">
      <c r="A17" t="s">
        <v>37</v>
      </c>
      <c r="B17">
        <v>14</v>
      </c>
      <c r="C17" t="s">
        <v>38</v>
      </c>
      <c r="D17">
        <v>2019</v>
      </c>
      <c r="E17">
        <v>10</v>
      </c>
      <c r="F17">
        <v>17</v>
      </c>
      <c r="G17" t="s">
        <v>9</v>
      </c>
      <c r="H17" t="str">
        <f t="shared" si="0"/>
        <v>09</v>
      </c>
      <c r="I17" t="str">
        <f t="shared" si="1"/>
        <v>b</v>
      </c>
      <c r="J17" t="s">
        <v>40</v>
      </c>
      <c r="K17">
        <v>4613430.9249999998</v>
      </c>
      <c r="L17">
        <v>413559.44900000002</v>
      </c>
      <c r="M17">
        <v>0.98699999999999999</v>
      </c>
      <c r="AF17" s="1"/>
      <c r="AH17" s="1"/>
      <c r="AJ17" s="1"/>
    </row>
    <row r="18" spans="1:36" x14ac:dyDescent="0.25">
      <c r="A18" t="s">
        <v>37</v>
      </c>
      <c r="B18">
        <v>14</v>
      </c>
      <c r="C18" t="s">
        <v>38</v>
      </c>
      <c r="D18">
        <v>2019</v>
      </c>
      <c r="E18">
        <f>IF(G18=G17,E17,E17+1)</f>
        <v>11</v>
      </c>
      <c r="F18">
        <v>18</v>
      </c>
      <c r="G18" t="s">
        <v>8</v>
      </c>
      <c r="H18" t="str">
        <f t="shared" si="0"/>
        <v>09</v>
      </c>
      <c r="I18" t="str">
        <f t="shared" si="1"/>
        <v>a</v>
      </c>
      <c r="J18" t="str">
        <f t="shared" ref="J18:J31" si="2">IF(OR((E18=E19),(E18=E17)),"Line","MU")</f>
        <v>MU</v>
      </c>
      <c r="K18">
        <v>4613432.7489999998</v>
      </c>
      <c r="L18">
        <v>413559.73700000002</v>
      </c>
      <c r="M18">
        <v>0.77700000000000002</v>
      </c>
      <c r="AF18" s="1"/>
      <c r="AH18" s="1"/>
      <c r="AJ18" s="1"/>
    </row>
    <row r="19" spans="1:36" x14ac:dyDescent="0.25">
      <c r="A19" t="s">
        <v>37</v>
      </c>
      <c r="B19">
        <v>14</v>
      </c>
      <c r="C19" t="s">
        <v>38</v>
      </c>
      <c r="D19">
        <v>2019</v>
      </c>
      <c r="E19">
        <f t="shared" ref="E19:E31" si="3">IF(G19=G18,E18,E18+1)</f>
        <v>12</v>
      </c>
      <c r="F19">
        <v>19</v>
      </c>
      <c r="G19" t="s">
        <v>13</v>
      </c>
      <c r="H19" t="str">
        <f t="shared" si="0"/>
        <v>06</v>
      </c>
      <c r="I19" t="str">
        <f t="shared" si="1"/>
        <v>a</v>
      </c>
      <c r="J19" t="str">
        <f t="shared" si="2"/>
        <v>Line</v>
      </c>
      <c r="K19">
        <v>4613435.37</v>
      </c>
      <c r="L19">
        <v>413560.397</v>
      </c>
      <c r="M19">
        <v>0.64900000000000002</v>
      </c>
      <c r="AF19" s="1"/>
      <c r="AH19" s="1"/>
      <c r="AJ19" s="1"/>
    </row>
    <row r="20" spans="1:36" x14ac:dyDescent="0.25">
      <c r="A20" t="s">
        <v>37</v>
      </c>
      <c r="B20">
        <v>14</v>
      </c>
      <c r="C20" t="s">
        <v>38</v>
      </c>
      <c r="D20">
        <v>2019</v>
      </c>
      <c r="E20">
        <f t="shared" si="3"/>
        <v>12</v>
      </c>
      <c r="F20">
        <v>20</v>
      </c>
      <c r="G20" t="s">
        <v>13</v>
      </c>
      <c r="H20" t="str">
        <f t="shared" si="0"/>
        <v>06</v>
      </c>
      <c r="I20" t="str">
        <f t="shared" si="1"/>
        <v>a</v>
      </c>
      <c r="J20" t="str">
        <f t="shared" si="2"/>
        <v>Line</v>
      </c>
      <c r="K20">
        <v>4613437.8289999999</v>
      </c>
      <c r="L20">
        <v>413560.37099999998</v>
      </c>
      <c r="M20">
        <v>0.56899999999999995</v>
      </c>
      <c r="AF20" s="1"/>
      <c r="AH20" s="1"/>
      <c r="AJ20" s="1"/>
    </row>
    <row r="21" spans="1:36" x14ac:dyDescent="0.25">
      <c r="A21" t="s">
        <v>37</v>
      </c>
      <c r="B21">
        <v>14</v>
      </c>
      <c r="C21" t="s">
        <v>38</v>
      </c>
      <c r="D21">
        <v>2019</v>
      </c>
      <c r="E21">
        <f t="shared" si="3"/>
        <v>13</v>
      </c>
      <c r="F21">
        <v>21</v>
      </c>
      <c r="G21" t="s">
        <v>10</v>
      </c>
      <c r="H21" t="str">
        <f t="shared" si="0"/>
        <v>04</v>
      </c>
      <c r="I21" t="str">
        <f t="shared" si="1"/>
        <v>a</v>
      </c>
      <c r="J21" t="str">
        <f t="shared" si="2"/>
        <v>Line</v>
      </c>
      <c r="K21">
        <v>4613439.8569999998</v>
      </c>
      <c r="L21">
        <v>413560.24699999997</v>
      </c>
      <c r="M21">
        <v>0.621</v>
      </c>
      <c r="AF21" s="1"/>
      <c r="AH21" s="1"/>
      <c r="AJ21" s="1"/>
    </row>
    <row r="22" spans="1:36" x14ac:dyDescent="0.25">
      <c r="A22" t="s">
        <v>37</v>
      </c>
      <c r="B22">
        <v>14</v>
      </c>
      <c r="C22" t="s">
        <v>38</v>
      </c>
      <c r="D22">
        <v>2019</v>
      </c>
      <c r="E22">
        <f t="shared" si="3"/>
        <v>13</v>
      </c>
      <c r="F22">
        <v>22</v>
      </c>
      <c r="G22" t="s">
        <v>10</v>
      </c>
      <c r="H22" t="str">
        <f t="shared" si="0"/>
        <v>04</v>
      </c>
      <c r="I22" t="str">
        <f t="shared" si="1"/>
        <v>a</v>
      </c>
      <c r="J22" t="str">
        <f t="shared" si="2"/>
        <v>Line</v>
      </c>
      <c r="K22">
        <v>4613440.7939999998</v>
      </c>
      <c r="L22">
        <v>413560.261</v>
      </c>
      <c r="M22">
        <v>0.55800000000000005</v>
      </c>
      <c r="AF22" s="1"/>
      <c r="AH22" s="1"/>
      <c r="AJ22" s="1"/>
    </row>
    <row r="23" spans="1:36" x14ac:dyDescent="0.25">
      <c r="A23" t="s">
        <v>37</v>
      </c>
      <c r="B23">
        <v>14</v>
      </c>
      <c r="C23" t="s">
        <v>38</v>
      </c>
      <c r="D23">
        <v>2019</v>
      </c>
      <c r="E23">
        <f t="shared" si="3"/>
        <v>14</v>
      </c>
      <c r="F23">
        <v>23</v>
      </c>
      <c r="G23" t="s">
        <v>12</v>
      </c>
      <c r="H23" t="str">
        <f t="shared" si="0"/>
        <v>03</v>
      </c>
      <c r="I23" t="str">
        <f t="shared" si="1"/>
        <v>a</v>
      </c>
      <c r="J23" t="str">
        <f t="shared" si="2"/>
        <v>Line</v>
      </c>
      <c r="K23">
        <v>4613442.8090000004</v>
      </c>
      <c r="L23">
        <v>413560.02899999998</v>
      </c>
      <c r="M23">
        <v>0.51100000000000001</v>
      </c>
      <c r="AF23" s="1"/>
      <c r="AH23" s="1"/>
      <c r="AJ23" s="1"/>
    </row>
    <row r="24" spans="1:36" x14ac:dyDescent="0.25">
      <c r="A24" t="s">
        <v>37</v>
      </c>
      <c r="B24">
        <v>14</v>
      </c>
      <c r="C24" t="s">
        <v>38</v>
      </c>
      <c r="D24">
        <v>2019</v>
      </c>
      <c r="E24">
        <f t="shared" si="3"/>
        <v>14</v>
      </c>
      <c r="F24">
        <v>24</v>
      </c>
      <c r="G24" t="s">
        <v>12</v>
      </c>
      <c r="H24" t="str">
        <f t="shared" si="0"/>
        <v>03</v>
      </c>
      <c r="I24" t="str">
        <f t="shared" si="1"/>
        <v>a</v>
      </c>
      <c r="J24" t="str">
        <f t="shared" si="2"/>
        <v>Line</v>
      </c>
      <c r="K24">
        <v>4613444.8839999996</v>
      </c>
      <c r="L24">
        <v>413559.152</v>
      </c>
      <c r="M24">
        <v>0.505</v>
      </c>
      <c r="AF24" s="1"/>
      <c r="AH24" s="1"/>
      <c r="AJ24" s="1"/>
    </row>
    <row r="25" spans="1:36" x14ac:dyDescent="0.25">
      <c r="A25" t="s">
        <v>37</v>
      </c>
      <c r="B25">
        <v>14</v>
      </c>
      <c r="C25" t="s">
        <v>38</v>
      </c>
      <c r="D25">
        <v>2019</v>
      </c>
      <c r="E25">
        <f t="shared" si="3"/>
        <v>15</v>
      </c>
      <c r="F25">
        <v>25</v>
      </c>
      <c r="G25" t="s">
        <v>10</v>
      </c>
      <c r="H25" t="str">
        <f t="shared" si="0"/>
        <v>04</v>
      </c>
      <c r="I25" t="str">
        <f t="shared" si="1"/>
        <v>a</v>
      </c>
      <c r="J25" t="str">
        <f t="shared" si="2"/>
        <v>Line</v>
      </c>
      <c r="K25">
        <v>4613446.9550000001</v>
      </c>
      <c r="L25">
        <v>413558.71100000001</v>
      </c>
      <c r="M25">
        <v>0.50700000000000001</v>
      </c>
      <c r="AF25" s="1"/>
      <c r="AH25" s="1"/>
      <c r="AJ25" s="1"/>
    </row>
    <row r="26" spans="1:36" x14ac:dyDescent="0.25">
      <c r="A26" t="s">
        <v>37</v>
      </c>
      <c r="B26">
        <v>14</v>
      </c>
      <c r="C26" t="s">
        <v>38</v>
      </c>
      <c r="D26">
        <v>2019</v>
      </c>
      <c r="E26">
        <f t="shared" si="3"/>
        <v>15</v>
      </c>
      <c r="F26">
        <v>26</v>
      </c>
      <c r="G26" t="s">
        <v>10</v>
      </c>
      <c r="H26" t="str">
        <f t="shared" si="0"/>
        <v>04</v>
      </c>
      <c r="I26" t="str">
        <f t="shared" si="1"/>
        <v>a</v>
      </c>
      <c r="J26" t="str">
        <f t="shared" si="2"/>
        <v>Line</v>
      </c>
      <c r="K26">
        <v>4613447.8420000002</v>
      </c>
      <c r="L26">
        <v>413558.35200000001</v>
      </c>
      <c r="M26">
        <v>0.50700000000000001</v>
      </c>
      <c r="AF26" s="1"/>
      <c r="AH26" s="1"/>
      <c r="AJ26" s="1"/>
    </row>
    <row r="27" spans="1:36" x14ac:dyDescent="0.25">
      <c r="A27" t="s">
        <v>37</v>
      </c>
      <c r="B27">
        <v>14</v>
      </c>
      <c r="C27" t="s">
        <v>38</v>
      </c>
      <c r="D27">
        <v>2019</v>
      </c>
      <c r="E27">
        <f t="shared" si="3"/>
        <v>16</v>
      </c>
      <c r="F27">
        <v>27</v>
      </c>
      <c r="G27" t="s">
        <v>14</v>
      </c>
      <c r="H27" t="str">
        <f t="shared" si="0"/>
        <v>03</v>
      </c>
      <c r="I27" t="str">
        <f t="shared" si="1"/>
        <v>b</v>
      </c>
      <c r="J27" t="str">
        <f t="shared" si="2"/>
        <v>Line</v>
      </c>
      <c r="K27">
        <v>4613449.9170000004</v>
      </c>
      <c r="L27">
        <v>413557.87800000003</v>
      </c>
      <c r="M27">
        <v>0.47799999999999998</v>
      </c>
      <c r="AF27" s="1"/>
      <c r="AH27" s="1"/>
      <c r="AJ27" s="1"/>
    </row>
    <row r="28" spans="1:36" x14ac:dyDescent="0.25">
      <c r="A28" t="s">
        <v>37</v>
      </c>
      <c r="B28">
        <v>14</v>
      </c>
      <c r="C28" t="s">
        <v>38</v>
      </c>
      <c r="D28">
        <v>2019</v>
      </c>
      <c r="E28">
        <f t="shared" si="3"/>
        <v>16</v>
      </c>
      <c r="F28">
        <v>28</v>
      </c>
      <c r="G28" t="s">
        <v>14</v>
      </c>
      <c r="H28" t="str">
        <f t="shared" si="0"/>
        <v>03</v>
      </c>
      <c r="I28" t="str">
        <f t="shared" si="1"/>
        <v>b</v>
      </c>
      <c r="J28" t="str">
        <f t="shared" si="2"/>
        <v>Line</v>
      </c>
      <c r="K28">
        <v>4613455.7699999996</v>
      </c>
      <c r="L28">
        <v>413555.97399999999</v>
      </c>
      <c r="M28">
        <v>0.47899999999999998</v>
      </c>
      <c r="AF28" s="1"/>
      <c r="AH28" s="1"/>
      <c r="AJ28" s="1"/>
    </row>
    <row r="29" spans="1:36" x14ac:dyDescent="0.25">
      <c r="A29" t="s">
        <v>37</v>
      </c>
      <c r="B29">
        <v>14</v>
      </c>
      <c r="C29" t="s">
        <v>38</v>
      </c>
      <c r="D29">
        <v>2019</v>
      </c>
      <c r="E29">
        <f t="shared" si="3"/>
        <v>17</v>
      </c>
      <c r="F29">
        <v>29</v>
      </c>
      <c r="G29" t="s">
        <v>12</v>
      </c>
      <c r="H29" t="str">
        <f t="shared" si="0"/>
        <v>03</v>
      </c>
      <c r="I29" t="str">
        <f t="shared" si="1"/>
        <v>a</v>
      </c>
      <c r="J29" t="str">
        <f t="shared" si="2"/>
        <v>Line</v>
      </c>
      <c r="K29">
        <v>4613459.1490000002</v>
      </c>
      <c r="L29">
        <v>413554.11900000001</v>
      </c>
      <c r="M29">
        <v>0.44400000000000001</v>
      </c>
      <c r="AF29" s="1"/>
      <c r="AH29" s="1"/>
      <c r="AJ29" s="1"/>
    </row>
    <row r="30" spans="1:36" x14ac:dyDescent="0.25">
      <c r="A30" t="s">
        <v>37</v>
      </c>
      <c r="B30">
        <v>14</v>
      </c>
      <c r="C30" t="s">
        <v>38</v>
      </c>
      <c r="D30">
        <v>2019</v>
      </c>
      <c r="E30">
        <f t="shared" si="3"/>
        <v>17</v>
      </c>
      <c r="F30">
        <v>30</v>
      </c>
      <c r="G30" t="s">
        <v>12</v>
      </c>
      <c r="H30" t="str">
        <f t="shared" si="0"/>
        <v>03</v>
      </c>
      <c r="I30" t="str">
        <f t="shared" si="1"/>
        <v>a</v>
      </c>
      <c r="J30" t="str">
        <f t="shared" si="2"/>
        <v>Line</v>
      </c>
      <c r="K30">
        <v>4613479.392</v>
      </c>
      <c r="L30">
        <v>413544.59399999998</v>
      </c>
      <c r="M30">
        <v>0.45300000000000001</v>
      </c>
      <c r="AF30" s="1"/>
      <c r="AH30" s="1"/>
      <c r="AJ30" s="1"/>
    </row>
    <row r="31" spans="1:36" x14ac:dyDescent="0.25">
      <c r="A31" t="s">
        <v>37</v>
      </c>
      <c r="B31">
        <v>14</v>
      </c>
      <c r="C31" t="s">
        <v>38</v>
      </c>
      <c r="D31">
        <v>2019</v>
      </c>
      <c r="E31">
        <f t="shared" si="3"/>
        <v>18</v>
      </c>
      <c r="F31">
        <v>31</v>
      </c>
      <c r="G31" t="s">
        <v>10</v>
      </c>
      <c r="H31" t="str">
        <f t="shared" si="0"/>
        <v>04</v>
      </c>
      <c r="I31" t="str">
        <f t="shared" si="1"/>
        <v>a</v>
      </c>
      <c r="J31" t="str">
        <f t="shared" si="2"/>
        <v>MU</v>
      </c>
      <c r="K31">
        <v>4613481.2319999998</v>
      </c>
      <c r="L31">
        <v>413543.647</v>
      </c>
      <c r="M31">
        <v>0.52300000000000002</v>
      </c>
      <c r="AF31" s="1"/>
      <c r="AH31" s="1"/>
      <c r="AJ31" s="1"/>
    </row>
    <row r="32" spans="1:36" x14ac:dyDescent="0.25">
      <c r="A32" t="s">
        <v>37</v>
      </c>
      <c r="B32">
        <v>14</v>
      </c>
      <c r="C32" t="s">
        <v>38</v>
      </c>
      <c r="D32">
        <v>2019</v>
      </c>
      <c r="E32">
        <v>19</v>
      </c>
      <c r="F32">
        <v>32</v>
      </c>
      <c r="G32">
        <v>9</v>
      </c>
      <c r="H32" t="str">
        <f t="shared" si="0"/>
        <v>9</v>
      </c>
      <c r="I32" t="str">
        <f t="shared" si="1"/>
        <v/>
      </c>
      <c r="J32" t="str">
        <f t="shared" ref="J32:J72" si="4">IF(OR((E32=E33),(E32=E31)),"Line","MU")</f>
        <v>Line</v>
      </c>
      <c r="K32">
        <v>4613481.8559999997</v>
      </c>
      <c r="L32">
        <v>413543.11599999998</v>
      </c>
      <c r="M32">
        <v>0.57399999999999995</v>
      </c>
      <c r="AF32" s="1"/>
      <c r="AH32" s="1"/>
      <c r="AJ32" s="1"/>
    </row>
    <row r="33" spans="1:36" x14ac:dyDescent="0.25">
      <c r="A33" t="s">
        <v>37</v>
      </c>
      <c r="B33">
        <v>14</v>
      </c>
      <c r="C33" t="s">
        <v>38</v>
      </c>
      <c r="D33">
        <v>2019</v>
      </c>
      <c r="E33">
        <v>19</v>
      </c>
      <c r="F33">
        <v>33</v>
      </c>
      <c r="G33">
        <v>9</v>
      </c>
      <c r="H33" t="str">
        <f t="shared" si="0"/>
        <v>9</v>
      </c>
      <c r="I33" t="str">
        <f t="shared" si="1"/>
        <v/>
      </c>
      <c r="J33" t="str">
        <f t="shared" si="4"/>
        <v>Line</v>
      </c>
      <c r="K33">
        <v>4613480.3660000004</v>
      </c>
      <c r="L33">
        <v>413535.93900000001</v>
      </c>
      <c r="M33">
        <v>0.65200000000000002</v>
      </c>
      <c r="AF33" s="1"/>
      <c r="AH33" s="1"/>
      <c r="AJ33" s="1"/>
    </row>
    <row r="34" spans="1:36" x14ac:dyDescent="0.25">
      <c r="A34" t="s">
        <v>37</v>
      </c>
      <c r="B34">
        <v>14</v>
      </c>
      <c r="C34" t="s">
        <v>38</v>
      </c>
      <c r="D34">
        <v>2019</v>
      </c>
      <c r="E34">
        <v>19</v>
      </c>
      <c r="F34">
        <v>34</v>
      </c>
      <c r="G34">
        <v>9</v>
      </c>
      <c r="H34" t="str">
        <f t="shared" si="0"/>
        <v>9</v>
      </c>
      <c r="I34" t="str">
        <f t="shared" si="1"/>
        <v/>
      </c>
      <c r="J34" t="str">
        <f t="shared" si="4"/>
        <v>Line</v>
      </c>
      <c r="K34">
        <v>4613473.0319999997</v>
      </c>
      <c r="L34">
        <v>413525.11700000003</v>
      </c>
      <c r="M34">
        <v>0.68500000000000005</v>
      </c>
      <c r="AF34" s="1"/>
      <c r="AH34" s="1"/>
      <c r="AJ34" s="1"/>
    </row>
    <row r="35" spans="1:36" x14ac:dyDescent="0.25">
      <c r="A35" t="s">
        <v>37</v>
      </c>
      <c r="B35">
        <v>14</v>
      </c>
      <c r="C35" t="s">
        <v>38</v>
      </c>
      <c r="D35">
        <v>2019</v>
      </c>
      <c r="E35">
        <v>19</v>
      </c>
      <c r="F35">
        <v>35</v>
      </c>
      <c r="G35">
        <v>9</v>
      </c>
      <c r="H35" t="str">
        <f t="shared" si="0"/>
        <v>9</v>
      </c>
      <c r="I35" t="str">
        <f t="shared" si="1"/>
        <v/>
      </c>
      <c r="J35" t="str">
        <f t="shared" si="4"/>
        <v>Line</v>
      </c>
      <c r="K35">
        <v>4613471.9670000002</v>
      </c>
      <c r="L35">
        <v>413520.87099999998</v>
      </c>
      <c r="M35">
        <v>0.624</v>
      </c>
      <c r="AF35" s="1"/>
      <c r="AH35" s="1"/>
      <c r="AJ35" s="1"/>
    </row>
    <row r="36" spans="1:36" x14ac:dyDescent="0.25">
      <c r="A36" t="s">
        <v>37</v>
      </c>
      <c r="B36">
        <v>14</v>
      </c>
      <c r="C36" t="s">
        <v>38</v>
      </c>
      <c r="D36">
        <v>2019</v>
      </c>
      <c r="E36">
        <v>19</v>
      </c>
      <c r="F36">
        <v>36</v>
      </c>
      <c r="G36">
        <v>9</v>
      </c>
      <c r="H36" t="str">
        <f t="shared" si="0"/>
        <v>9</v>
      </c>
      <c r="I36" t="str">
        <f t="shared" si="1"/>
        <v/>
      </c>
      <c r="J36" t="str">
        <f t="shared" si="4"/>
        <v>Line</v>
      </c>
      <c r="K36">
        <v>4613474.9819999998</v>
      </c>
      <c r="L36">
        <v>413517.60200000001</v>
      </c>
      <c r="M36">
        <v>0.64100000000000001</v>
      </c>
      <c r="AF36" s="1"/>
      <c r="AH36" s="1"/>
      <c r="AJ36" s="1"/>
    </row>
    <row r="37" spans="1:36" x14ac:dyDescent="0.25">
      <c r="A37" t="s">
        <v>37</v>
      </c>
      <c r="B37">
        <v>14</v>
      </c>
      <c r="C37" t="s">
        <v>38</v>
      </c>
      <c r="D37">
        <v>2019</v>
      </c>
      <c r="E37">
        <v>19</v>
      </c>
      <c r="F37">
        <v>37</v>
      </c>
      <c r="G37">
        <v>9</v>
      </c>
      <c r="H37" t="str">
        <f t="shared" si="0"/>
        <v>9</v>
      </c>
      <c r="I37" t="str">
        <f t="shared" si="1"/>
        <v/>
      </c>
      <c r="J37" t="str">
        <f t="shared" si="4"/>
        <v>Line</v>
      </c>
      <c r="K37">
        <v>4613482.9529999997</v>
      </c>
      <c r="L37">
        <v>413515.23499999999</v>
      </c>
      <c r="M37">
        <v>0.70099999999999996</v>
      </c>
      <c r="AF37" s="1"/>
      <c r="AH37" s="1"/>
      <c r="AJ37" s="1"/>
    </row>
    <row r="38" spans="1:36" x14ac:dyDescent="0.25">
      <c r="A38" t="s">
        <v>37</v>
      </c>
      <c r="B38">
        <v>14</v>
      </c>
      <c r="C38" t="s">
        <v>38</v>
      </c>
      <c r="D38">
        <v>2019</v>
      </c>
      <c r="E38">
        <v>19</v>
      </c>
      <c r="F38">
        <v>38</v>
      </c>
      <c r="G38">
        <v>9</v>
      </c>
      <c r="H38" t="str">
        <f t="shared" si="0"/>
        <v>9</v>
      </c>
      <c r="I38" t="str">
        <f t="shared" si="1"/>
        <v/>
      </c>
      <c r="J38" t="str">
        <f t="shared" si="4"/>
        <v>Line</v>
      </c>
      <c r="K38">
        <v>4613490.4890000001</v>
      </c>
      <c r="L38">
        <v>413512.56800000003</v>
      </c>
      <c r="M38">
        <v>0.78500000000000003</v>
      </c>
      <c r="AF38" s="1"/>
      <c r="AH38" s="1"/>
      <c r="AJ38" s="1"/>
    </row>
    <row r="39" spans="1:36" x14ac:dyDescent="0.25">
      <c r="A39" t="s">
        <v>37</v>
      </c>
      <c r="B39">
        <v>14</v>
      </c>
      <c r="C39" t="s">
        <v>38</v>
      </c>
      <c r="D39">
        <v>2019</v>
      </c>
      <c r="E39">
        <v>19</v>
      </c>
      <c r="F39">
        <v>39</v>
      </c>
      <c r="G39">
        <v>9</v>
      </c>
      <c r="H39" t="str">
        <f t="shared" si="0"/>
        <v>9</v>
      </c>
      <c r="I39" t="str">
        <f t="shared" si="1"/>
        <v/>
      </c>
      <c r="J39" t="str">
        <f t="shared" si="4"/>
        <v>Line</v>
      </c>
      <c r="K39">
        <v>4613500.3959999997</v>
      </c>
      <c r="L39">
        <v>413508.61300000001</v>
      </c>
      <c r="M39">
        <v>0.71399999999999997</v>
      </c>
      <c r="AF39" s="1"/>
      <c r="AH39" s="1"/>
      <c r="AJ39" s="1"/>
    </row>
    <row r="40" spans="1:36" x14ac:dyDescent="0.25">
      <c r="A40" t="s">
        <v>37</v>
      </c>
      <c r="B40">
        <v>14</v>
      </c>
      <c r="C40" t="s">
        <v>38</v>
      </c>
      <c r="D40">
        <v>2019</v>
      </c>
      <c r="E40">
        <v>19</v>
      </c>
      <c r="F40">
        <v>40</v>
      </c>
      <c r="G40">
        <v>9</v>
      </c>
      <c r="H40" t="str">
        <f t="shared" si="0"/>
        <v>9</v>
      </c>
      <c r="I40" t="str">
        <f t="shared" si="1"/>
        <v/>
      </c>
      <c r="J40" t="str">
        <f t="shared" si="4"/>
        <v>Line</v>
      </c>
      <c r="K40">
        <v>4613510.4060000004</v>
      </c>
      <c r="L40">
        <v>413510.79800000001</v>
      </c>
      <c r="M40">
        <v>0.74</v>
      </c>
      <c r="AF40" s="1"/>
      <c r="AH40" s="1"/>
      <c r="AJ40" s="1"/>
    </row>
    <row r="41" spans="1:36" x14ac:dyDescent="0.25">
      <c r="A41" t="s">
        <v>37</v>
      </c>
      <c r="B41">
        <v>14</v>
      </c>
      <c r="C41" t="s">
        <v>38</v>
      </c>
      <c r="D41">
        <v>2019</v>
      </c>
      <c r="E41">
        <v>19</v>
      </c>
      <c r="F41">
        <v>41</v>
      </c>
      <c r="G41">
        <v>9</v>
      </c>
      <c r="H41" t="str">
        <f t="shared" si="0"/>
        <v>9</v>
      </c>
      <c r="I41" t="str">
        <f t="shared" si="1"/>
        <v/>
      </c>
      <c r="J41" t="str">
        <f t="shared" si="4"/>
        <v>Line</v>
      </c>
      <c r="K41">
        <v>4613516.9579999996</v>
      </c>
      <c r="L41">
        <v>413516.19400000002</v>
      </c>
      <c r="M41">
        <v>0.73199999999999998</v>
      </c>
      <c r="AF41" s="1"/>
      <c r="AH41" s="1"/>
      <c r="AJ41" s="1"/>
    </row>
    <row r="42" spans="1:36" x14ac:dyDescent="0.25">
      <c r="A42" t="s">
        <v>37</v>
      </c>
      <c r="B42">
        <v>14</v>
      </c>
      <c r="C42" t="s">
        <v>38</v>
      </c>
      <c r="D42">
        <v>2019</v>
      </c>
      <c r="E42">
        <v>19</v>
      </c>
      <c r="F42">
        <v>42</v>
      </c>
      <c r="G42">
        <v>9</v>
      </c>
      <c r="H42" t="str">
        <f t="shared" si="0"/>
        <v>9</v>
      </c>
      <c r="I42" t="str">
        <f t="shared" si="1"/>
        <v/>
      </c>
      <c r="J42" t="str">
        <f t="shared" si="4"/>
        <v>Line</v>
      </c>
      <c r="K42">
        <v>4613520.4780000001</v>
      </c>
      <c r="L42">
        <v>413519.85600000003</v>
      </c>
      <c r="M42">
        <v>0.66</v>
      </c>
      <c r="AF42" s="1"/>
      <c r="AH42" s="1"/>
      <c r="AJ42" s="1"/>
    </row>
    <row r="43" spans="1:36" x14ac:dyDescent="0.25">
      <c r="A43" t="s">
        <v>37</v>
      </c>
      <c r="B43">
        <v>14</v>
      </c>
      <c r="C43" t="s">
        <v>38</v>
      </c>
      <c r="D43">
        <v>2019</v>
      </c>
      <c r="E43">
        <v>19</v>
      </c>
      <c r="F43">
        <v>43</v>
      </c>
      <c r="G43">
        <v>9</v>
      </c>
      <c r="H43" t="str">
        <f t="shared" si="0"/>
        <v>9</v>
      </c>
      <c r="I43" t="str">
        <f t="shared" si="1"/>
        <v/>
      </c>
      <c r="J43" t="str">
        <f t="shared" si="4"/>
        <v>Line</v>
      </c>
      <c r="K43">
        <v>4613523.5669999998</v>
      </c>
      <c r="L43">
        <v>413526.32299999997</v>
      </c>
      <c r="M43">
        <v>0.69499999999999995</v>
      </c>
      <c r="AF43" s="1"/>
      <c r="AH43" s="1"/>
      <c r="AJ43" s="1"/>
    </row>
    <row r="44" spans="1:36" x14ac:dyDescent="0.25">
      <c r="A44" t="s">
        <v>37</v>
      </c>
      <c r="B44">
        <v>14</v>
      </c>
      <c r="C44" t="s">
        <v>38</v>
      </c>
      <c r="D44">
        <v>2019</v>
      </c>
      <c r="E44">
        <v>19</v>
      </c>
      <c r="F44">
        <v>44</v>
      </c>
      <c r="G44">
        <v>9</v>
      </c>
      <c r="H44" t="str">
        <f t="shared" si="0"/>
        <v>9</v>
      </c>
      <c r="I44" t="str">
        <f t="shared" si="1"/>
        <v/>
      </c>
      <c r="J44" t="str">
        <f t="shared" si="4"/>
        <v>Line</v>
      </c>
      <c r="K44">
        <v>4613526.8949999996</v>
      </c>
      <c r="L44">
        <v>413534.73100000003</v>
      </c>
      <c r="M44">
        <v>0.63200000000000001</v>
      </c>
      <c r="AF44" s="1"/>
      <c r="AH44" s="1"/>
      <c r="AJ44" s="1"/>
    </row>
    <row r="45" spans="1:36" x14ac:dyDescent="0.25">
      <c r="A45" t="s">
        <v>37</v>
      </c>
      <c r="B45">
        <v>14</v>
      </c>
      <c r="C45" t="s">
        <v>38</v>
      </c>
      <c r="D45">
        <v>2019</v>
      </c>
      <c r="E45">
        <v>19</v>
      </c>
      <c r="F45">
        <v>45</v>
      </c>
      <c r="G45">
        <v>9</v>
      </c>
      <c r="H45" t="str">
        <f t="shared" si="0"/>
        <v>9</v>
      </c>
      <c r="I45" t="str">
        <f t="shared" si="1"/>
        <v/>
      </c>
      <c r="J45" t="str">
        <f t="shared" si="4"/>
        <v>Line</v>
      </c>
      <c r="K45">
        <v>4613530.2829999998</v>
      </c>
      <c r="L45">
        <v>413543.80800000002</v>
      </c>
      <c r="M45">
        <v>0.69199999999999995</v>
      </c>
      <c r="AF45" s="1"/>
      <c r="AH45" s="1"/>
      <c r="AJ45" s="1"/>
    </row>
    <row r="46" spans="1:36" x14ac:dyDescent="0.25">
      <c r="A46" t="s">
        <v>37</v>
      </c>
      <c r="B46">
        <v>14</v>
      </c>
      <c r="C46" t="s">
        <v>38</v>
      </c>
      <c r="D46">
        <v>2019</v>
      </c>
      <c r="E46">
        <v>19</v>
      </c>
      <c r="F46">
        <v>46</v>
      </c>
      <c r="G46">
        <v>9</v>
      </c>
      <c r="H46" t="str">
        <f t="shared" si="0"/>
        <v>9</v>
      </c>
      <c r="I46" t="str">
        <f t="shared" si="1"/>
        <v/>
      </c>
      <c r="J46" t="str">
        <f t="shared" si="4"/>
        <v>Line</v>
      </c>
      <c r="K46">
        <v>4613531.8760000002</v>
      </c>
      <c r="L46">
        <v>413548.72200000001</v>
      </c>
      <c r="M46">
        <v>0.61899999999999999</v>
      </c>
      <c r="AF46" s="1"/>
      <c r="AH46" s="1"/>
      <c r="AJ46" s="1"/>
    </row>
    <row r="47" spans="1:36" x14ac:dyDescent="0.25">
      <c r="A47" t="s">
        <v>37</v>
      </c>
      <c r="B47">
        <v>14</v>
      </c>
      <c r="C47" t="s">
        <v>38</v>
      </c>
      <c r="D47">
        <v>2019</v>
      </c>
      <c r="E47">
        <v>19</v>
      </c>
      <c r="F47">
        <v>47</v>
      </c>
      <c r="G47">
        <v>9</v>
      </c>
      <c r="H47" t="str">
        <f t="shared" si="0"/>
        <v>9</v>
      </c>
      <c r="I47" t="str">
        <f t="shared" si="1"/>
        <v/>
      </c>
      <c r="J47" t="str">
        <f t="shared" si="4"/>
        <v>Line</v>
      </c>
      <c r="K47">
        <v>4613531.0199999996</v>
      </c>
      <c r="L47">
        <v>413553.495</v>
      </c>
      <c r="M47">
        <v>0.65600000000000003</v>
      </c>
      <c r="AF47" s="1"/>
      <c r="AH47" s="1"/>
      <c r="AJ47" s="1"/>
    </row>
    <row r="48" spans="1:36" x14ac:dyDescent="0.25">
      <c r="A48" t="s">
        <v>37</v>
      </c>
      <c r="B48">
        <v>14</v>
      </c>
      <c r="C48" t="s">
        <v>38</v>
      </c>
      <c r="D48">
        <v>2019</v>
      </c>
      <c r="E48">
        <v>19</v>
      </c>
      <c r="F48">
        <v>48</v>
      </c>
      <c r="G48">
        <v>9</v>
      </c>
      <c r="H48" t="str">
        <f t="shared" si="0"/>
        <v>9</v>
      </c>
      <c r="I48" t="str">
        <f t="shared" si="1"/>
        <v/>
      </c>
      <c r="J48" t="str">
        <f t="shared" si="4"/>
        <v>Line</v>
      </c>
      <c r="K48">
        <v>4613529.625</v>
      </c>
      <c r="L48">
        <v>413556.87</v>
      </c>
      <c r="M48">
        <v>0.66600000000000004</v>
      </c>
      <c r="AF48" s="1"/>
      <c r="AH48" s="1"/>
      <c r="AJ48" s="1"/>
    </row>
    <row r="49" spans="1:36" x14ac:dyDescent="0.25">
      <c r="A49" t="s">
        <v>37</v>
      </c>
      <c r="B49">
        <v>14</v>
      </c>
      <c r="C49" t="s">
        <v>38</v>
      </c>
      <c r="D49">
        <v>2019</v>
      </c>
      <c r="E49">
        <v>19</v>
      </c>
      <c r="F49">
        <v>49</v>
      </c>
      <c r="G49">
        <v>9</v>
      </c>
      <c r="H49" t="str">
        <f t="shared" si="0"/>
        <v>9</v>
      </c>
      <c r="I49" t="str">
        <f t="shared" si="1"/>
        <v/>
      </c>
      <c r="J49" t="str">
        <f t="shared" si="4"/>
        <v>Line</v>
      </c>
      <c r="K49">
        <v>4613527.2699999996</v>
      </c>
      <c r="L49">
        <v>413559.859</v>
      </c>
      <c r="M49">
        <v>0.68100000000000005</v>
      </c>
      <c r="AF49" s="1"/>
      <c r="AH49" s="1"/>
      <c r="AJ49" s="1"/>
    </row>
    <row r="50" spans="1:36" x14ac:dyDescent="0.25">
      <c r="A50" t="s">
        <v>37</v>
      </c>
      <c r="B50">
        <v>14</v>
      </c>
      <c r="C50" t="s">
        <v>38</v>
      </c>
      <c r="D50">
        <v>2019</v>
      </c>
      <c r="E50">
        <v>19</v>
      </c>
      <c r="F50">
        <v>50</v>
      </c>
      <c r="G50">
        <v>9</v>
      </c>
      <c r="H50" t="str">
        <f t="shared" si="0"/>
        <v>9</v>
      </c>
      <c r="I50" t="str">
        <f t="shared" si="1"/>
        <v/>
      </c>
      <c r="J50" t="str">
        <f t="shared" si="4"/>
        <v>Line</v>
      </c>
      <c r="K50">
        <v>4613520.7419999996</v>
      </c>
      <c r="L50">
        <v>413563.86499999999</v>
      </c>
      <c r="M50">
        <v>0.65800000000000003</v>
      </c>
      <c r="AF50" s="1"/>
      <c r="AH50" s="1"/>
      <c r="AJ50" s="1"/>
    </row>
    <row r="51" spans="1:36" x14ac:dyDescent="0.25">
      <c r="A51" t="s">
        <v>37</v>
      </c>
      <c r="B51">
        <v>14</v>
      </c>
      <c r="C51" t="s">
        <v>38</v>
      </c>
      <c r="D51">
        <v>2019</v>
      </c>
      <c r="E51">
        <v>19</v>
      </c>
      <c r="F51">
        <v>51</v>
      </c>
      <c r="G51">
        <v>9</v>
      </c>
      <c r="H51" t="str">
        <f t="shared" si="0"/>
        <v>9</v>
      </c>
      <c r="I51" t="str">
        <f t="shared" si="1"/>
        <v/>
      </c>
      <c r="J51" t="str">
        <f t="shared" si="4"/>
        <v>Line</v>
      </c>
      <c r="K51">
        <v>4613514.76</v>
      </c>
      <c r="L51">
        <v>413564.80599999998</v>
      </c>
      <c r="M51">
        <v>0.66900000000000004</v>
      </c>
      <c r="AF51" s="1"/>
      <c r="AH51" s="1"/>
      <c r="AJ51" s="1"/>
    </row>
    <row r="52" spans="1:36" x14ac:dyDescent="0.25">
      <c r="A52" t="s">
        <v>37</v>
      </c>
      <c r="B52">
        <v>14</v>
      </c>
      <c r="C52" t="s">
        <v>38</v>
      </c>
      <c r="D52">
        <v>2019</v>
      </c>
      <c r="E52">
        <v>19</v>
      </c>
      <c r="F52">
        <v>52</v>
      </c>
      <c r="G52">
        <v>9</v>
      </c>
      <c r="H52" t="str">
        <f t="shared" si="0"/>
        <v>9</v>
      </c>
      <c r="I52" t="str">
        <f t="shared" si="1"/>
        <v/>
      </c>
      <c r="J52" t="str">
        <f t="shared" si="4"/>
        <v>Line</v>
      </c>
      <c r="K52">
        <v>4613505.8370000003</v>
      </c>
      <c r="L52">
        <v>413565.03</v>
      </c>
      <c r="M52">
        <v>0.63600000000000001</v>
      </c>
      <c r="AF52" s="1"/>
      <c r="AH52" s="1"/>
      <c r="AJ52" s="1"/>
    </row>
    <row r="53" spans="1:36" x14ac:dyDescent="0.25">
      <c r="A53" t="s">
        <v>37</v>
      </c>
      <c r="B53">
        <v>14</v>
      </c>
      <c r="C53" t="s">
        <v>38</v>
      </c>
      <c r="D53">
        <v>2019</v>
      </c>
      <c r="E53">
        <v>19</v>
      </c>
      <c r="F53">
        <v>53</v>
      </c>
      <c r="G53">
        <v>9</v>
      </c>
      <c r="H53" t="str">
        <f t="shared" si="0"/>
        <v>9</v>
      </c>
      <c r="I53" t="str">
        <f t="shared" si="1"/>
        <v/>
      </c>
      <c r="J53" t="str">
        <f t="shared" si="4"/>
        <v>Line</v>
      </c>
      <c r="K53">
        <v>4613486.9419999998</v>
      </c>
      <c r="L53">
        <v>413549.67099999997</v>
      </c>
      <c r="M53">
        <v>0.64800000000000002</v>
      </c>
      <c r="AF53" s="1"/>
      <c r="AH53" s="1"/>
      <c r="AJ53" s="1"/>
    </row>
    <row r="54" spans="1:36" x14ac:dyDescent="0.25">
      <c r="A54" t="s">
        <v>37</v>
      </c>
      <c r="B54">
        <v>14</v>
      </c>
      <c r="C54" t="s">
        <v>38</v>
      </c>
      <c r="D54">
        <v>2019</v>
      </c>
      <c r="E54">
        <v>19</v>
      </c>
      <c r="F54">
        <v>54</v>
      </c>
      <c r="G54">
        <v>9</v>
      </c>
      <c r="H54" t="str">
        <f t="shared" si="0"/>
        <v>9</v>
      </c>
      <c r="I54" t="str">
        <f t="shared" si="1"/>
        <v/>
      </c>
      <c r="J54" t="str">
        <f t="shared" si="4"/>
        <v>Line</v>
      </c>
      <c r="K54">
        <v>4613482.5690000001</v>
      </c>
      <c r="L54">
        <v>413544.55800000002</v>
      </c>
      <c r="M54">
        <v>0.66500000000000004</v>
      </c>
      <c r="AF54" s="1"/>
      <c r="AH54" s="1"/>
      <c r="AJ54" s="1"/>
    </row>
    <row r="55" spans="1:36" x14ac:dyDescent="0.25">
      <c r="A55" t="s">
        <v>37</v>
      </c>
      <c r="B55">
        <v>14</v>
      </c>
      <c r="C55" t="s">
        <v>38</v>
      </c>
      <c r="D55">
        <v>2019</v>
      </c>
      <c r="E55">
        <v>20</v>
      </c>
      <c r="F55">
        <v>55</v>
      </c>
      <c r="G55" t="s">
        <v>12</v>
      </c>
      <c r="H55" t="str">
        <f t="shared" si="0"/>
        <v>03</v>
      </c>
      <c r="I55" t="str">
        <f t="shared" si="1"/>
        <v>a</v>
      </c>
      <c r="J55" t="str">
        <f t="shared" si="4"/>
        <v>Line</v>
      </c>
      <c r="K55">
        <v>4613478.7379999999</v>
      </c>
      <c r="L55">
        <v>413539.88900000002</v>
      </c>
      <c r="M55">
        <v>0.57599999999999996</v>
      </c>
      <c r="AF55" s="1"/>
      <c r="AH55" s="1"/>
      <c r="AJ55" s="1"/>
    </row>
    <row r="56" spans="1:36" x14ac:dyDescent="0.25">
      <c r="A56" t="s">
        <v>37</v>
      </c>
      <c r="B56">
        <v>14</v>
      </c>
      <c r="C56" t="s">
        <v>38</v>
      </c>
      <c r="D56">
        <v>2019</v>
      </c>
      <c r="E56">
        <f t="shared" ref="E56:E72" si="5">IF(G56=G55,E55,E55+1)</f>
        <v>20</v>
      </c>
      <c r="F56">
        <v>56</v>
      </c>
      <c r="G56" t="s">
        <v>12</v>
      </c>
      <c r="H56" t="str">
        <f t="shared" si="0"/>
        <v>03</v>
      </c>
      <c r="I56" t="str">
        <f t="shared" si="1"/>
        <v>a</v>
      </c>
      <c r="J56" t="str">
        <f t="shared" si="4"/>
        <v>Line</v>
      </c>
      <c r="K56">
        <v>4613470.6890000002</v>
      </c>
      <c r="L56">
        <v>413535.19500000001</v>
      </c>
      <c r="M56">
        <v>0.50600000000000001</v>
      </c>
      <c r="AF56" s="1"/>
      <c r="AH56" s="1"/>
      <c r="AJ56" s="1"/>
    </row>
    <row r="57" spans="1:36" x14ac:dyDescent="0.25">
      <c r="A57" t="s">
        <v>37</v>
      </c>
      <c r="B57">
        <v>14</v>
      </c>
      <c r="C57" t="s">
        <v>38</v>
      </c>
      <c r="D57">
        <v>2019</v>
      </c>
      <c r="E57">
        <f t="shared" si="5"/>
        <v>21</v>
      </c>
      <c r="F57">
        <v>57</v>
      </c>
      <c r="G57" t="s">
        <v>10</v>
      </c>
      <c r="H57" t="str">
        <f t="shared" si="0"/>
        <v>04</v>
      </c>
      <c r="I57" t="str">
        <f t="shared" si="1"/>
        <v>a</v>
      </c>
      <c r="J57" t="str">
        <f t="shared" si="4"/>
        <v>MU</v>
      </c>
      <c r="K57">
        <v>4613468.8710000003</v>
      </c>
      <c r="L57">
        <v>413534.31300000002</v>
      </c>
      <c r="M57">
        <v>0.53800000000000003</v>
      </c>
      <c r="AF57" s="1"/>
      <c r="AH57" s="1"/>
      <c r="AJ57" s="1"/>
    </row>
    <row r="58" spans="1:36" x14ac:dyDescent="0.25">
      <c r="A58" t="s">
        <v>37</v>
      </c>
      <c r="B58">
        <v>14</v>
      </c>
      <c r="C58" t="s">
        <v>38</v>
      </c>
      <c r="D58">
        <v>2019</v>
      </c>
      <c r="E58">
        <f t="shared" si="5"/>
        <v>22</v>
      </c>
      <c r="F58">
        <v>58</v>
      </c>
      <c r="G58" t="s">
        <v>15</v>
      </c>
      <c r="H58" t="str">
        <f t="shared" si="0"/>
        <v>08</v>
      </c>
      <c r="I58" t="str">
        <f t="shared" si="1"/>
        <v>b</v>
      </c>
      <c r="J58" t="str">
        <f t="shared" si="4"/>
        <v>Line</v>
      </c>
      <c r="K58">
        <v>4613466.8250000002</v>
      </c>
      <c r="L58">
        <v>413533.49200000003</v>
      </c>
      <c r="M58">
        <v>0.56699999999999995</v>
      </c>
      <c r="AF58" s="1"/>
      <c r="AH58" s="1"/>
      <c r="AJ58" s="1"/>
    </row>
    <row r="59" spans="1:36" x14ac:dyDescent="0.25">
      <c r="A59" t="s">
        <v>37</v>
      </c>
      <c r="B59">
        <v>14</v>
      </c>
      <c r="C59" t="s">
        <v>38</v>
      </c>
      <c r="D59">
        <v>2019</v>
      </c>
      <c r="E59">
        <f t="shared" si="5"/>
        <v>22</v>
      </c>
      <c r="F59">
        <v>59</v>
      </c>
      <c r="G59" t="s">
        <v>15</v>
      </c>
      <c r="H59" t="str">
        <f t="shared" si="0"/>
        <v>08</v>
      </c>
      <c r="I59" t="str">
        <f t="shared" si="1"/>
        <v>b</v>
      </c>
      <c r="J59" t="str">
        <f t="shared" si="4"/>
        <v>Line</v>
      </c>
      <c r="K59">
        <v>4613457.4970000004</v>
      </c>
      <c r="L59">
        <v>413529.82500000001</v>
      </c>
      <c r="M59">
        <v>0.53600000000000003</v>
      </c>
      <c r="AF59" s="1"/>
      <c r="AH59" s="1"/>
      <c r="AJ59" s="1"/>
    </row>
    <row r="60" spans="1:36" x14ac:dyDescent="0.25">
      <c r="A60" t="s">
        <v>37</v>
      </c>
      <c r="B60">
        <v>14</v>
      </c>
      <c r="C60" t="s">
        <v>38</v>
      </c>
      <c r="D60">
        <v>2019</v>
      </c>
      <c r="E60">
        <f t="shared" si="5"/>
        <v>23</v>
      </c>
      <c r="F60">
        <v>60</v>
      </c>
      <c r="G60" t="s">
        <v>16</v>
      </c>
      <c r="H60" t="str">
        <f t="shared" si="0"/>
        <v>05</v>
      </c>
      <c r="I60" t="str">
        <f t="shared" si="1"/>
        <v>a</v>
      </c>
      <c r="J60" t="str">
        <f t="shared" si="4"/>
        <v>Line</v>
      </c>
      <c r="K60">
        <v>4613455.6100000003</v>
      </c>
      <c r="L60">
        <v>413529.90600000002</v>
      </c>
      <c r="M60">
        <v>0.59499999999999997</v>
      </c>
      <c r="AF60" s="1"/>
      <c r="AH60" s="1"/>
      <c r="AJ60" s="1"/>
    </row>
    <row r="61" spans="1:36" x14ac:dyDescent="0.25">
      <c r="A61" t="s">
        <v>37</v>
      </c>
      <c r="B61">
        <v>14</v>
      </c>
      <c r="C61" t="s">
        <v>38</v>
      </c>
      <c r="D61">
        <v>2019</v>
      </c>
      <c r="E61">
        <f t="shared" si="5"/>
        <v>23</v>
      </c>
      <c r="F61">
        <v>61</v>
      </c>
      <c r="G61" t="s">
        <v>16</v>
      </c>
      <c r="H61" t="str">
        <f t="shared" si="0"/>
        <v>05</v>
      </c>
      <c r="I61" t="str">
        <f t="shared" si="1"/>
        <v>a</v>
      </c>
      <c r="J61" t="str">
        <f t="shared" si="4"/>
        <v>Line</v>
      </c>
      <c r="K61">
        <v>4613453.773</v>
      </c>
      <c r="L61">
        <v>413530.04200000002</v>
      </c>
      <c r="M61">
        <v>0.77300000000000002</v>
      </c>
      <c r="AF61" s="1"/>
      <c r="AH61" s="1"/>
      <c r="AJ61" s="1"/>
    </row>
    <row r="62" spans="1:36" x14ac:dyDescent="0.25">
      <c r="A62" t="s">
        <v>37</v>
      </c>
      <c r="B62">
        <v>14</v>
      </c>
      <c r="C62" t="s">
        <v>38</v>
      </c>
      <c r="D62">
        <v>2019</v>
      </c>
      <c r="E62">
        <f t="shared" si="5"/>
        <v>24</v>
      </c>
      <c r="F62">
        <v>62</v>
      </c>
      <c r="G62" t="s">
        <v>8</v>
      </c>
      <c r="H62" t="str">
        <f t="shared" si="0"/>
        <v>09</v>
      </c>
      <c r="I62" t="str">
        <f t="shared" si="1"/>
        <v>a</v>
      </c>
      <c r="J62" t="str">
        <f t="shared" si="4"/>
        <v>Line</v>
      </c>
      <c r="K62">
        <v>4613451.8059999999</v>
      </c>
      <c r="L62">
        <v>413530.435</v>
      </c>
      <c r="M62">
        <v>0.83099999999999996</v>
      </c>
      <c r="AF62" s="1"/>
      <c r="AH62" s="1"/>
      <c r="AJ62" s="1"/>
    </row>
    <row r="63" spans="1:36" x14ac:dyDescent="0.25">
      <c r="A63" t="s">
        <v>37</v>
      </c>
      <c r="B63">
        <v>14</v>
      </c>
      <c r="C63" t="s">
        <v>38</v>
      </c>
      <c r="D63">
        <v>2019</v>
      </c>
      <c r="E63">
        <f t="shared" si="5"/>
        <v>24</v>
      </c>
      <c r="F63">
        <v>63</v>
      </c>
      <c r="G63" t="s">
        <v>8</v>
      </c>
      <c r="H63" t="str">
        <f t="shared" si="0"/>
        <v>09</v>
      </c>
      <c r="I63" t="str">
        <f t="shared" si="1"/>
        <v>a</v>
      </c>
      <c r="J63" t="str">
        <f t="shared" si="4"/>
        <v>Line</v>
      </c>
      <c r="K63">
        <v>4613451.5729999999</v>
      </c>
      <c r="L63">
        <v>413529.58199999999</v>
      </c>
      <c r="M63">
        <v>0.82699999999999996</v>
      </c>
      <c r="AF63" s="1"/>
      <c r="AH63" s="1"/>
      <c r="AJ63" s="1"/>
    </row>
    <row r="64" spans="1:36" x14ac:dyDescent="0.25">
      <c r="A64" t="s">
        <v>37</v>
      </c>
      <c r="B64">
        <v>14</v>
      </c>
      <c r="C64" t="s">
        <v>38</v>
      </c>
      <c r="D64">
        <v>2019</v>
      </c>
      <c r="E64">
        <f t="shared" si="5"/>
        <v>24</v>
      </c>
      <c r="F64">
        <v>64</v>
      </c>
      <c r="G64" t="s">
        <v>8</v>
      </c>
      <c r="H64" t="str">
        <f t="shared" si="0"/>
        <v>09</v>
      </c>
      <c r="I64" t="str">
        <f t="shared" si="1"/>
        <v>a</v>
      </c>
      <c r="J64" t="str">
        <f t="shared" si="4"/>
        <v>Line</v>
      </c>
      <c r="K64">
        <v>4613451.1490000002</v>
      </c>
      <c r="L64">
        <v>413528.12199999997</v>
      </c>
      <c r="M64">
        <v>0.72199999999999998</v>
      </c>
      <c r="AF64" s="1"/>
      <c r="AH64" s="1"/>
      <c r="AJ64" s="1"/>
    </row>
    <row r="65" spans="1:36" x14ac:dyDescent="0.25">
      <c r="A65" t="s">
        <v>37</v>
      </c>
      <c r="B65">
        <v>14</v>
      </c>
      <c r="C65" t="s">
        <v>38</v>
      </c>
      <c r="D65">
        <v>2019</v>
      </c>
      <c r="E65">
        <f t="shared" si="5"/>
        <v>24</v>
      </c>
      <c r="F65">
        <v>65</v>
      </c>
      <c r="G65" t="s">
        <v>8</v>
      </c>
      <c r="H65" t="str">
        <f t="shared" si="0"/>
        <v>09</v>
      </c>
      <c r="I65" t="str">
        <f t="shared" si="1"/>
        <v>a</v>
      </c>
      <c r="J65" t="str">
        <f t="shared" si="4"/>
        <v>Line</v>
      </c>
      <c r="K65">
        <v>4613451.04</v>
      </c>
      <c r="L65">
        <v>413528.07500000001</v>
      </c>
      <c r="M65">
        <v>0.72299999999999998</v>
      </c>
      <c r="AF65" s="1"/>
      <c r="AH65" s="1"/>
      <c r="AJ65" s="1"/>
    </row>
    <row r="66" spans="1:36" x14ac:dyDescent="0.25">
      <c r="A66" t="s">
        <v>37</v>
      </c>
      <c r="B66">
        <v>14</v>
      </c>
      <c r="C66" t="s">
        <v>38</v>
      </c>
      <c r="D66">
        <v>2019</v>
      </c>
      <c r="E66">
        <f t="shared" si="5"/>
        <v>25</v>
      </c>
      <c r="F66">
        <v>66</v>
      </c>
      <c r="G66" t="s">
        <v>16</v>
      </c>
      <c r="H66" t="str">
        <f t="shared" ref="H66:H129" si="6">LEFT(G66,2)</f>
        <v>05</v>
      </c>
      <c r="I66" t="str">
        <f t="shared" ref="I66:I129" si="7">RIGHT(G66,LEN(G66)-LEN(H66))</f>
        <v>a</v>
      </c>
      <c r="J66" t="str">
        <f t="shared" si="4"/>
        <v>MU</v>
      </c>
      <c r="K66">
        <v>4613453.5250000004</v>
      </c>
      <c r="L66">
        <v>413528.24300000002</v>
      </c>
      <c r="M66">
        <v>0.75900000000000001</v>
      </c>
      <c r="AF66" s="1"/>
      <c r="AH66" s="1"/>
      <c r="AJ66" s="1"/>
    </row>
    <row r="67" spans="1:36" x14ac:dyDescent="0.25">
      <c r="A67" t="s">
        <v>37</v>
      </c>
      <c r="B67">
        <v>14</v>
      </c>
      <c r="C67" t="s">
        <v>38</v>
      </c>
      <c r="D67">
        <v>2019</v>
      </c>
      <c r="E67">
        <f t="shared" si="5"/>
        <v>26</v>
      </c>
      <c r="F67">
        <v>67</v>
      </c>
      <c r="G67" t="s">
        <v>10</v>
      </c>
      <c r="H67" t="str">
        <f t="shared" si="6"/>
        <v>04</v>
      </c>
      <c r="I67" t="str">
        <f t="shared" si="7"/>
        <v>a</v>
      </c>
      <c r="J67" t="str">
        <f t="shared" si="4"/>
        <v>MU</v>
      </c>
      <c r="K67">
        <v>4613455.4869999997</v>
      </c>
      <c r="L67">
        <v>413528.46299999999</v>
      </c>
      <c r="M67">
        <v>0.58799999999999997</v>
      </c>
      <c r="AF67" s="1"/>
      <c r="AH67" s="1"/>
      <c r="AJ67" s="1"/>
    </row>
    <row r="68" spans="1:36" x14ac:dyDescent="0.25">
      <c r="A68" t="s">
        <v>37</v>
      </c>
      <c r="B68">
        <v>14</v>
      </c>
      <c r="C68" t="s">
        <v>38</v>
      </c>
      <c r="D68">
        <v>2019</v>
      </c>
      <c r="E68">
        <f t="shared" si="5"/>
        <v>27</v>
      </c>
      <c r="F68">
        <v>68</v>
      </c>
      <c r="G68" t="s">
        <v>15</v>
      </c>
      <c r="H68" t="str">
        <f t="shared" si="6"/>
        <v>08</v>
      </c>
      <c r="I68" t="str">
        <f t="shared" si="7"/>
        <v>b</v>
      </c>
      <c r="J68" t="str">
        <f t="shared" si="4"/>
        <v>Line</v>
      </c>
      <c r="K68">
        <v>4613457.4950000001</v>
      </c>
      <c r="L68">
        <v>413528.82400000002</v>
      </c>
      <c r="M68">
        <v>0.59799999999999998</v>
      </c>
      <c r="AF68" s="1"/>
      <c r="AH68" s="1"/>
      <c r="AJ68" s="1"/>
    </row>
    <row r="69" spans="1:36" x14ac:dyDescent="0.25">
      <c r="A69" t="s">
        <v>37</v>
      </c>
      <c r="B69">
        <v>14</v>
      </c>
      <c r="C69" t="s">
        <v>38</v>
      </c>
      <c r="D69">
        <v>2019</v>
      </c>
      <c r="E69">
        <f t="shared" si="5"/>
        <v>27</v>
      </c>
      <c r="F69">
        <v>69</v>
      </c>
      <c r="G69" t="s">
        <v>15</v>
      </c>
      <c r="H69" t="str">
        <f t="shared" si="6"/>
        <v>08</v>
      </c>
      <c r="I69" t="str">
        <f t="shared" si="7"/>
        <v>b</v>
      </c>
      <c r="J69" t="str">
        <f t="shared" si="4"/>
        <v>Line</v>
      </c>
      <c r="K69">
        <v>4613465.7529999996</v>
      </c>
      <c r="L69">
        <v>413530.31900000002</v>
      </c>
      <c r="M69">
        <v>0.60899999999999999</v>
      </c>
      <c r="AF69" s="1"/>
      <c r="AH69" s="1"/>
      <c r="AJ69" s="1"/>
    </row>
    <row r="70" spans="1:36" x14ac:dyDescent="0.25">
      <c r="A70" t="s">
        <v>37</v>
      </c>
      <c r="B70">
        <v>14</v>
      </c>
      <c r="C70" t="s">
        <v>38</v>
      </c>
      <c r="D70">
        <v>2019</v>
      </c>
      <c r="E70">
        <f>IF(G70=G69,E69,E69+1)</f>
        <v>28</v>
      </c>
      <c r="F70">
        <v>70</v>
      </c>
      <c r="G70" t="s">
        <v>12</v>
      </c>
      <c r="H70" t="str">
        <f t="shared" si="6"/>
        <v>03</v>
      </c>
      <c r="I70" t="str">
        <f t="shared" si="7"/>
        <v>a</v>
      </c>
      <c r="J70" t="str">
        <f t="shared" si="4"/>
        <v>Line</v>
      </c>
      <c r="K70">
        <v>4613467.74</v>
      </c>
      <c r="L70">
        <v>413530.59399999998</v>
      </c>
      <c r="M70">
        <v>0.504</v>
      </c>
      <c r="AF70" s="1"/>
      <c r="AH70" s="1"/>
      <c r="AJ70" s="1"/>
    </row>
    <row r="71" spans="1:36" x14ac:dyDescent="0.25">
      <c r="A71" t="s">
        <v>37</v>
      </c>
      <c r="B71">
        <v>14</v>
      </c>
      <c r="C71" t="s">
        <v>38</v>
      </c>
      <c r="D71">
        <v>2019</v>
      </c>
      <c r="E71">
        <f t="shared" si="5"/>
        <v>28</v>
      </c>
      <c r="F71">
        <v>71</v>
      </c>
      <c r="G71" t="s">
        <v>12</v>
      </c>
      <c r="H71" t="str">
        <f t="shared" si="6"/>
        <v>03</v>
      </c>
      <c r="I71" t="str">
        <f t="shared" si="7"/>
        <v>a</v>
      </c>
      <c r="J71" t="str">
        <f t="shared" si="4"/>
        <v>Line</v>
      </c>
      <c r="K71">
        <v>4613473.9460000005</v>
      </c>
      <c r="L71">
        <v>413529.973</v>
      </c>
      <c r="M71">
        <v>0.51600000000000001</v>
      </c>
      <c r="AF71" s="1"/>
      <c r="AH71" s="1"/>
      <c r="AJ71" s="1"/>
    </row>
    <row r="72" spans="1:36" x14ac:dyDescent="0.25">
      <c r="A72" t="s">
        <v>37</v>
      </c>
      <c r="B72">
        <v>14</v>
      </c>
      <c r="C72" t="s">
        <v>38</v>
      </c>
      <c r="D72">
        <v>2019</v>
      </c>
      <c r="E72">
        <f t="shared" si="5"/>
        <v>29</v>
      </c>
      <c r="F72">
        <v>72</v>
      </c>
      <c r="G72" t="s">
        <v>8</v>
      </c>
      <c r="H72" t="str">
        <f t="shared" si="6"/>
        <v>09</v>
      </c>
      <c r="I72" t="str">
        <f t="shared" si="7"/>
        <v>a</v>
      </c>
      <c r="J72" t="str">
        <f t="shared" si="4"/>
        <v>MU</v>
      </c>
      <c r="K72">
        <v>4613475.7779999999</v>
      </c>
      <c r="L72">
        <v>413529.35200000001</v>
      </c>
      <c r="M72">
        <v>0.70399999999999996</v>
      </c>
      <c r="AF72" s="1"/>
      <c r="AH72" s="1"/>
      <c r="AJ72" s="1"/>
    </row>
    <row r="73" spans="1:36" x14ac:dyDescent="0.25">
      <c r="A73" t="s">
        <v>37</v>
      </c>
      <c r="B73">
        <v>14</v>
      </c>
      <c r="C73" t="s">
        <v>38</v>
      </c>
      <c r="D73">
        <v>2019</v>
      </c>
      <c r="E73">
        <v>30</v>
      </c>
      <c r="F73">
        <v>73</v>
      </c>
      <c r="G73" t="s">
        <v>17</v>
      </c>
      <c r="H73" t="str">
        <f t="shared" si="6"/>
        <v>01</v>
      </c>
      <c r="I73" t="str">
        <f t="shared" si="7"/>
        <v>a</v>
      </c>
      <c r="J73" t="s">
        <v>42</v>
      </c>
      <c r="K73">
        <v>4613480.125</v>
      </c>
      <c r="L73">
        <v>413598.13199999998</v>
      </c>
      <c r="M73">
        <v>0.33100000000000002</v>
      </c>
      <c r="AF73" s="1"/>
      <c r="AH73" s="1"/>
      <c r="AJ73" s="1"/>
    </row>
    <row r="74" spans="1:36" x14ac:dyDescent="0.25">
      <c r="A74" t="s">
        <v>37</v>
      </c>
      <c r="B74">
        <v>14</v>
      </c>
      <c r="C74" t="s">
        <v>38</v>
      </c>
      <c r="D74">
        <v>2019</v>
      </c>
      <c r="E74">
        <v>30</v>
      </c>
      <c r="F74">
        <v>74</v>
      </c>
      <c r="G74" t="s">
        <v>17</v>
      </c>
      <c r="H74" t="str">
        <f t="shared" si="6"/>
        <v>01</v>
      </c>
      <c r="I74" t="str">
        <f t="shared" si="7"/>
        <v>a</v>
      </c>
      <c r="J74" t="s">
        <v>42</v>
      </c>
      <c r="K74">
        <v>4613474.4649999999</v>
      </c>
      <c r="L74">
        <v>413595.73800000001</v>
      </c>
      <c r="M74">
        <v>0.40600000000000003</v>
      </c>
      <c r="AF74" s="1"/>
      <c r="AH74" s="1"/>
      <c r="AJ74" s="1"/>
    </row>
    <row r="75" spans="1:36" x14ac:dyDescent="0.25">
      <c r="A75" t="s">
        <v>37</v>
      </c>
      <c r="B75">
        <v>14</v>
      </c>
      <c r="C75" t="s">
        <v>38</v>
      </c>
      <c r="D75">
        <v>2019</v>
      </c>
      <c r="E75">
        <v>30</v>
      </c>
      <c r="F75">
        <v>75</v>
      </c>
      <c r="G75" t="s">
        <v>17</v>
      </c>
      <c r="H75" t="str">
        <f t="shared" si="6"/>
        <v>01</v>
      </c>
      <c r="I75" t="str">
        <f t="shared" si="7"/>
        <v>a</v>
      </c>
      <c r="J75" t="s">
        <v>42</v>
      </c>
      <c r="K75">
        <v>4613473.3109999998</v>
      </c>
      <c r="L75">
        <v>413596.42200000002</v>
      </c>
      <c r="M75">
        <v>0.377</v>
      </c>
      <c r="AF75" s="1"/>
      <c r="AH75" s="1"/>
      <c r="AJ75" s="1"/>
    </row>
    <row r="76" spans="1:36" x14ac:dyDescent="0.25">
      <c r="A76" t="s">
        <v>37</v>
      </c>
      <c r="B76">
        <v>14</v>
      </c>
      <c r="C76" t="s">
        <v>38</v>
      </c>
      <c r="D76">
        <v>2019</v>
      </c>
      <c r="E76">
        <v>30</v>
      </c>
      <c r="F76">
        <v>76</v>
      </c>
      <c r="G76" t="s">
        <v>17</v>
      </c>
      <c r="H76" t="str">
        <f t="shared" si="6"/>
        <v>01</v>
      </c>
      <c r="I76" t="str">
        <f t="shared" si="7"/>
        <v>a</v>
      </c>
      <c r="J76" t="s">
        <v>42</v>
      </c>
      <c r="K76">
        <v>4613472.6030000001</v>
      </c>
      <c r="L76">
        <v>413594.71399999998</v>
      </c>
      <c r="M76">
        <v>0.39</v>
      </c>
      <c r="AF76" s="1"/>
      <c r="AH76" s="1"/>
      <c r="AJ76" s="1"/>
    </row>
    <row r="77" spans="1:36" x14ac:dyDescent="0.25">
      <c r="A77" t="s">
        <v>37</v>
      </c>
      <c r="B77">
        <v>14</v>
      </c>
      <c r="C77" t="s">
        <v>38</v>
      </c>
      <c r="D77">
        <v>2019</v>
      </c>
      <c r="E77">
        <v>30</v>
      </c>
      <c r="F77">
        <v>77</v>
      </c>
      <c r="G77" t="s">
        <v>17</v>
      </c>
      <c r="H77" t="str">
        <f t="shared" si="6"/>
        <v>01</v>
      </c>
      <c r="I77" t="str">
        <f t="shared" si="7"/>
        <v>a</v>
      </c>
      <c r="J77" t="s">
        <v>42</v>
      </c>
      <c r="K77">
        <v>4613467.0860000001</v>
      </c>
      <c r="L77">
        <v>413593.43199999997</v>
      </c>
      <c r="M77">
        <v>0.33600000000000002</v>
      </c>
      <c r="AF77" s="1"/>
      <c r="AH77" s="1"/>
      <c r="AJ77" s="1"/>
    </row>
    <row r="78" spans="1:36" x14ac:dyDescent="0.25">
      <c r="A78" t="s">
        <v>37</v>
      </c>
      <c r="B78">
        <v>14</v>
      </c>
      <c r="C78" t="s">
        <v>38</v>
      </c>
      <c r="D78">
        <v>2019</v>
      </c>
      <c r="E78">
        <v>30</v>
      </c>
      <c r="F78">
        <v>78</v>
      </c>
      <c r="G78" t="s">
        <v>17</v>
      </c>
      <c r="H78" t="str">
        <f t="shared" si="6"/>
        <v>01</v>
      </c>
      <c r="I78" t="str">
        <f t="shared" si="7"/>
        <v>a</v>
      </c>
      <c r="J78" t="s">
        <v>42</v>
      </c>
      <c r="K78">
        <v>4613463.625</v>
      </c>
      <c r="L78">
        <v>413593.32199999999</v>
      </c>
      <c r="M78">
        <v>0.32200000000000001</v>
      </c>
      <c r="AF78" s="1"/>
      <c r="AH78" s="1"/>
      <c r="AJ78" s="1"/>
    </row>
    <row r="79" spans="1:36" x14ac:dyDescent="0.25">
      <c r="A79" t="s">
        <v>37</v>
      </c>
      <c r="B79">
        <v>14</v>
      </c>
      <c r="C79" t="s">
        <v>38</v>
      </c>
      <c r="D79">
        <v>2019</v>
      </c>
      <c r="E79">
        <v>30</v>
      </c>
      <c r="F79">
        <v>79</v>
      </c>
      <c r="G79" t="s">
        <v>17</v>
      </c>
      <c r="H79" t="str">
        <f t="shared" si="6"/>
        <v>01</v>
      </c>
      <c r="I79" t="str">
        <f t="shared" si="7"/>
        <v>a</v>
      </c>
      <c r="J79" t="s">
        <v>42</v>
      </c>
      <c r="K79">
        <v>4613459.0789999999</v>
      </c>
      <c r="L79">
        <v>413594.65700000001</v>
      </c>
      <c r="M79">
        <v>0.21099999999999999</v>
      </c>
      <c r="AF79" s="1"/>
      <c r="AH79" s="1"/>
      <c r="AJ79" s="1"/>
    </row>
    <row r="80" spans="1:36" x14ac:dyDescent="0.25">
      <c r="A80" t="s">
        <v>37</v>
      </c>
      <c r="B80">
        <v>14</v>
      </c>
      <c r="C80" t="s">
        <v>38</v>
      </c>
      <c r="D80">
        <v>2019</v>
      </c>
      <c r="E80">
        <v>30</v>
      </c>
      <c r="F80">
        <v>80</v>
      </c>
      <c r="G80" t="s">
        <v>17</v>
      </c>
      <c r="H80" t="str">
        <f t="shared" si="6"/>
        <v>01</v>
      </c>
      <c r="I80" t="str">
        <f t="shared" si="7"/>
        <v>a</v>
      </c>
      <c r="J80" t="s">
        <v>42</v>
      </c>
      <c r="K80">
        <v>4613459.3229999999</v>
      </c>
      <c r="L80">
        <v>413597.27399999998</v>
      </c>
      <c r="M80">
        <v>0.218</v>
      </c>
      <c r="AF80" s="1"/>
      <c r="AH80" s="1"/>
      <c r="AJ80" s="1"/>
    </row>
    <row r="81" spans="1:36" x14ac:dyDescent="0.25">
      <c r="A81" t="s">
        <v>37</v>
      </c>
      <c r="B81">
        <v>14</v>
      </c>
      <c r="C81" t="s">
        <v>38</v>
      </c>
      <c r="D81">
        <v>2019</v>
      </c>
      <c r="E81">
        <v>30</v>
      </c>
      <c r="F81">
        <v>81</v>
      </c>
      <c r="G81" t="s">
        <v>17</v>
      </c>
      <c r="H81" t="str">
        <f t="shared" si="6"/>
        <v>01</v>
      </c>
      <c r="I81" t="str">
        <f t="shared" si="7"/>
        <v>a</v>
      </c>
      <c r="J81" t="s">
        <v>42</v>
      </c>
      <c r="K81">
        <v>4613460.0439999998</v>
      </c>
      <c r="L81">
        <v>413599</v>
      </c>
      <c r="M81">
        <v>0.16700000000000001</v>
      </c>
      <c r="AF81" s="1"/>
      <c r="AH81" s="1"/>
      <c r="AJ81" s="1"/>
    </row>
    <row r="82" spans="1:36" x14ac:dyDescent="0.25">
      <c r="A82" t="s">
        <v>37</v>
      </c>
      <c r="B82">
        <v>14</v>
      </c>
      <c r="C82" t="s">
        <v>38</v>
      </c>
      <c r="D82">
        <v>2019</v>
      </c>
      <c r="E82">
        <v>30</v>
      </c>
      <c r="F82">
        <v>82</v>
      </c>
      <c r="G82" t="s">
        <v>17</v>
      </c>
      <c r="H82" t="str">
        <f t="shared" si="6"/>
        <v>01</v>
      </c>
      <c r="I82" t="str">
        <f t="shared" si="7"/>
        <v>a</v>
      </c>
      <c r="J82" t="s">
        <v>42</v>
      </c>
      <c r="K82">
        <v>4613457.1430000002</v>
      </c>
      <c r="L82">
        <v>413602.951</v>
      </c>
      <c r="M82">
        <v>-6.2E-2</v>
      </c>
      <c r="AF82" s="1"/>
      <c r="AH82" s="1"/>
      <c r="AJ82" s="1"/>
    </row>
    <row r="83" spans="1:36" x14ac:dyDescent="0.25">
      <c r="A83" t="s">
        <v>37</v>
      </c>
      <c r="B83">
        <v>14</v>
      </c>
      <c r="C83" t="s">
        <v>38</v>
      </c>
      <c r="D83">
        <v>2019</v>
      </c>
      <c r="E83">
        <v>30</v>
      </c>
      <c r="F83">
        <v>83</v>
      </c>
      <c r="G83" t="s">
        <v>17</v>
      </c>
      <c r="H83" t="str">
        <f t="shared" si="6"/>
        <v>01</v>
      </c>
      <c r="I83" t="str">
        <f t="shared" si="7"/>
        <v>a</v>
      </c>
      <c r="J83" t="s">
        <v>42</v>
      </c>
      <c r="K83">
        <v>4613479.6050000004</v>
      </c>
      <c r="L83">
        <v>413599.147</v>
      </c>
      <c r="M83">
        <v>0.06</v>
      </c>
      <c r="AF83" s="1"/>
      <c r="AH83" s="1"/>
      <c r="AJ83" s="1"/>
    </row>
    <row r="84" spans="1:36" x14ac:dyDescent="0.25">
      <c r="A84" t="s">
        <v>37</v>
      </c>
      <c r="B84">
        <v>14</v>
      </c>
      <c r="C84" t="s">
        <v>38</v>
      </c>
      <c r="D84">
        <v>2019</v>
      </c>
      <c r="E84">
        <v>31</v>
      </c>
      <c r="F84">
        <v>84</v>
      </c>
      <c r="G84" t="s">
        <v>18</v>
      </c>
      <c r="H84" t="str">
        <f t="shared" si="6"/>
        <v>09</v>
      </c>
      <c r="I84" t="str">
        <f t="shared" si="7"/>
        <v>ai</v>
      </c>
      <c r="J84" t="s">
        <v>41</v>
      </c>
      <c r="K84">
        <v>4613512.8559999997</v>
      </c>
      <c r="L84">
        <v>413588.49300000002</v>
      </c>
      <c r="M84">
        <v>0.84699999999999998</v>
      </c>
      <c r="AF84" s="1"/>
      <c r="AH84" s="1"/>
      <c r="AJ84" s="1"/>
    </row>
    <row r="85" spans="1:36" x14ac:dyDescent="0.25">
      <c r="A85" t="s">
        <v>37</v>
      </c>
      <c r="B85">
        <v>14</v>
      </c>
      <c r="C85" t="s">
        <v>38</v>
      </c>
      <c r="D85">
        <v>2019</v>
      </c>
      <c r="E85">
        <v>32</v>
      </c>
      <c r="F85">
        <v>89</v>
      </c>
      <c r="G85" t="s">
        <v>19</v>
      </c>
      <c r="H85" t="str">
        <f t="shared" si="6"/>
        <v>10</v>
      </c>
      <c r="I85" t="str">
        <f t="shared" si="7"/>
        <v>a</v>
      </c>
      <c r="J85" t="s">
        <v>41</v>
      </c>
      <c r="K85">
        <v>4613527.0439999998</v>
      </c>
      <c r="L85">
        <v>413584.69099999999</v>
      </c>
      <c r="M85">
        <v>0.66200000000000003</v>
      </c>
      <c r="AF85" s="1"/>
      <c r="AH85" s="1"/>
      <c r="AJ85" s="1"/>
    </row>
    <row r="86" spans="1:36" x14ac:dyDescent="0.25">
      <c r="A86" t="s">
        <v>37</v>
      </c>
      <c r="B86">
        <v>14</v>
      </c>
      <c r="C86" t="s">
        <v>38</v>
      </c>
      <c r="D86">
        <v>2019</v>
      </c>
      <c r="E86">
        <v>33</v>
      </c>
      <c r="F86">
        <v>90</v>
      </c>
      <c r="G86" t="s">
        <v>29</v>
      </c>
      <c r="H86" t="str">
        <f t="shared" si="6"/>
        <v>01</v>
      </c>
      <c r="I86" t="str">
        <f t="shared" si="7"/>
        <v>ae</v>
      </c>
      <c r="J86" t="s">
        <v>41</v>
      </c>
      <c r="K86">
        <v>4613529.1969999997</v>
      </c>
      <c r="L86">
        <v>413584.005</v>
      </c>
      <c r="M86">
        <v>0.49099999999999999</v>
      </c>
      <c r="AF86" s="1"/>
      <c r="AH86" s="1"/>
      <c r="AJ86" s="1"/>
    </row>
    <row r="87" spans="1:36" x14ac:dyDescent="0.25">
      <c r="A87" t="s">
        <v>37</v>
      </c>
      <c r="B87">
        <v>14</v>
      </c>
      <c r="C87" t="s">
        <v>38</v>
      </c>
      <c r="D87">
        <v>2019</v>
      </c>
      <c r="E87">
        <f t="shared" ref="E87:E96" si="8">IF(G87=G86,E86,E86+1)</f>
        <v>33</v>
      </c>
      <c r="F87">
        <v>91</v>
      </c>
      <c r="G87" t="s">
        <v>29</v>
      </c>
      <c r="H87" t="str">
        <f t="shared" si="6"/>
        <v>01</v>
      </c>
      <c r="I87" t="str">
        <f t="shared" si="7"/>
        <v>ae</v>
      </c>
      <c r="J87" t="str">
        <f t="shared" ref="J87:J116" si="9">IF(OR((E87=E88),(E87=E86)),"Line","MU")</f>
        <v>Line</v>
      </c>
      <c r="K87">
        <v>4613555.5020000003</v>
      </c>
      <c r="L87">
        <v>413579.46299999999</v>
      </c>
      <c r="M87">
        <v>0.42399999999999999</v>
      </c>
      <c r="AF87" s="1"/>
      <c r="AH87" s="1"/>
      <c r="AJ87" s="1"/>
    </row>
    <row r="88" spans="1:36" x14ac:dyDescent="0.25">
      <c r="A88" t="s">
        <v>37</v>
      </c>
      <c r="B88">
        <v>14</v>
      </c>
      <c r="C88" t="s">
        <v>38</v>
      </c>
      <c r="D88">
        <v>2019</v>
      </c>
      <c r="E88">
        <f t="shared" si="8"/>
        <v>33</v>
      </c>
      <c r="F88">
        <v>92</v>
      </c>
      <c r="G88" t="s">
        <v>29</v>
      </c>
      <c r="H88" t="str">
        <f t="shared" si="6"/>
        <v>01</v>
      </c>
      <c r="I88" t="str">
        <f t="shared" si="7"/>
        <v>ae</v>
      </c>
      <c r="J88" t="str">
        <f t="shared" si="9"/>
        <v>Line</v>
      </c>
      <c r="K88">
        <v>4613554.5369999995</v>
      </c>
      <c r="L88">
        <v>413579.03399999999</v>
      </c>
      <c r="M88">
        <v>0.54200000000000004</v>
      </c>
      <c r="AF88" s="1"/>
      <c r="AH88" s="1"/>
      <c r="AJ88" s="1"/>
    </row>
    <row r="89" spans="1:36" x14ac:dyDescent="0.25">
      <c r="A89" t="s">
        <v>37</v>
      </c>
      <c r="B89">
        <v>14</v>
      </c>
      <c r="C89" t="s">
        <v>38</v>
      </c>
      <c r="D89">
        <v>2019</v>
      </c>
      <c r="E89">
        <f t="shared" si="8"/>
        <v>34</v>
      </c>
      <c r="F89">
        <f>1+F88</f>
        <v>93</v>
      </c>
      <c r="G89" t="s">
        <v>17</v>
      </c>
      <c r="H89" t="str">
        <f t="shared" si="6"/>
        <v>01</v>
      </c>
      <c r="I89" t="str">
        <f t="shared" si="7"/>
        <v>a</v>
      </c>
      <c r="J89" t="str">
        <f t="shared" si="9"/>
        <v>Line</v>
      </c>
      <c r="K89">
        <v>4613554.5369999995</v>
      </c>
      <c r="L89">
        <v>413579.03399999999</v>
      </c>
      <c r="M89">
        <v>0.54200000000000004</v>
      </c>
      <c r="AF89" s="1"/>
      <c r="AH89" s="1"/>
      <c r="AJ89" s="1"/>
    </row>
    <row r="90" spans="1:36" x14ac:dyDescent="0.25">
      <c r="A90" t="s">
        <v>37</v>
      </c>
      <c r="B90">
        <v>14</v>
      </c>
      <c r="C90" t="s">
        <v>38</v>
      </c>
      <c r="D90">
        <v>2019</v>
      </c>
      <c r="E90">
        <f t="shared" si="8"/>
        <v>34</v>
      </c>
      <c r="F90">
        <f t="shared" ref="F90:F126" si="10">1+F89</f>
        <v>94</v>
      </c>
      <c r="G90" t="s">
        <v>17</v>
      </c>
      <c r="H90" t="str">
        <f t="shared" si="6"/>
        <v>01</v>
      </c>
      <c r="I90" t="str">
        <f t="shared" si="7"/>
        <v>a</v>
      </c>
      <c r="J90" t="str">
        <f t="shared" si="9"/>
        <v>Line</v>
      </c>
      <c r="K90">
        <v>4613547.1900000004</v>
      </c>
      <c r="L90">
        <v>413572.99400000001</v>
      </c>
      <c r="M90">
        <v>0.51800000000000002</v>
      </c>
      <c r="AF90" s="1"/>
      <c r="AH90" s="1"/>
      <c r="AJ90" s="1"/>
    </row>
    <row r="91" spans="1:36" x14ac:dyDescent="0.25">
      <c r="A91" t="s">
        <v>37</v>
      </c>
      <c r="B91">
        <v>14</v>
      </c>
      <c r="C91" t="s">
        <v>38</v>
      </c>
      <c r="D91">
        <v>2019</v>
      </c>
      <c r="E91">
        <f t="shared" si="8"/>
        <v>35</v>
      </c>
      <c r="F91">
        <f t="shared" si="10"/>
        <v>95</v>
      </c>
      <c r="G91" t="s">
        <v>12</v>
      </c>
      <c r="H91" t="str">
        <f t="shared" si="6"/>
        <v>03</v>
      </c>
      <c r="I91" t="str">
        <f t="shared" si="7"/>
        <v>a</v>
      </c>
      <c r="J91" t="str">
        <f t="shared" si="9"/>
        <v>Line</v>
      </c>
      <c r="K91">
        <v>4613545.733</v>
      </c>
      <c r="L91">
        <v>413571.82900000003</v>
      </c>
      <c r="M91">
        <v>0.52500000000000002</v>
      </c>
      <c r="AF91" s="1"/>
      <c r="AH91" s="1"/>
      <c r="AJ91" s="1"/>
    </row>
    <row r="92" spans="1:36" x14ac:dyDescent="0.25">
      <c r="A92" t="s">
        <v>37</v>
      </c>
      <c r="B92">
        <v>14</v>
      </c>
      <c r="C92" t="s">
        <v>38</v>
      </c>
      <c r="D92">
        <v>2019</v>
      </c>
      <c r="E92">
        <f t="shared" si="8"/>
        <v>35</v>
      </c>
      <c r="F92">
        <f>1+F91</f>
        <v>96</v>
      </c>
      <c r="G92" t="s">
        <v>12</v>
      </c>
      <c r="H92" t="str">
        <f t="shared" si="6"/>
        <v>03</v>
      </c>
      <c r="I92" t="str">
        <f t="shared" si="7"/>
        <v>a</v>
      </c>
      <c r="J92" t="str">
        <f t="shared" si="9"/>
        <v>Line</v>
      </c>
      <c r="K92">
        <v>4613531.4630000005</v>
      </c>
      <c r="L92">
        <v>413560.16700000002</v>
      </c>
      <c r="M92">
        <v>0.48299999999999998</v>
      </c>
      <c r="AF92" s="1"/>
      <c r="AH92" s="1"/>
      <c r="AJ92" s="1"/>
    </row>
    <row r="93" spans="1:36" x14ac:dyDescent="0.25">
      <c r="A93" t="s">
        <v>37</v>
      </c>
      <c r="B93">
        <v>14</v>
      </c>
      <c r="C93" t="s">
        <v>38</v>
      </c>
      <c r="D93">
        <v>2019</v>
      </c>
      <c r="E93">
        <f t="shared" si="8"/>
        <v>36</v>
      </c>
      <c r="F93">
        <f t="shared" si="10"/>
        <v>97</v>
      </c>
      <c r="G93" t="s">
        <v>17</v>
      </c>
      <c r="H93" t="str">
        <f t="shared" si="6"/>
        <v>01</v>
      </c>
      <c r="I93" t="str">
        <f t="shared" si="7"/>
        <v>a</v>
      </c>
      <c r="J93" t="str">
        <f t="shared" si="9"/>
        <v>Line</v>
      </c>
      <c r="K93">
        <v>4613529.727</v>
      </c>
      <c r="L93">
        <v>413559.21100000001</v>
      </c>
      <c r="M93">
        <v>0.622</v>
      </c>
      <c r="AF93" s="1"/>
      <c r="AH93" s="1"/>
      <c r="AJ93" s="1"/>
    </row>
    <row r="94" spans="1:36" x14ac:dyDescent="0.25">
      <c r="A94" t="s">
        <v>37</v>
      </c>
      <c r="B94">
        <v>14</v>
      </c>
      <c r="C94" t="s">
        <v>38</v>
      </c>
      <c r="D94">
        <v>2019</v>
      </c>
      <c r="E94">
        <f t="shared" si="8"/>
        <v>36</v>
      </c>
      <c r="F94">
        <f t="shared" si="10"/>
        <v>98</v>
      </c>
      <c r="G94" t="s">
        <v>17</v>
      </c>
      <c r="H94" t="str">
        <f t="shared" si="6"/>
        <v>01</v>
      </c>
      <c r="I94" t="str">
        <f t="shared" si="7"/>
        <v>a</v>
      </c>
      <c r="J94" t="str">
        <f t="shared" si="9"/>
        <v>Line</v>
      </c>
      <c r="K94">
        <v>4613531.2180000003</v>
      </c>
      <c r="L94">
        <v>413556.147</v>
      </c>
      <c r="M94">
        <v>0.501</v>
      </c>
      <c r="AF94" s="1"/>
      <c r="AH94" s="1"/>
      <c r="AJ94" s="1"/>
    </row>
    <row r="95" spans="1:36" x14ac:dyDescent="0.25">
      <c r="A95" t="s">
        <v>37</v>
      </c>
      <c r="B95">
        <v>14</v>
      </c>
      <c r="C95" t="s">
        <v>38</v>
      </c>
      <c r="D95">
        <v>2019</v>
      </c>
      <c r="E95">
        <f t="shared" si="8"/>
        <v>37</v>
      </c>
      <c r="F95">
        <f t="shared" si="10"/>
        <v>99</v>
      </c>
      <c r="G95" t="s">
        <v>20</v>
      </c>
      <c r="H95" t="str">
        <f t="shared" si="6"/>
        <v>02</v>
      </c>
      <c r="I95" t="str">
        <f t="shared" si="7"/>
        <v>a</v>
      </c>
      <c r="J95" t="str">
        <f t="shared" si="9"/>
        <v>MU</v>
      </c>
      <c r="K95">
        <v>4613532.7709999997</v>
      </c>
      <c r="L95">
        <v>413554.96600000001</v>
      </c>
      <c r="M95">
        <v>0.48299999999999998</v>
      </c>
      <c r="AF95" s="1"/>
      <c r="AH95" s="1"/>
      <c r="AJ95" s="1"/>
    </row>
    <row r="96" spans="1:36" x14ac:dyDescent="0.25">
      <c r="A96" t="s">
        <v>37</v>
      </c>
      <c r="B96">
        <v>14</v>
      </c>
      <c r="C96" t="s">
        <v>38</v>
      </c>
      <c r="D96">
        <v>2019</v>
      </c>
      <c r="E96">
        <f t="shared" si="8"/>
        <v>38</v>
      </c>
      <c r="F96">
        <f t="shared" si="10"/>
        <v>100</v>
      </c>
      <c r="G96" t="s">
        <v>12</v>
      </c>
      <c r="H96" t="str">
        <f t="shared" si="6"/>
        <v>03</v>
      </c>
      <c r="I96" t="str">
        <f t="shared" si="7"/>
        <v>a</v>
      </c>
      <c r="J96" t="str">
        <f t="shared" si="9"/>
        <v>Line</v>
      </c>
      <c r="K96">
        <v>4613534.4730000002</v>
      </c>
      <c r="L96">
        <v>413553.739</v>
      </c>
      <c r="M96">
        <v>0.40300000000000002</v>
      </c>
      <c r="AF96" s="1"/>
      <c r="AH96" s="1"/>
      <c r="AJ96" s="1"/>
    </row>
    <row r="97" spans="1:36" x14ac:dyDescent="0.25">
      <c r="A97" t="s">
        <v>37</v>
      </c>
      <c r="B97">
        <v>14</v>
      </c>
      <c r="C97" t="s">
        <v>38</v>
      </c>
      <c r="D97">
        <v>2019</v>
      </c>
      <c r="E97">
        <f>IF(G97=G96,E96,E96+1)</f>
        <v>38</v>
      </c>
      <c r="F97">
        <f t="shared" si="10"/>
        <v>101</v>
      </c>
      <c r="G97" t="s">
        <v>12</v>
      </c>
      <c r="H97" t="str">
        <f t="shared" si="6"/>
        <v>03</v>
      </c>
      <c r="I97" t="str">
        <f t="shared" si="7"/>
        <v>a</v>
      </c>
      <c r="J97" t="str">
        <f t="shared" si="9"/>
        <v>Line</v>
      </c>
      <c r="K97">
        <v>4613541.2230000002</v>
      </c>
      <c r="L97">
        <v>413546.02600000001</v>
      </c>
      <c r="M97">
        <v>0.42499999999999999</v>
      </c>
      <c r="AF97" s="1"/>
      <c r="AH97" s="1"/>
      <c r="AJ97" s="1"/>
    </row>
    <row r="98" spans="1:36" x14ac:dyDescent="0.25">
      <c r="A98" t="s">
        <v>37</v>
      </c>
      <c r="B98">
        <v>14</v>
      </c>
      <c r="C98" t="s">
        <v>38</v>
      </c>
      <c r="D98">
        <v>2019</v>
      </c>
      <c r="E98">
        <f t="shared" ref="E98:E111" si="11">IF(G98=G97,E97,E97+1)</f>
        <v>39</v>
      </c>
      <c r="F98">
        <f t="shared" si="10"/>
        <v>102</v>
      </c>
      <c r="G98" t="s">
        <v>17</v>
      </c>
      <c r="H98" t="str">
        <f t="shared" si="6"/>
        <v>01</v>
      </c>
      <c r="I98" t="str">
        <f t="shared" si="7"/>
        <v>a</v>
      </c>
      <c r="J98" t="str">
        <f t="shared" si="9"/>
        <v>Line</v>
      </c>
      <c r="K98">
        <v>4613542.699</v>
      </c>
      <c r="L98">
        <v>413544.69300000003</v>
      </c>
      <c r="M98">
        <v>0.38100000000000001</v>
      </c>
      <c r="AF98" s="1"/>
      <c r="AH98" s="1"/>
      <c r="AJ98" s="1"/>
    </row>
    <row r="99" spans="1:36" x14ac:dyDescent="0.25">
      <c r="A99" t="s">
        <v>37</v>
      </c>
      <c r="B99">
        <v>14</v>
      </c>
      <c r="C99" t="s">
        <v>38</v>
      </c>
      <c r="D99">
        <v>2019</v>
      </c>
      <c r="E99">
        <f t="shared" si="11"/>
        <v>39</v>
      </c>
      <c r="F99">
        <f t="shared" si="10"/>
        <v>103</v>
      </c>
      <c r="G99" t="s">
        <v>17</v>
      </c>
      <c r="H99" t="str">
        <f t="shared" si="6"/>
        <v>01</v>
      </c>
      <c r="I99" t="str">
        <f t="shared" si="7"/>
        <v>a</v>
      </c>
      <c r="J99" t="str">
        <f t="shared" si="9"/>
        <v>Line</v>
      </c>
      <c r="K99">
        <v>4613543.6979999999</v>
      </c>
      <c r="L99">
        <v>413545.30900000001</v>
      </c>
      <c r="M99">
        <v>0.317</v>
      </c>
      <c r="AF99" s="1"/>
      <c r="AH99" s="1"/>
      <c r="AJ99" s="1"/>
    </row>
    <row r="100" spans="1:36" x14ac:dyDescent="0.25">
      <c r="A100" t="s">
        <v>37</v>
      </c>
      <c r="B100">
        <v>14</v>
      </c>
      <c r="C100" t="s">
        <v>38</v>
      </c>
      <c r="D100">
        <v>2019</v>
      </c>
      <c r="E100">
        <f t="shared" si="11"/>
        <v>39</v>
      </c>
      <c r="F100">
        <f t="shared" si="10"/>
        <v>104</v>
      </c>
      <c r="G100" t="s">
        <v>17</v>
      </c>
      <c r="H100" t="str">
        <f t="shared" si="6"/>
        <v>01</v>
      </c>
      <c r="I100" t="str">
        <f t="shared" si="7"/>
        <v>a</v>
      </c>
      <c r="J100" t="str">
        <f t="shared" si="9"/>
        <v>Line</v>
      </c>
      <c r="K100">
        <v>4613544.4029999999</v>
      </c>
      <c r="L100">
        <v>413547.23100000003</v>
      </c>
      <c r="M100">
        <v>0.42299999999999999</v>
      </c>
      <c r="AF100" s="1"/>
      <c r="AH100" s="1"/>
      <c r="AJ100" s="1"/>
    </row>
    <row r="101" spans="1:36" x14ac:dyDescent="0.25">
      <c r="A101" t="s">
        <v>37</v>
      </c>
      <c r="B101">
        <v>14</v>
      </c>
      <c r="C101" t="s">
        <v>38</v>
      </c>
      <c r="D101">
        <v>2019</v>
      </c>
      <c r="E101">
        <f t="shared" si="11"/>
        <v>40</v>
      </c>
      <c r="F101">
        <f t="shared" si="10"/>
        <v>105</v>
      </c>
      <c r="G101" t="s">
        <v>21</v>
      </c>
      <c r="H101" t="str">
        <f t="shared" si="6"/>
        <v>33</v>
      </c>
      <c r="I101" t="str">
        <f t="shared" si="7"/>
        <v>kg</v>
      </c>
      <c r="J101" t="str">
        <f t="shared" si="9"/>
        <v>MU</v>
      </c>
      <c r="K101">
        <v>4613545.43</v>
      </c>
      <c r="L101">
        <v>413549.304</v>
      </c>
      <c r="M101">
        <v>0.26900000000000002</v>
      </c>
      <c r="AF101" s="1"/>
      <c r="AH101" s="1"/>
      <c r="AJ101" s="1"/>
    </row>
    <row r="102" spans="1:36" x14ac:dyDescent="0.25">
      <c r="A102" t="s">
        <v>37</v>
      </c>
      <c r="B102">
        <v>14</v>
      </c>
      <c r="C102" t="s">
        <v>38</v>
      </c>
      <c r="D102">
        <v>2019</v>
      </c>
      <c r="E102">
        <f t="shared" si="11"/>
        <v>41</v>
      </c>
      <c r="F102">
        <f t="shared" si="10"/>
        <v>106</v>
      </c>
      <c r="G102" t="s">
        <v>17</v>
      </c>
      <c r="H102" t="str">
        <f t="shared" si="6"/>
        <v>01</v>
      </c>
      <c r="I102" t="str">
        <f t="shared" si="7"/>
        <v>a</v>
      </c>
      <c r="J102" t="str">
        <f t="shared" si="9"/>
        <v>Line</v>
      </c>
      <c r="K102">
        <v>4613546.0379999997</v>
      </c>
      <c r="L102">
        <v>413551.35100000002</v>
      </c>
      <c r="M102">
        <v>0.26200000000000001</v>
      </c>
      <c r="AF102" s="1"/>
      <c r="AH102" s="1"/>
      <c r="AJ102" s="1"/>
    </row>
    <row r="103" spans="1:36" x14ac:dyDescent="0.25">
      <c r="A103" t="s">
        <v>37</v>
      </c>
      <c r="B103">
        <v>14</v>
      </c>
      <c r="C103" t="s">
        <v>38</v>
      </c>
      <c r="D103">
        <v>2019</v>
      </c>
      <c r="E103">
        <f t="shared" si="11"/>
        <v>41</v>
      </c>
      <c r="F103">
        <f t="shared" si="10"/>
        <v>107</v>
      </c>
      <c r="G103" t="s">
        <v>17</v>
      </c>
      <c r="H103" t="str">
        <f t="shared" si="6"/>
        <v>01</v>
      </c>
      <c r="I103" t="str">
        <f t="shared" si="7"/>
        <v>a</v>
      </c>
      <c r="J103" t="str">
        <f t="shared" si="9"/>
        <v>Line</v>
      </c>
      <c r="K103">
        <v>4613553.0779999997</v>
      </c>
      <c r="L103">
        <v>413575.62099999998</v>
      </c>
      <c r="M103">
        <v>0.38600000000000001</v>
      </c>
      <c r="AF103" s="1"/>
      <c r="AH103" s="1"/>
      <c r="AJ103" s="1"/>
    </row>
    <row r="104" spans="1:36" x14ac:dyDescent="0.25">
      <c r="A104" t="s">
        <v>37</v>
      </c>
      <c r="B104">
        <v>15</v>
      </c>
      <c r="C104" t="s">
        <v>38</v>
      </c>
      <c r="D104">
        <v>2019</v>
      </c>
      <c r="E104">
        <f t="shared" si="11"/>
        <v>41</v>
      </c>
      <c r="F104">
        <f t="shared" si="10"/>
        <v>108</v>
      </c>
      <c r="G104" t="s">
        <v>17</v>
      </c>
      <c r="H104" t="str">
        <f t="shared" si="6"/>
        <v>01</v>
      </c>
      <c r="I104" t="str">
        <f t="shared" si="7"/>
        <v>a</v>
      </c>
      <c r="J104" t="str">
        <f t="shared" si="9"/>
        <v>Line</v>
      </c>
      <c r="K104">
        <v>4613877.801</v>
      </c>
      <c r="L104">
        <v>413859.84499999997</v>
      </c>
      <c r="M104">
        <v>0.30599999999999999</v>
      </c>
      <c r="AF104" s="1"/>
      <c r="AH104" s="1"/>
      <c r="AJ104" s="1"/>
    </row>
    <row r="105" spans="1:36" x14ac:dyDescent="0.25">
      <c r="A105" t="s">
        <v>37</v>
      </c>
      <c r="B105">
        <v>15</v>
      </c>
      <c r="C105" t="s">
        <v>38</v>
      </c>
      <c r="D105">
        <v>2019</v>
      </c>
      <c r="E105">
        <f t="shared" si="11"/>
        <v>42</v>
      </c>
      <c r="F105">
        <f t="shared" si="10"/>
        <v>109</v>
      </c>
      <c r="G105" t="s">
        <v>12</v>
      </c>
      <c r="H105" t="str">
        <f t="shared" si="6"/>
        <v>03</v>
      </c>
      <c r="I105" t="str">
        <f t="shared" si="7"/>
        <v>a</v>
      </c>
      <c r="J105" t="str">
        <f t="shared" si="9"/>
        <v>Line</v>
      </c>
      <c r="K105">
        <v>4613876.7130000005</v>
      </c>
      <c r="L105">
        <v>413858.37599999999</v>
      </c>
      <c r="M105">
        <v>0.41299999999999998</v>
      </c>
      <c r="AF105" s="1"/>
      <c r="AH105" s="1"/>
      <c r="AJ105" s="1"/>
    </row>
    <row r="106" spans="1:36" x14ac:dyDescent="0.25">
      <c r="A106" t="s">
        <v>37</v>
      </c>
      <c r="B106">
        <v>15</v>
      </c>
      <c r="C106" t="s">
        <v>38</v>
      </c>
      <c r="D106">
        <v>2019</v>
      </c>
      <c r="E106">
        <f t="shared" si="11"/>
        <v>42</v>
      </c>
      <c r="F106">
        <f t="shared" si="10"/>
        <v>110</v>
      </c>
      <c r="G106" t="s">
        <v>12</v>
      </c>
      <c r="H106" t="str">
        <f t="shared" si="6"/>
        <v>03</v>
      </c>
      <c r="I106" t="str">
        <f t="shared" si="7"/>
        <v>a</v>
      </c>
      <c r="J106" t="str">
        <f t="shared" si="9"/>
        <v>Line</v>
      </c>
      <c r="K106">
        <v>4613863.4790000003</v>
      </c>
      <c r="L106">
        <v>413817.32</v>
      </c>
      <c r="M106">
        <v>0.45100000000000001</v>
      </c>
      <c r="AF106" s="1"/>
      <c r="AH106" s="1"/>
      <c r="AJ106" s="1"/>
    </row>
    <row r="107" spans="1:36" x14ac:dyDescent="0.25">
      <c r="A107" t="s">
        <v>37</v>
      </c>
      <c r="B107">
        <v>15</v>
      </c>
      <c r="C107" t="s">
        <v>38</v>
      </c>
      <c r="D107">
        <v>2019</v>
      </c>
      <c r="E107">
        <f t="shared" si="11"/>
        <v>43</v>
      </c>
      <c r="F107">
        <f t="shared" si="10"/>
        <v>111</v>
      </c>
      <c r="G107" t="s">
        <v>20</v>
      </c>
      <c r="H107" t="str">
        <f t="shared" si="6"/>
        <v>02</v>
      </c>
      <c r="I107" t="str">
        <f t="shared" si="7"/>
        <v>a</v>
      </c>
      <c r="J107" t="str">
        <f t="shared" si="9"/>
        <v>Line</v>
      </c>
      <c r="K107">
        <v>4613862.6629999997</v>
      </c>
      <c r="L107">
        <v>413815.44699999999</v>
      </c>
      <c r="M107">
        <v>0.41</v>
      </c>
      <c r="AF107" s="1"/>
      <c r="AH107" s="1"/>
      <c r="AJ107" s="1"/>
    </row>
    <row r="108" spans="1:36" x14ac:dyDescent="0.25">
      <c r="A108" t="s">
        <v>37</v>
      </c>
      <c r="B108">
        <v>15</v>
      </c>
      <c r="C108" t="s">
        <v>38</v>
      </c>
      <c r="D108">
        <v>2019</v>
      </c>
      <c r="E108">
        <f t="shared" si="11"/>
        <v>43</v>
      </c>
      <c r="F108">
        <f t="shared" si="10"/>
        <v>112</v>
      </c>
      <c r="G108" t="s">
        <v>20</v>
      </c>
      <c r="H108" t="str">
        <f t="shared" si="6"/>
        <v>02</v>
      </c>
      <c r="I108" t="str">
        <f t="shared" si="7"/>
        <v>a</v>
      </c>
      <c r="J108" t="str">
        <f t="shared" si="9"/>
        <v>Line</v>
      </c>
      <c r="K108">
        <v>4613893.7170000002</v>
      </c>
      <c r="L108">
        <v>413808.97499999998</v>
      </c>
      <c r="M108">
        <v>0.46300000000000002</v>
      </c>
      <c r="AF108" s="1"/>
      <c r="AH108" s="1"/>
      <c r="AJ108" s="1"/>
    </row>
    <row r="109" spans="1:36" x14ac:dyDescent="0.25">
      <c r="A109" t="s">
        <v>37</v>
      </c>
      <c r="B109">
        <v>15</v>
      </c>
      <c r="C109" t="s">
        <v>38</v>
      </c>
      <c r="D109">
        <v>2019</v>
      </c>
      <c r="E109">
        <f t="shared" si="11"/>
        <v>44</v>
      </c>
      <c r="F109">
        <f t="shared" si="10"/>
        <v>113</v>
      </c>
      <c r="G109" t="s">
        <v>22</v>
      </c>
      <c r="H109" t="str">
        <f t="shared" si="6"/>
        <v>32</v>
      </c>
      <c r="I109" t="str">
        <f t="shared" si="7"/>
        <v>b</v>
      </c>
      <c r="J109" t="str">
        <f t="shared" si="9"/>
        <v>MU</v>
      </c>
      <c r="K109">
        <v>4613893.733</v>
      </c>
      <c r="L109">
        <v>413807.196</v>
      </c>
      <c r="M109">
        <v>0.54800000000000004</v>
      </c>
      <c r="AF109" s="1"/>
      <c r="AH109" s="1"/>
      <c r="AJ109" s="1"/>
    </row>
    <row r="110" spans="1:36" x14ac:dyDescent="0.25">
      <c r="A110" t="s">
        <v>37</v>
      </c>
      <c r="B110">
        <v>15</v>
      </c>
      <c r="C110" t="s">
        <v>38</v>
      </c>
      <c r="D110">
        <v>2019</v>
      </c>
      <c r="E110">
        <f t="shared" si="11"/>
        <v>45</v>
      </c>
      <c r="F110">
        <f t="shared" si="10"/>
        <v>114</v>
      </c>
      <c r="G110" t="s">
        <v>10</v>
      </c>
      <c r="H110" t="str">
        <f t="shared" si="6"/>
        <v>04</v>
      </c>
      <c r="I110" t="str">
        <f t="shared" si="7"/>
        <v>a</v>
      </c>
      <c r="J110" t="str">
        <f t="shared" si="9"/>
        <v>Line</v>
      </c>
      <c r="K110">
        <v>4613893.6579999998</v>
      </c>
      <c r="L110">
        <v>413805.10600000003</v>
      </c>
      <c r="M110">
        <v>0.60099999999999998</v>
      </c>
      <c r="AF110" s="1"/>
      <c r="AH110" s="1"/>
      <c r="AJ110" s="1"/>
    </row>
    <row r="111" spans="1:36" x14ac:dyDescent="0.25">
      <c r="A111" t="s">
        <v>37</v>
      </c>
      <c r="B111">
        <v>15</v>
      </c>
      <c r="C111" t="s">
        <v>38</v>
      </c>
      <c r="D111">
        <v>2019</v>
      </c>
      <c r="E111">
        <f t="shared" si="11"/>
        <v>45</v>
      </c>
      <c r="F111">
        <f t="shared" si="10"/>
        <v>115</v>
      </c>
      <c r="G111" t="s">
        <v>10</v>
      </c>
      <c r="H111" t="str">
        <f t="shared" si="6"/>
        <v>04</v>
      </c>
      <c r="I111" t="str">
        <f t="shared" si="7"/>
        <v>a</v>
      </c>
      <c r="J111" t="str">
        <f t="shared" si="9"/>
        <v>Line</v>
      </c>
      <c r="K111">
        <v>4613891.4460000005</v>
      </c>
      <c r="L111">
        <v>413794.38500000001</v>
      </c>
      <c r="M111">
        <v>0.58099999999999996</v>
      </c>
      <c r="AF111" s="1"/>
      <c r="AH111" s="1"/>
      <c r="AJ111" s="1"/>
    </row>
    <row r="112" spans="1:36" x14ac:dyDescent="0.25">
      <c r="A112" t="s">
        <v>37</v>
      </c>
      <c r="B112">
        <v>15</v>
      </c>
      <c r="C112" t="s">
        <v>38</v>
      </c>
      <c r="D112">
        <v>2019</v>
      </c>
      <c r="E112">
        <f>IF(G112=G111,E111,E111+1)</f>
        <v>46</v>
      </c>
      <c r="F112">
        <f t="shared" si="10"/>
        <v>116</v>
      </c>
      <c r="G112" t="s">
        <v>12</v>
      </c>
      <c r="H112" t="str">
        <f t="shared" si="6"/>
        <v>03</v>
      </c>
      <c r="I112" t="str">
        <f t="shared" si="7"/>
        <v>a</v>
      </c>
      <c r="J112" t="str">
        <f t="shared" si="9"/>
        <v>Line</v>
      </c>
      <c r="K112">
        <v>4613890.9479999999</v>
      </c>
      <c r="L112">
        <v>413792.42099999997</v>
      </c>
      <c r="M112">
        <v>0.58899999999999997</v>
      </c>
      <c r="AF112" s="1"/>
      <c r="AH112" s="1"/>
      <c r="AJ112" s="1"/>
    </row>
    <row r="113" spans="1:36" x14ac:dyDescent="0.25">
      <c r="A113" t="s">
        <v>37</v>
      </c>
      <c r="B113">
        <v>15</v>
      </c>
      <c r="C113" t="s">
        <v>38</v>
      </c>
      <c r="D113">
        <v>2019</v>
      </c>
      <c r="E113">
        <f>IF(G113=G112,E112,E112+1)</f>
        <v>46</v>
      </c>
      <c r="F113">
        <f t="shared" si="10"/>
        <v>117</v>
      </c>
      <c r="G113" t="s">
        <v>12</v>
      </c>
      <c r="H113" t="str">
        <f t="shared" si="6"/>
        <v>03</v>
      </c>
      <c r="I113" t="str">
        <f t="shared" si="7"/>
        <v>a</v>
      </c>
      <c r="J113" t="str">
        <f t="shared" si="9"/>
        <v>Line</v>
      </c>
      <c r="K113">
        <v>4613890.818</v>
      </c>
      <c r="L113">
        <v>413792.80499999999</v>
      </c>
      <c r="M113">
        <v>0.58599999999999997</v>
      </c>
      <c r="AF113" s="1"/>
      <c r="AH113" s="1"/>
      <c r="AJ113" s="1"/>
    </row>
    <row r="114" spans="1:36" x14ac:dyDescent="0.25">
      <c r="A114" t="s">
        <v>37</v>
      </c>
      <c r="B114">
        <v>15</v>
      </c>
      <c r="C114" t="s">
        <v>38</v>
      </c>
      <c r="D114">
        <v>2019</v>
      </c>
      <c r="E114">
        <f>IF(G114=G113,E113,E113+1)</f>
        <v>46</v>
      </c>
      <c r="F114">
        <f t="shared" si="10"/>
        <v>118</v>
      </c>
      <c r="G114" t="s">
        <v>12</v>
      </c>
      <c r="H114" t="str">
        <f t="shared" si="6"/>
        <v>03</v>
      </c>
      <c r="I114" t="str">
        <f t="shared" si="7"/>
        <v>a</v>
      </c>
      <c r="J114" t="str">
        <f t="shared" si="9"/>
        <v>Line</v>
      </c>
      <c r="K114">
        <v>4613897.5930000003</v>
      </c>
      <c r="L114">
        <v>413791.71100000001</v>
      </c>
      <c r="M114">
        <v>0.60199999999999998</v>
      </c>
      <c r="AF114" s="1"/>
      <c r="AH114" s="1"/>
      <c r="AJ114" s="1"/>
    </row>
    <row r="115" spans="1:36" x14ac:dyDescent="0.25">
      <c r="A115" t="s">
        <v>37</v>
      </c>
      <c r="B115">
        <v>15</v>
      </c>
      <c r="C115" t="s">
        <v>38</v>
      </c>
      <c r="D115">
        <v>2019</v>
      </c>
      <c r="E115">
        <f t="shared" ref="E115:E116" si="12">IF(G115=G114,E114,E114+1)</f>
        <v>47</v>
      </c>
      <c r="F115">
        <f t="shared" si="10"/>
        <v>119</v>
      </c>
      <c r="G115" t="s">
        <v>23</v>
      </c>
      <c r="H115" t="str">
        <f t="shared" si="6"/>
        <v>11</v>
      </c>
      <c r="I115" t="str">
        <f t="shared" si="7"/>
        <v>a</v>
      </c>
      <c r="J115" t="str">
        <f t="shared" si="9"/>
        <v>Line</v>
      </c>
      <c r="K115">
        <v>4613898.8</v>
      </c>
      <c r="L115">
        <v>413791.44199999998</v>
      </c>
      <c r="M115">
        <v>0.54800000000000004</v>
      </c>
      <c r="AF115" s="1"/>
      <c r="AH115" s="1"/>
      <c r="AJ115" s="1"/>
    </row>
    <row r="116" spans="1:36" x14ac:dyDescent="0.25">
      <c r="A116" t="s">
        <v>37</v>
      </c>
      <c r="B116">
        <v>15</v>
      </c>
      <c r="C116" t="s">
        <v>38</v>
      </c>
      <c r="D116">
        <v>2019</v>
      </c>
      <c r="E116">
        <f t="shared" si="12"/>
        <v>47</v>
      </c>
      <c r="F116">
        <f t="shared" si="10"/>
        <v>120</v>
      </c>
      <c r="G116" t="s">
        <v>23</v>
      </c>
      <c r="H116" t="str">
        <f t="shared" si="6"/>
        <v>11</v>
      </c>
      <c r="I116" t="str">
        <f t="shared" si="7"/>
        <v>a</v>
      </c>
      <c r="J116" t="str">
        <f t="shared" si="9"/>
        <v>Line</v>
      </c>
      <c r="K116">
        <v>4613902.2369999997</v>
      </c>
      <c r="L116">
        <v>413790.68400000001</v>
      </c>
      <c r="M116">
        <v>0.45300000000000001</v>
      </c>
      <c r="AF116" s="1"/>
      <c r="AH116" s="1"/>
      <c r="AJ116" s="1"/>
    </row>
    <row r="117" spans="1:36" x14ac:dyDescent="0.25">
      <c r="A117" t="s">
        <v>37</v>
      </c>
      <c r="B117">
        <v>15</v>
      </c>
      <c r="C117" t="s">
        <v>38</v>
      </c>
      <c r="D117">
        <v>2019</v>
      </c>
      <c r="E117">
        <v>48</v>
      </c>
      <c r="F117">
        <f t="shared" si="10"/>
        <v>121</v>
      </c>
      <c r="G117" t="s">
        <v>24</v>
      </c>
      <c r="H117" t="str">
        <f t="shared" si="6"/>
        <v>12</v>
      </c>
      <c r="I117" t="str">
        <f t="shared" si="7"/>
        <v>a</v>
      </c>
      <c r="J117" t="s">
        <v>42</v>
      </c>
      <c r="K117">
        <v>4613904.0109999999</v>
      </c>
      <c r="L117">
        <v>413790.902</v>
      </c>
      <c r="M117">
        <v>0.51700000000000002</v>
      </c>
      <c r="AF117" s="1"/>
      <c r="AH117" s="1"/>
      <c r="AJ117" s="1"/>
    </row>
    <row r="118" spans="1:36" x14ac:dyDescent="0.25">
      <c r="A118" t="s">
        <v>37</v>
      </c>
      <c r="B118">
        <v>15</v>
      </c>
      <c r="C118" t="s">
        <v>38</v>
      </c>
      <c r="D118">
        <v>2019</v>
      </c>
      <c r="E118">
        <v>48</v>
      </c>
      <c r="F118">
        <f t="shared" si="10"/>
        <v>122</v>
      </c>
      <c r="G118" t="s">
        <v>24</v>
      </c>
      <c r="H118" t="str">
        <f t="shared" si="6"/>
        <v>12</v>
      </c>
      <c r="I118" t="str">
        <f t="shared" si="7"/>
        <v>a</v>
      </c>
      <c r="J118" t="s">
        <v>42</v>
      </c>
      <c r="K118">
        <v>4613900.4939999999</v>
      </c>
      <c r="L118">
        <v>413794.86599999998</v>
      </c>
      <c r="M118">
        <v>0.59899999999999998</v>
      </c>
      <c r="AF118" s="1"/>
      <c r="AH118" s="1"/>
      <c r="AJ118" s="1"/>
    </row>
    <row r="119" spans="1:36" x14ac:dyDescent="0.25">
      <c r="A119" t="s">
        <v>37</v>
      </c>
      <c r="B119">
        <v>15</v>
      </c>
      <c r="C119" t="s">
        <v>38</v>
      </c>
      <c r="D119">
        <v>2019</v>
      </c>
      <c r="E119">
        <v>48</v>
      </c>
      <c r="F119">
        <f t="shared" si="10"/>
        <v>123</v>
      </c>
      <c r="G119" t="s">
        <v>24</v>
      </c>
      <c r="H119" t="str">
        <f t="shared" si="6"/>
        <v>12</v>
      </c>
      <c r="I119" t="str">
        <f t="shared" si="7"/>
        <v>a</v>
      </c>
      <c r="J119" t="s">
        <v>42</v>
      </c>
      <c r="K119">
        <v>4613902.1940000001</v>
      </c>
      <c r="L119">
        <v>413799.39299999998</v>
      </c>
      <c r="M119">
        <v>0.60199999999999998</v>
      </c>
      <c r="AF119" s="1"/>
      <c r="AH119" s="1"/>
      <c r="AJ119" s="1"/>
    </row>
    <row r="120" spans="1:36" x14ac:dyDescent="0.25">
      <c r="A120" t="s">
        <v>37</v>
      </c>
      <c r="B120">
        <v>15</v>
      </c>
      <c r="C120" t="s">
        <v>38</v>
      </c>
      <c r="D120">
        <v>2019</v>
      </c>
      <c r="E120">
        <v>48</v>
      </c>
      <c r="F120">
        <f t="shared" si="10"/>
        <v>124</v>
      </c>
      <c r="G120" t="s">
        <v>24</v>
      </c>
      <c r="H120" t="str">
        <f t="shared" si="6"/>
        <v>12</v>
      </c>
      <c r="I120" t="str">
        <f t="shared" si="7"/>
        <v>a</v>
      </c>
      <c r="J120" t="s">
        <v>42</v>
      </c>
      <c r="K120">
        <v>4613903.5</v>
      </c>
      <c r="L120">
        <v>413802.777</v>
      </c>
      <c r="M120">
        <v>0.60499999999999998</v>
      </c>
      <c r="AF120" s="1"/>
      <c r="AH120" s="1"/>
      <c r="AJ120" s="1"/>
    </row>
    <row r="121" spans="1:36" x14ac:dyDescent="0.25">
      <c r="A121" t="s">
        <v>37</v>
      </c>
      <c r="B121">
        <v>15</v>
      </c>
      <c r="C121" t="s">
        <v>38</v>
      </c>
      <c r="D121">
        <v>2019</v>
      </c>
      <c r="E121">
        <v>48</v>
      </c>
      <c r="F121">
        <f t="shared" si="10"/>
        <v>125</v>
      </c>
      <c r="G121" t="s">
        <v>24</v>
      </c>
      <c r="H121" t="str">
        <f t="shared" si="6"/>
        <v>12</v>
      </c>
      <c r="I121" t="str">
        <f t="shared" si="7"/>
        <v>a</v>
      </c>
      <c r="J121" t="s">
        <v>42</v>
      </c>
      <c r="K121">
        <v>4613905.67</v>
      </c>
      <c r="L121">
        <v>413802.505</v>
      </c>
      <c r="M121">
        <v>0.45900000000000002</v>
      </c>
      <c r="AF121" s="1"/>
      <c r="AH121" s="1"/>
      <c r="AJ121" s="1"/>
    </row>
    <row r="122" spans="1:36" x14ac:dyDescent="0.25">
      <c r="A122" t="s">
        <v>37</v>
      </c>
      <c r="B122">
        <v>15</v>
      </c>
      <c r="C122" t="s">
        <v>38</v>
      </c>
      <c r="D122">
        <v>2019</v>
      </c>
      <c r="E122">
        <v>49</v>
      </c>
      <c r="F122">
        <f t="shared" si="10"/>
        <v>126</v>
      </c>
      <c r="G122" t="s">
        <v>23</v>
      </c>
      <c r="H122" t="str">
        <f t="shared" si="6"/>
        <v>11</v>
      </c>
      <c r="I122" t="str">
        <f t="shared" si="7"/>
        <v>a</v>
      </c>
      <c r="J122" t="s">
        <v>42</v>
      </c>
      <c r="K122">
        <v>4613904.9939999999</v>
      </c>
      <c r="L122">
        <v>413804.38299999997</v>
      </c>
      <c r="M122">
        <v>0.46</v>
      </c>
      <c r="AF122" s="1"/>
      <c r="AH122" s="1"/>
      <c r="AJ122" s="1"/>
    </row>
    <row r="123" spans="1:36" x14ac:dyDescent="0.25">
      <c r="A123" t="s">
        <v>37</v>
      </c>
      <c r="B123">
        <v>15</v>
      </c>
      <c r="C123" t="s">
        <v>38</v>
      </c>
      <c r="D123">
        <v>2019</v>
      </c>
      <c r="E123">
        <v>49</v>
      </c>
      <c r="F123">
        <f t="shared" si="10"/>
        <v>127</v>
      </c>
      <c r="G123" t="s">
        <v>23</v>
      </c>
      <c r="H123" t="str">
        <f t="shared" si="6"/>
        <v>11</v>
      </c>
      <c r="I123" t="str">
        <f t="shared" si="7"/>
        <v>a</v>
      </c>
      <c r="J123" t="s">
        <v>42</v>
      </c>
      <c r="K123">
        <v>4613903.3109999998</v>
      </c>
      <c r="L123">
        <v>413804.55300000001</v>
      </c>
      <c r="M123">
        <v>0.53200000000000003</v>
      </c>
      <c r="AF123" s="1"/>
      <c r="AH123" s="1"/>
      <c r="AJ123" s="1"/>
    </row>
    <row r="124" spans="1:36" x14ac:dyDescent="0.25">
      <c r="A124" t="s">
        <v>37</v>
      </c>
      <c r="B124">
        <v>15</v>
      </c>
      <c r="C124" t="s">
        <v>38</v>
      </c>
      <c r="D124">
        <v>2019</v>
      </c>
      <c r="E124">
        <v>49</v>
      </c>
      <c r="F124">
        <f t="shared" si="10"/>
        <v>128</v>
      </c>
      <c r="G124" t="s">
        <v>23</v>
      </c>
      <c r="H124" t="str">
        <f t="shared" si="6"/>
        <v>11</v>
      </c>
      <c r="I124" t="str">
        <f t="shared" si="7"/>
        <v>a</v>
      </c>
      <c r="J124" t="s">
        <v>42</v>
      </c>
      <c r="K124">
        <v>4613904.3870000001</v>
      </c>
      <c r="L124">
        <v>413808.34700000001</v>
      </c>
      <c r="M124">
        <v>0.48299999999999998</v>
      </c>
      <c r="AF124" s="1"/>
      <c r="AH124" s="1"/>
      <c r="AJ124" s="1"/>
    </row>
    <row r="125" spans="1:36" x14ac:dyDescent="0.25">
      <c r="A125" t="s">
        <v>37</v>
      </c>
      <c r="B125">
        <v>15</v>
      </c>
      <c r="C125" t="s">
        <v>38</v>
      </c>
      <c r="D125">
        <v>2019</v>
      </c>
      <c r="E125">
        <v>49</v>
      </c>
      <c r="F125">
        <f t="shared" si="10"/>
        <v>129</v>
      </c>
      <c r="G125" t="s">
        <v>23</v>
      </c>
      <c r="H125" t="str">
        <f t="shared" si="6"/>
        <v>11</v>
      </c>
      <c r="I125" t="str">
        <f t="shared" si="7"/>
        <v>a</v>
      </c>
      <c r="J125" t="s">
        <v>42</v>
      </c>
      <c r="K125">
        <v>4613905.2139999997</v>
      </c>
      <c r="L125">
        <v>413812.62599999999</v>
      </c>
      <c r="M125">
        <v>0.40699999999999997</v>
      </c>
      <c r="AF125" s="1"/>
      <c r="AH125" s="1"/>
      <c r="AJ125" s="1"/>
    </row>
    <row r="126" spans="1:36" x14ac:dyDescent="0.25">
      <c r="A126" t="s">
        <v>37</v>
      </c>
      <c r="B126">
        <v>15</v>
      </c>
      <c r="C126" t="s">
        <v>38</v>
      </c>
      <c r="D126">
        <v>2019</v>
      </c>
      <c r="E126">
        <v>49</v>
      </c>
      <c r="F126">
        <f t="shared" si="10"/>
        <v>130</v>
      </c>
      <c r="G126" t="s">
        <v>23</v>
      </c>
      <c r="H126" t="str">
        <f t="shared" si="6"/>
        <v>11</v>
      </c>
      <c r="I126" t="str">
        <f t="shared" si="7"/>
        <v>a</v>
      </c>
      <c r="J126" t="s">
        <v>42</v>
      </c>
      <c r="K126">
        <v>4613906.3640000001</v>
      </c>
      <c r="L126">
        <v>413813.67099999997</v>
      </c>
      <c r="M126">
        <v>0.36799999999999999</v>
      </c>
      <c r="AF126" s="1"/>
      <c r="AH126" s="1"/>
      <c r="AJ126" s="1"/>
    </row>
    <row r="127" spans="1:36" x14ac:dyDescent="0.25">
      <c r="A127" t="s">
        <v>37</v>
      </c>
      <c r="B127">
        <v>15</v>
      </c>
      <c r="C127" t="s">
        <v>38</v>
      </c>
      <c r="D127">
        <v>2019</v>
      </c>
      <c r="E127">
        <v>50</v>
      </c>
      <c r="F127">
        <v>133</v>
      </c>
      <c r="G127" t="s">
        <v>24</v>
      </c>
      <c r="H127" t="str">
        <f t="shared" si="6"/>
        <v>12</v>
      </c>
      <c r="I127" t="str">
        <f t="shared" si="7"/>
        <v>a</v>
      </c>
      <c r="J127" t="s">
        <v>42</v>
      </c>
      <c r="K127">
        <v>4613897.2170000002</v>
      </c>
      <c r="L127">
        <v>413782.603</v>
      </c>
      <c r="M127">
        <v>0.626</v>
      </c>
      <c r="AF127" s="1"/>
      <c r="AH127" s="1"/>
      <c r="AJ127" s="1"/>
    </row>
    <row r="128" spans="1:36" x14ac:dyDescent="0.25">
      <c r="A128" t="s">
        <v>37</v>
      </c>
      <c r="B128">
        <v>15</v>
      </c>
      <c r="C128" t="s">
        <v>38</v>
      </c>
      <c r="D128">
        <v>2019</v>
      </c>
      <c r="E128">
        <v>50</v>
      </c>
      <c r="F128">
        <v>134</v>
      </c>
      <c r="G128" t="s">
        <v>24</v>
      </c>
      <c r="H128" t="str">
        <f t="shared" si="6"/>
        <v>12</v>
      </c>
      <c r="I128" t="str">
        <f t="shared" si="7"/>
        <v>a</v>
      </c>
      <c r="J128" t="s">
        <v>42</v>
      </c>
      <c r="K128">
        <v>4613893.6169999996</v>
      </c>
      <c r="L128">
        <v>413777.26699999999</v>
      </c>
      <c r="M128">
        <v>0.68</v>
      </c>
      <c r="AF128" s="1"/>
      <c r="AH128" s="1"/>
      <c r="AJ128" s="1"/>
    </row>
    <row r="129" spans="1:36" x14ac:dyDescent="0.25">
      <c r="A129" t="s">
        <v>37</v>
      </c>
      <c r="B129">
        <v>15</v>
      </c>
      <c r="C129" t="s">
        <v>38</v>
      </c>
      <c r="D129">
        <v>2019</v>
      </c>
      <c r="E129">
        <v>50</v>
      </c>
      <c r="F129">
        <v>135</v>
      </c>
      <c r="G129" t="s">
        <v>24</v>
      </c>
      <c r="H129" t="str">
        <f t="shared" si="6"/>
        <v>12</v>
      </c>
      <c r="I129" t="str">
        <f t="shared" si="7"/>
        <v>a</v>
      </c>
      <c r="J129" t="s">
        <v>42</v>
      </c>
      <c r="K129">
        <v>4613889.9589999998</v>
      </c>
      <c r="L129">
        <v>413775.69300000003</v>
      </c>
      <c r="M129">
        <v>0.63400000000000001</v>
      </c>
      <c r="AF129" s="1"/>
      <c r="AH129" s="1"/>
      <c r="AJ129" s="1"/>
    </row>
    <row r="130" spans="1:36" x14ac:dyDescent="0.25">
      <c r="A130" t="s">
        <v>37</v>
      </c>
      <c r="B130">
        <v>15</v>
      </c>
      <c r="C130" t="s">
        <v>38</v>
      </c>
      <c r="D130">
        <v>2019</v>
      </c>
      <c r="E130">
        <v>50</v>
      </c>
      <c r="F130">
        <v>136</v>
      </c>
      <c r="G130" t="s">
        <v>24</v>
      </c>
      <c r="H130" t="str">
        <f t="shared" ref="H130:H193" si="13">LEFT(G130,2)</f>
        <v>12</v>
      </c>
      <c r="I130" t="str">
        <f t="shared" ref="I130:I193" si="14">RIGHT(G130,LEN(G130)-LEN(H130))</f>
        <v>a</v>
      </c>
      <c r="J130" t="s">
        <v>42</v>
      </c>
      <c r="K130">
        <v>4613886.676</v>
      </c>
      <c r="L130">
        <v>413771.37699999998</v>
      </c>
      <c r="M130">
        <v>0.60899999999999999</v>
      </c>
      <c r="AF130" s="1"/>
      <c r="AH130" s="1"/>
      <c r="AJ130" s="1"/>
    </row>
    <row r="131" spans="1:36" x14ac:dyDescent="0.25">
      <c r="A131" t="s">
        <v>37</v>
      </c>
      <c r="B131">
        <v>15</v>
      </c>
      <c r="C131" t="s">
        <v>38</v>
      </c>
      <c r="D131">
        <v>2019</v>
      </c>
      <c r="E131">
        <v>50</v>
      </c>
      <c r="F131">
        <v>137</v>
      </c>
      <c r="G131" t="s">
        <v>24</v>
      </c>
      <c r="H131" t="str">
        <f t="shared" si="13"/>
        <v>12</v>
      </c>
      <c r="I131" t="str">
        <f t="shared" si="14"/>
        <v>a</v>
      </c>
      <c r="J131" t="s">
        <v>42</v>
      </c>
      <c r="K131">
        <v>4613883.7039999999</v>
      </c>
      <c r="L131">
        <v>413770.18300000002</v>
      </c>
      <c r="M131">
        <v>0.66500000000000004</v>
      </c>
      <c r="AF131" s="1"/>
      <c r="AH131" s="1"/>
      <c r="AJ131" s="1"/>
    </row>
    <row r="132" spans="1:36" x14ac:dyDescent="0.25">
      <c r="A132" t="s">
        <v>37</v>
      </c>
      <c r="B132">
        <v>15</v>
      </c>
      <c r="C132" t="s">
        <v>38</v>
      </c>
      <c r="D132">
        <v>2019</v>
      </c>
      <c r="E132">
        <v>50</v>
      </c>
      <c r="F132">
        <v>138</v>
      </c>
      <c r="G132" t="s">
        <v>24</v>
      </c>
      <c r="H132" t="str">
        <f t="shared" si="13"/>
        <v>12</v>
      </c>
      <c r="I132" t="str">
        <f t="shared" si="14"/>
        <v>a</v>
      </c>
      <c r="J132" t="s">
        <v>42</v>
      </c>
      <c r="K132">
        <v>4613880.26</v>
      </c>
      <c r="L132">
        <v>413764.97200000001</v>
      </c>
      <c r="M132">
        <v>0.61899999999999999</v>
      </c>
      <c r="AF132" s="1"/>
      <c r="AH132" s="1"/>
      <c r="AJ132" s="1"/>
    </row>
    <row r="133" spans="1:36" x14ac:dyDescent="0.25">
      <c r="A133" t="s">
        <v>37</v>
      </c>
      <c r="B133">
        <v>15</v>
      </c>
      <c r="C133" t="s">
        <v>38</v>
      </c>
      <c r="D133">
        <v>2019</v>
      </c>
      <c r="E133">
        <v>50</v>
      </c>
      <c r="F133">
        <v>139</v>
      </c>
      <c r="G133" t="s">
        <v>24</v>
      </c>
      <c r="H133" t="str">
        <f t="shared" si="13"/>
        <v>12</v>
      </c>
      <c r="I133" t="str">
        <f t="shared" si="14"/>
        <v>a</v>
      </c>
      <c r="J133" t="s">
        <v>42</v>
      </c>
      <c r="K133">
        <v>4613877.5209999997</v>
      </c>
      <c r="L133">
        <v>413761.16</v>
      </c>
      <c r="M133">
        <v>0.67100000000000004</v>
      </c>
      <c r="AF133" s="1"/>
      <c r="AH133" s="1"/>
      <c r="AJ133" s="1"/>
    </row>
    <row r="134" spans="1:36" x14ac:dyDescent="0.25">
      <c r="A134" t="s">
        <v>37</v>
      </c>
      <c r="B134">
        <v>15</v>
      </c>
      <c r="C134" t="s">
        <v>38</v>
      </c>
      <c r="D134">
        <v>2019</v>
      </c>
      <c r="E134">
        <v>50</v>
      </c>
      <c r="F134">
        <v>140</v>
      </c>
      <c r="G134" t="s">
        <v>24</v>
      </c>
      <c r="H134" t="str">
        <f t="shared" si="13"/>
        <v>12</v>
      </c>
      <c r="I134" t="str">
        <f t="shared" si="14"/>
        <v>a</v>
      </c>
      <c r="J134" t="s">
        <v>42</v>
      </c>
      <c r="K134">
        <v>4613875.5269999998</v>
      </c>
      <c r="L134">
        <v>413760.05099999998</v>
      </c>
      <c r="M134">
        <v>0.63800000000000001</v>
      </c>
      <c r="AF134" s="1"/>
      <c r="AH134" s="1"/>
      <c r="AJ134" s="1"/>
    </row>
    <row r="135" spans="1:36" x14ac:dyDescent="0.25">
      <c r="A135" t="s">
        <v>37</v>
      </c>
      <c r="B135">
        <v>15</v>
      </c>
      <c r="C135" t="s">
        <v>38</v>
      </c>
      <c r="D135">
        <v>2019</v>
      </c>
      <c r="E135">
        <v>50</v>
      </c>
      <c r="F135">
        <v>141</v>
      </c>
      <c r="G135" t="s">
        <v>24</v>
      </c>
      <c r="H135" t="str">
        <f t="shared" si="13"/>
        <v>12</v>
      </c>
      <c r="I135" t="str">
        <f t="shared" si="14"/>
        <v>a</v>
      </c>
      <c r="J135" t="s">
        <v>42</v>
      </c>
      <c r="K135">
        <v>4613877.8370000003</v>
      </c>
      <c r="L135">
        <v>413757.97200000001</v>
      </c>
      <c r="M135">
        <v>0.65100000000000002</v>
      </c>
      <c r="AF135" s="1"/>
      <c r="AH135" s="1"/>
      <c r="AJ135" s="1"/>
    </row>
    <row r="136" spans="1:36" x14ac:dyDescent="0.25">
      <c r="A136" t="s">
        <v>37</v>
      </c>
      <c r="B136">
        <v>15</v>
      </c>
      <c r="C136" t="s">
        <v>38</v>
      </c>
      <c r="D136">
        <v>2019</v>
      </c>
      <c r="E136">
        <v>50</v>
      </c>
      <c r="F136">
        <v>142</v>
      </c>
      <c r="G136" t="s">
        <v>24</v>
      </c>
      <c r="H136" t="str">
        <f t="shared" si="13"/>
        <v>12</v>
      </c>
      <c r="I136" t="str">
        <f t="shared" si="14"/>
        <v>a</v>
      </c>
      <c r="J136" t="s">
        <v>42</v>
      </c>
      <c r="K136">
        <v>4613877.3389999997</v>
      </c>
      <c r="L136">
        <v>413754.67200000002</v>
      </c>
      <c r="M136">
        <v>0.63</v>
      </c>
      <c r="AF136" s="1"/>
      <c r="AH136" s="1"/>
      <c r="AJ136" s="1"/>
    </row>
    <row r="137" spans="1:36" x14ac:dyDescent="0.25">
      <c r="A137" t="s">
        <v>37</v>
      </c>
      <c r="B137">
        <v>15</v>
      </c>
      <c r="C137" t="s">
        <v>38</v>
      </c>
      <c r="D137">
        <v>2019</v>
      </c>
      <c r="E137">
        <v>50</v>
      </c>
      <c r="F137">
        <v>143</v>
      </c>
      <c r="G137" t="s">
        <v>24</v>
      </c>
      <c r="H137" t="str">
        <f t="shared" si="13"/>
        <v>12</v>
      </c>
      <c r="I137" t="str">
        <f t="shared" si="14"/>
        <v>a</v>
      </c>
      <c r="J137" t="s">
        <v>42</v>
      </c>
      <c r="K137">
        <v>4613875.5449999999</v>
      </c>
      <c r="L137">
        <v>413752.11700000003</v>
      </c>
      <c r="M137">
        <v>0.65</v>
      </c>
      <c r="AF137" s="1"/>
      <c r="AH137" s="1"/>
      <c r="AJ137" s="1"/>
    </row>
    <row r="138" spans="1:36" x14ac:dyDescent="0.25">
      <c r="A138" t="s">
        <v>37</v>
      </c>
      <c r="B138">
        <v>15</v>
      </c>
      <c r="C138" t="s">
        <v>38</v>
      </c>
      <c r="D138">
        <v>2019</v>
      </c>
      <c r="E138">
        <v>50</v>
      </c>
      <c r="F138">
        <v>144</v>
      </c>
      <c r="G138" t="s">
        <v>24</v>
      </c>
      <c r="H138" t="str">
        <f t="shared" si="13"/>
        <v>12</v>
      </c>
      <c r="I138" t="str">
        <f t="shared" si="14"/>
        <v>a</v>
      </c>
      <c r="J138" t="s">
        <v>42</v>
      </c>
      <c r="K138">
        <v>4613876.9230000004</v>
      </c>
      <c r="L138">
        <v>413751.95199999999</v>
      </c>
      <c r="M138">
        <v>0.61799999999999999</v>
      </c>
      <c r="AF138" s="1"/>
      <c r="AH138" s="1"/>
      <c r="AJ138" s="1"/>
    </row>
    <row r="139" spans="1:36" x14ac:dyDescent="0.25">
      <c r="A139" t="s">
        <v>37</v>
      </c>
      <c r="B139">
        <v>15</v>
      </c>
      <c r="C139" t="s">
        <v>38</v>
      </c>
      <c r="D139">
        <v>2019</v>
      </c>
      <c r="E139">
        <v>50</v>
      </c>
      <c r="F139">
        <v>145</v>
      </c>
      <c r="G139" t="s">
        <v>24</v>
      </c>
      <c r="H139" t="str">
        <f t="shared" si="13"/>
        <v>12</v>
      </c>
      <c r="I139" t="str">
        <f t="shared" si="14"/>
        <v>a</v>
      </c>
      <c r="J139" t="s">
        <v>42</v>
      </c>
      <c r="K139">
        <v>4613875.1289999997</v>
      </c>
      <c r="L139">
        <v>413748.15500000003</v>
      </c>
      <c r="M139">
        <v>0.67500000000000004</v>
      </c>
      <c r="AF139" s="1"/>
      <c r="AH139" s="1"/>
      <c r="AJ139" s="1"/>
    </row>
    <row r="140" spans="1:36" x14ac:dyDescent="0.25">
      <c r="A140" t="s">
        <v>37</v>
      </c>
      <c r="B140">
        <v>15</v>
      </c>
      <c r="C140" t="s">
        <v>38</v>
      </c>
      <c r="D140">
        <v>2019</v>
      </c>
      <c r="E140">
        <v>50</v>
      </c>
      <c r="F140">
        <v>146</v>
      </c>
      <c r="G140" t="s">
        <v>24</v>
      </c>
      <c r="H140" t="str">
        <f t="shared" si="13"/>
        <v>12</v>
      </c>
      <c r="I140" t="str">
        <f t="shared" si="14"/>
        <v>a</v>
      </c>
      <c r="J140" t="s">
        <v>42</v>
      </c>
      <c r="K140">
        <v>4613873.6370000001</v>
      </c>
      <c r="L140">
        <v>413746.09499999997</v>
      </c>
      <c r="M140">
        <v>0.64400000000000002</v>
      </c>
      <c r="AF140" s="1"/>
      <c r="AH140" s="1"/>
      <c r="AJ140" s="1"/>
    </row>
    <row r="141" spans="1:36" x14ac:dyDescent="0.25">
      <c r="A141" t="s">
        <v>37</v>
      </c>
      <c r="B141">
        <v>15</v>
      </c>
      <c r="C141" t="s">
        <v>38</v>
      </c>
      <c r="D141">
        <v>2019</v>
      </c>
      <c r="E141">
        <v>50</v>
      </c>
      <c r="F141">
        <v>147</v>
      </c>
      <c r="G141" t="s">
        <v>24</v>
      </c>
      <c r="H141" t="str">
        <f t="shared" si="13"/>
        <v>12</v>
      </c>
      <c r="I141" t="str">
        <f t="shared" si="14"/>
        <v>a</v>
      </c>
      <c r="J141" t="s">
        <v>42</v>
      </c>
      <c r="K141">
        <v>4613870.5990000004</v>
      </c>
      <c r="L141">
        <v>413744.82</v>
      </c>
      <c r="M141">
        <v>0.63500000000000001</v>
      </c>
      <c r="AF141" s="1"/>
      <c r="AH141" s="1"/>
      <c r="AJ141" s="1"/>
    </row>
    <row r="142" spans="1:36" x14ac:dyDescent="0.25">
      <c r="A142" t="s">
        <v>37</v>
      </c>
      <c r="B142">
        <v>15</v>
      </c>
      <c r="C142" t="s">
        <v>38</v>
      </c>
      <c r="D142">
        <v>2019</v>
      </c>
      <c r="E142">
        <v>50</v>
      </c>
      <c r="F142">
        <v>148</v>
      </c>
      <c r="G142" t="s">
        <v>24</v>
      </c>
      <c r="H142" t="str">
        <f t="shared" si="13"/>
        <v>12</v>
      </c>
      <c r="I142" t="str">
        <f t="shared" si="14"/>
        <v>a</v>
      </c>
      <c r="J142" t="s">
        <v>42</v>
      </c>
      <c r="K142">
        <v>4613871.0199999996</v>
      </c>
      <c r="L142">
        <v>413742.97499999998</v>
      </c>
      <c r="M142">
        <v>0.60399999999999998</v>
      </c>
      <c r="AF142" s="1"/>
      <c r="AH142" s="1"/>
      <c r="AJ142" s="1"/>
    </row>
    <row r="143" spans="1:36" x14ac:dyDescent="0.25">
      <c r="A143" t="s">
        <v>37</v>
      </c>
      <c r="B143">
        <v>15</v>
      </c>
      <c r="C143" t="s">
        <v>38</v>
      </c>
      <c r="D143">
        <v>2019</v>
      </c>
      <c r="E143">
        <v>50</v>
      </c>
      <c r="F143">
        <v>149</v>
      </c>
      <c r="G143" t="s">
        <v>24</v>
      </c>
      <c r="H143" t="str">
        <f t="shared" si="13"/>
        <v>12</v>
      </c>
      <c r="I143" t="str">
        <f t="shared" si="14"/>
        <v>a</v>
      </c>
      <c r="J143" t="s">
        <v>42</v>
      </c>
      <c r="K143">
        <v>4613878.6500000004</v>
      </c>
      <c r="L143">
        <v>413742.30200000003</v>
      </c>
      <c r="M143">
        <v>0.629</v>
      </c>
      <c r="AF143" s="1"/>
      <c r="AH143" s="1"/>
      <c r="AJ143" s="1"/>
    </row>
    <row r="144" spans="1:36" x14ac:dyDescent="0.25">
      <c r="A144" t="s">
        <v>37</v>
      </c>
      <c r="B144">
        <v>15</v>
      </c>
      <c r="C144" t="s">
        <v>38</v>
      </c>
      <c r="D144">
        <v>2019</v>
      </c>
      <c r="E144">
        <v>50</v>
      </c>
      <c r="F144">
        <v>150</v>
      </c>
      <c r="G144" t="s">
        <v>24</v>
      </c>
      <c r="H144" t="str">
        <f t="shared" si="13"/>
        <v>12</v>
      </c>
      <c r="I144" t="str">
        <f t="shared" si="14"/>
        <v>a</v>
      </c>
      <c r="J144" t="s">
        <v>42</v>
      </c>
      <c r="K144">
        <v>4613887.7860000003</v>
      </c>
      <c r="L144">
        <v>413744.859</v>
      </c>
      <c r="M144">
        <v>0.72599999999999998</v>
      </c>
      <c r="AF144" s="1"/>
      <c r="AH144" s="1"/>
      <c r="AJ144" s="1"/>
    </row>
    <row r="145" spans="1:36" x14ac:dyDescent="0.25">
      <c r="A145" t="s">
        <v>37</v>
      </c>
      <c r="B145">
        <v>15</v>
      </c>
      <c r="C145" t="s">
        <v>38</v>
      </c>
      <c r="D145">
        <v>2019</v>
      </c>
      <c r="E145">
        <v>51</v>
      </c>
      <c r="F145">
        <v>151</v>
      </c>
      <c r="G145" t="s">
        <v>23</v>
      </c>
      <c r="H145" t="str">
        <f t="shared" si="13"/>
        <v>11</v>
      </c>
      <c r="I145" t="str">
        <f t="shared" si="14"/>
        <v>a</v>
      </c>
      <c r="J145" t="str">
        <f t="shared" ref="J145:J208" si="15">IF(OR((E145=E146),(E145=E144)),"Line","MU")</f>
        <v>MU</v>
      </c>
      <c r="K145">
        <v>4613887.4730000002</v>
      </c>
      <c r="L145">
        <v>413743.85100000002</v>
      </c>
      <c r="M145">
        <v>0.72699999999999998</v>
      </c>
      <c r="AF145" s="1"/>
      <c r="AH145" s="1"/>
      <c r="AJ145" s="1"/>
    </row>
    <row r="146" spans="1:36" x14ac:dyDescent="0.25">
      <c r="A146" t="s">
        <v>37</v>
      </c>
      <c r="B146">
        <v>15</v>
      </c>
      <c r="C146" t="s">
        <v>38</v>
      </c>
      <c r="D146">
        <v>2019</v>
      </c>
      <c r="E146">
        <v>52</v>
      </c>
      <c r="F146">
        <v>152</v>
      </c>
      <c r="G146" t="s">
        <v>23</v>
      </c>
      <c r="H146" t="str">
        <f t="shared" si="13"/>
        <v>11</v>
      </c>
      <c r="I146" t="str">
        <f t="shared" si="14"/>
        <v>a</v>
      </c>
      <c r="J146" t="str">
        <f t="shared" si="15"/>
        <v>Line</v>
      </c>
      <c r="K146">
        <v>4613888.5779999997</v>
      </c>
      <c r="L146">
        <v>413705.06300000002</v>
      </c>
      <c r="M146">
        <v>0.45500000000000002</v>
      </c>
      <c r="AF146" s="1"/>
      <c r="AH146" s="1"/>
      <c r="AJ146" s="1"/>
    </row>
    <row r="147" spans="1:36" x14ac:dyDescent="0.25">
      <c r="A147" t="s">
        <v>37</v>
      </c>
      <c r="B147">
        <v>15</v>
      </c>
      <c r="C147" t="s">
        <v>38</v>
      </c>
      <c r="D147">
        <v>2019</v>
      </c>
      <c r="E147">
        <f t="shared" ref="E147:E210" si="16">IF(G147=G146,E146,E146+1)</f>
        <v>52</v>
      </c>
      <c r="F147">
        <v>153</v>
      </c>
      <c r="G147" t="s">
        <v>23</v>
      </c>
      <c r="H147" t="str">
        <f t="shared" si="13"/>
        <v>11</v>
      </c>
      <c r="I147" t="str">
        <f t="shared" si="14"/>
        <v>a</v>
      </c>
      <c r="J147" t="str">
        <f t="shared" si="15"/>
        <v>Line</v>
      </c>
      <c r="K147">
        <v>4613883.057</v>
      </c>
      <c r="L147">
        <v>413708.80900000001</v>
      </c>
      <c r="M147">
        <v>0.53400000000000003</v>
      </c>
      <c r="AF147" s="1"/>
      <c r="AH147" s="1"/>
      <c r="AJ147" s="1"/>
    </row>
    <row r="148" spans="1:36" x14ac:dyDescent="0.25">
      <c r="A148" t="s">
        <v>37</v>
      </c>
      <c r="B148">
        <v>15</v>
      </c>
      <c r="C148" t="s">
        <v>38</v>
      </c>
      <c r="D148">
        <v>2019</v>
      </c>
      <c r="E148">
        <f t="shared" si="16"/>
        <v>53</v>
      </c>
      <c r="F148">
        <v>154</v>
      </c>
      <c r="G148" t="s">
        <v>12</v>
      </c>
      <c r="H148" t="str">
        <f t="shared" si="13"/>
        <v>03</v>
      </c>
      <c r="I148" t="str">
        <f t="shared" si="14"/>
        <v>a</v>
      </c>
      <c r="J148" t="str">
        <f t="shared" si="15"/>
        <v>MU</v>
      </c>
      <c r="K148">
        <v>4613881.33</v>
      </c>
      <c r="L148">
        <v>413709.755</v>
      </c>
      <c r="M148">
        <v>0.55000000000000004</v>
      </c>
      <c r="AF148" s="1"/>
      <c r="AH148" s="1"/>
      <c r="AJ148" s="1"/>
    </row>
    <row r="149" spans="1:36" x14ac:dyDescent="0.25">
      <c r="A149" t="s">
        <v>37</v>
      </c>
      <c r="B149">
        <v>15</v>
      </c>
      <c r="C149" t="s">
        <v>38</v>
      </c>
      <c r="D149">
        <v>2019</v>
      </c>
      <c r="E149">
        <f t="shared" si="16"/>
        <v>54</v>
      </c>
      <c r="F149">
        <v>155</v>
      </c>
      <c r="G149" t="s">
        <v>22</v>
      </c>
      <c r="H149" t="str">
        <f t="shared" si="13"/>
        <v>32</v>
      </c>
      <c r="I149" t="str">
        <f t="shared" si="14"/>
        <v>b</v>
      </c>
      <c r="J149" t="str">
        <f t="shared" si="15"/>
        <v>Line</v>
      </c>
      <c r="K149">
        <v>4613880.1509999996</v>
      </c>
      <c r="L149">
        <v>413711.50699999998</v>
      </c>
      <c r="M149">
        <v>0.60399999999999998</v>
      </c>
      <c r="AF149" s="1"/>
      <c r="AH149" s="1"/>
      <c r="AJ149" s="1"/>
    </row>
    <row r="150" spans="1:36" x14ac:dyDescent="0.25">
      <c r="A150" t="s">
        <v>37</v>
      </c>
      <c r="B150">
        <v>15</v>
      </c>
      <c r="C150" t="s">
        <v>38</v>
      </c>
      <c r="D150">
        <v>2019</v>
      </c>
      <c r="E150">
        <f t="shared" si="16"/>
        <v>54</v>
      </c>
      <c r="F150">
        <v>156</v>
      </c>
      <c r="G150" t="s">
        <v>22</v>
      </c>
      <c r="H150" t="str">
        <f t="shared" si="13"/>
        <v>32</v>
      </c>
      <c r="I150" t="str">
        <f t="shared" si="14"/>
        <v>b</v>
      </c>
      <c r="J150" t="str">
        <f t="shared" si="15"/>
        <v>Line</v>
      </c>
      <c r="K150">
        <v>4613878.949</v>
      </c>
      <c r="L150">
        <v>413715.42700000003</v>
      </c>
      <c r="M150">
        <v>0.67600000000000005</v>
      </c>
      <c r="AF150" s="1"/>
      <c r="AH150" s="1"/>
      <c r="AJ150" s="1"/>
    </row>
    <row r="151" spans="1:36" x14ac:dyDescent="0.25">
      <c r="A151" t="s">
        <v>37</v>
      </c>
      <c r="B151">
        <v>15</v>
      </c>
      <c r="C151" t="s">
        <v>38</v>
      </c>
      <c r="D151">
        <v>2019</v>
      </c>
      <c r="E151">
        <f t="shared" si="16"/>
        <v>55</v>
      </c>
      <c r="F151">
        <v>157</v>
      </c>
      <c r="G151" t="s">
        <v>14</v>
      </c>
      <c r="H151" t="str">
        <f t="shared" si="13"/>
        <v>03</v>
      </c>
      <c r="I151" t="str">
        <f t="shared" si="14"/>
        <v>b</v>
      </c>
      <c r="J151" t="str">
        <f t="shared" si="15"/>
        <v>Line</v>
      </c>
      <c r="K151">
        <v>4613878.9369999999</v>
      </c>
      <c r="L151">
        <v>413717.45</v>
      </c>
      <c r="M151">
        <v>0.66600000000000004</v>
      </c>
      <c r="AF151" s="1"/>
      <c r="AH151" s="1"/>
      <c r="AJ151" s="1"/>
    </row>
    <row r="152" spans="1:36" x14ac:dyDescent="0.25">
      <c r="A152" t="s">
        <v>37</v>
      </c>
      <c r="B152">
        <v>15</v>
      </c>
      <c r="C152" t="s">
        <v>38</v>
      </c>
      <c r="D152">
        <v>2019</v>
      </c>
      <c r="E152">
        <f t="shared" si="16"/>
        <v>55</v>
      </c>
      <c r="F152">
        <v>158</v>
      </c>
      <c r="G152" t="s">
        <v>14</v>
      </c>
      <c r="H152" t="str">
        <f t="shared" si="13"/>
        <v>03</v>
      </c>
      <c r="I152" t="str">
        <f t="shared" si="14"/>
        <v>b</v>
      </c>
      <c r="J152" t="str">
        <f t="shared" si="15"/>
        <v>Line</v>
      </c>
      <c r="K152">
        <v>4613878.8609999996</v>
      </c>
      <c r="L152">
        <v>413720.33500000002</v>
      </c>
      <c r="M152">
        <v>0.68500000000000005</v>
      </c>
      <c r="AF152" s="1"/>
      <c r="AH152" s="1"/>
      <c r="AJ152" s="1"/>
    </row>
    <row r="153" spans="1:36" x14ac:dyDescent="0.25">
      <c r="A153" t="s">
        <v>37</v>
      </c>
      <c r="B153">
        <v>15</v>
      </c>
      <c r="C153" t="s">
        <v>38</v>
      </c>
      <c r="D153">
        <v>2019</v>
      </c>
      <c r="E153">
        <f t="shared" si="16"/>
        <v>56</v>
      </c>
      <c r="F153">
        <v>159</v>
      </c>
      <c r="G153" t="s">
        <v>22</v>
      </c>
      <c r="H153" t="str">
        <f t="shared" si="13"/>
        <v>32</v>
      </c>
      <c r="I153" t="str">
        <f t="shared" si="14"/>
        <v>b</v>
      </c>
      <c r="J153" t="str">
        <f t="shared" si="15"/>
        <v>MU</v>
      </c>
      <c r="K153">
        <v>4613878.9639999997</v>
      </c>
      <c r="L153">
        <v>413722.33199999999</v>
      </c>
      <c r="M153">
        <v>0.64600000000000002</v>
      </c>
      <c r="AF153" s="1"/>
      <c r="AH153" s="1"/>
      <c r="AJ153" s="1"/>
    </row>
    <row r="154" spans="1:36" x14ac:dyDescent="0.25">
      <c r="A154" t="s">
        <v>37</v>
      </c>
      <c r="B154">
        <v>15</v>
      </c>
      <c r="C154" t="s">
        <v>38</v>
      </c>
      <c r="D154">
        <v>2019</v>
      </c>
      <c r="E154">
        <v>57</v>
      </c>
      <c r="F154">
        <v>160</v>
      </c>
      <c r="G154" t="s">
        <v>22</v>
      </c>
      <c r="H154" t="str">
        <f t="shared" si="13"/>
        <v>32</v>
      </c>
      <c r="I154" t="str">
        <f t="shared" si="14"/>
        <v>b</v>
      </c>
      <c r="J154" t="str">
        <f t="shared" si="15"/>
        <v>MU</v>
      </c>
      <c r="K154">
        <v>4613877.1859999998</v>
      </c>
      <c r="L154">
        <v>413731.39399999997</v>
      </c>
      <c r="M154">
        <v>0.64</v>
      </c>
      <c r="AF154" s="1"/>
      <c r="AH154" s="1"/>
      <c r="AJ154" s="1"/>
    </row>
    <row r="155" spans="1:36" x14ac:dyDescent="0.25">
      <c r="A155" t="s">
        <v>37</v>
      </c>
      <c r="B155">
        <v>15</v>
      </c>
      <c r="C155" t="s">
        <v>38</v>
      </c>
      <c r="D155">
        <v>2019</v>
      </c>
      <c r="E155">
        <f t="shared" si="16"/>
        <v>58</v>
      </c>
      <c r="F155">
        <v>161</v>
      </c>
      <c r="G155" t="s">
        <v>12</v>
      </c>
      <c r="H155" t="str">
        <f t="shared" si="13"/>
        <v>03</v>
      </c>
      <c r="I155" t="str">
        <f t="shared" si="14"/>
        <v>a</v>
      </c>
      <c r="J155" t="str">
        <f t="shared" si="15"/>
        <v>Line</v>
      </c>
      <c r="K155">
        <v>4613875.068</v>
      </c>
      <c r="L155">
        <v>413731.56900000002</v>
      </c>
      <c r="M155">
        <v>0.67500000000000004</v>
      </c>
      <c r="AF155" s="1"/>
      <c r="AH155" s="1"/>
      <c r="AJ155" s="1"/>
    </row>
    <row r="156" spans="1:36" x14ac:dyDescent="0.25">
      <c r="A156" t="s">
        <v>37</v>
      </c>
      <c r="B156">
        <v>15</v>
      </c>
      <c r="C156" t="s">
        <v>38</v>
      </c>
      <c r="D156">
        <v>2019</v>
      </c>
      <c r="E156">
        <f>IF(G156=G155,E155,E155+1)</f>
        <v>58</v>
      </c>
      <c r="F156">
        <v>162</v>
      </c>
      <c r="G156" t="s">
        <v>12</v>
      </c>
      <c r="H156" t="str">
        <f t="shared" si="13"/>
        <v>03</v>
      </c>
      <c r="I156" t="str">
        <f t="shared" si="14"/>
        <v>a</v>
      </c>
      <c r="J156" t="str">
        <f t="shared" si="15"/>
        <v>Line</v>
      </c>
      <c r="K156">
        <v>4613838.7060000002</v>
      </c>
      <c r="L156">
        <v>413735.95600000001</v>
      </c>
      <c r="M156">
        <v>0.307</v>
      </c>
      <c r="AF156" s="1"/>
      <c r="AH156" s="1"/>
      <c r="AJ156" s="1"/>
    </row>
    <row r="157" spans="1:36" x14ac:dyDescent="0.25">
      <c r="A157" t="s">
        <v>37</v>
      </c>
      <c r="B157">
        <v>15</v>
      </c>
      <c r="C157" t="s">
        <v>38</v>
      </c>
      <c r="D157">
        <v>2019</v>
      </c>
      <c r="E157">
        <f t="shared" si="16"/>
        <v>59</v>
      </c>
      <c r="F157">
        <v>163</v>
      </c>
      <c r="G157" t="s">
        <v>17</v>
      </c>
      <c r="H157" t="str">
        <f t="shared" si="13"/>
        <v>01</v>
      </c>
      <c r="I157" t="str">
        <f t="shared" si="14"/>
        <v>a</v>
      </c>
      <c r="J157" t="str">
        <f t="shared" si="15"/>
        <v>Line</v>
      </c>
      <c r="K157">
        <v>4613836.8909999998</v>
      </c>
      <c r="L157">
        <v>413736.745</v>
      </c>
      <c r="M157">
        <v>0.28299999999999997</v>
      </c>
      <c r="AF157" s="1"/>
      <c r="AH157" s="1"/>
      <c r="AJ157" s="1"/>
    </row>
    <row r="158" spans="1:36" x14ac:dyDescent="0.25">
      <c r="A158" t="s">
        <v>37</v>
      </c>
      <c r="B158">
        <v>15</v>
      </c>
      <c r="C158" t="s">
        <v>38</v>
      </c>
      <c r="D158">
        <v>2019</v>
      </c>
      <c r="E158">
        <f t="shared" si="16"/>
        <v>59</v>
      </c>
      <c r="F158">
        <v>164</v>
      </c>
      <c r="G158" t="s">
        <v>17</v>
      </c>
      <c r="H158" t="str">
        <f t="shared" si="13"/>
        <v>01</v>
      </c>
      <c r="I158" t="str">
        <f t="shared" si="14"/>
        <v>a</v>
      </c>
      <c r="J158" t="str">
        <f t="shared" si="15"/>
        <v>Line</v>
      </c>
      <c r="K158">
        <v>4613835.3329999996</v>
      </c>
      <c r="L158">
        <v>413737.27</v>
      </c>
      <c r="M158">
        <v>0.222</v>
      </c>
      <c r="AF158" s="1"/>
      <c r="AH158" s="1"/>
      <c r="AJ158" s="1"/>
    </row>
    <row r="159" spans="1:36" x14ac:dyDescent="0.25">
      <c r="A159" t="s">
        <v>37</v>
      </c>
      <c r="B159">
        <v>15</v>
      </c>
      <c r="C159" t="s">
        <v>38</v>
      </c>
      <c r="D159">
        <v>2019</v>
      </c>
      <c r="E159">
        <f t="shared" si="16"/>
        <v>59</v>
      </c>
      <c r="F159">
        <v>165</v>
      </c>
      <c r="G159" t="s">
        <v>17</v>
      </c>
      <c r="H159" t="str">
        <f t="shared" si="13"/>
        <v>01</v>
      </c>
      <c r="I159" t="str">
        <f t="shared" si="14"/>
        <v>a</v>
      </c>
      <c r="J159" t="str">
        <f t="shared" si="15"/>
        <v>Line</v>
      </c>
      <c r="K159">
        <v>4613827.3320000004</v>
      </c>
      <c r="L159">
        <v>413722.83100000001</v>
      </c>
      <c r="M159">
        <v>0.25</v>
      </c>
      <c r="AF159" s="1"/>
      <c r="AH159" s="1"/>
      <c r="AJ159" s="1"/>
    </row>
    <row r="160" spans="1:36" x14ac:dyDescent="0.25">
      <c r="A160" t="s">
        <v>37</v>
      </c>
      <c r="B160">
        <v>15</v>
      </c>
      <c r="C160" t="s">
        <v>38</v>
      </c>
      <c r="D160">
        <v>2019</v>
      </c>
      <c r="E160">
        <f t="shared" si="16"/>
        <v>59</v>
      </c>
      <c r="F160">
        <v>166</v>
      </c>
      <c r="G160" t="s">
        <v>17</v>
      </c>
      <c r="H160" t="str">
        <f t="shared" si="13"/>
        <v>01</v>
      </c>
      <c r="I160" t="str">
        <f t="shared" si="14"/>
        <v>a</v>
      </c>
      <c r="J160" t="str">
        <f t="shared" si="15"/>
        <v>Line</v>
      </c>
      <c r="K160">
        <v>4613829.62</v>
      </c>
      <c r="L160">
        <v>413720.087</v>
      </c>
      <c r="M160">
        <v>0.316</v>
      </c>
      <c r="AF160" s="1"/>
      <c r="AH160" s="1"/>
      <c r="AJ160" s="1"/>
    </row>
    <row r="161" spans="1:36" x14ac:dyDescent="0.25">
      <c r="A161" t="s">
        <v>37</v>
      </c>
      <c r="B161">
        <v>15</v>
      </c>
      <c r="C161" t="s">
        <v>38</v>
      </c>
      <c r="D161">
        <v>2019</v>
      </c>
      <c r="E161">
        <f t="shared" si="16"/>
        <v>59</v>
      </c>
      <c r="F161">
        <v>167</v>
      </c>
      <c r="G161" t="s">
        <v>17</v>
      </c>
      <c r="H161" t="str">
        <f t="shared" si="13"/>
        <v>01</v>
      </c>
      <c r="I161" t="str">
        <f t="shared" si="14"/>
        <v>a</v>
      </c>
      <c r="J161" t="str">
        <f t="shared" si="15"/>
        <v>Line</v>
      </c>
      <c r="K161">
        <v>4613813.6119999997</v>
      </c>
      <c r="L161">
        <v>413712.19</v>
      </c>
      <c r="M161">
        <v>0.29599999999999999</v>
      </c>
      <c r="AF161" s="1"/>
      <c r="AH161" s="1"/>
      <c r="AJ161" s="1"/>
    </row>
    <row r="162" spans="1:36" x14ac:dyDescent="0.25">
      <c r="A162" t="s">
        <v>37</v>
      </c>
      <c r="B162">
        <v>15</v>
      </c>
      <c r="C162" t="s">
        <v>38</v>
      </c>
      <c r="D162">
        <v>2019</v>
      </c>
      <c r="E162">
        <f t="shared" si="16"/>
        <v>59</v>
      </c>
      <c r="F162">
        <v>168</v>
      </c>
      <c r="G162" t="s">
        <v>17</v>
      </c>
      <c r="H162" t="str">
        <f t="shared" si="13"/>
        <v>01</v>
      </c>
      <c r="I162" t="str">
        <f t="shared" si="14"/>
        <v>a</v>
      </c>
      <c r="J162" t="str">
        <f t="shared" si="15"/>
        <v>Line</v>
      </c>
      <c r="K162">
        <v>4613814.4879999999</v>
      </c>
      <c r="L162">
        <v>413711.02100000001</v>
      </c>
      <c r="M162">
        <v>0.29699999999999999</v>
      </c>
      <c r="AF162" s="1"/>
      <c r="AH162" s="1"/>
      <c r="AJ162" s="1"/>
    </row>
    <row r="163" spans="1:36" x14ac:dyDescent="0.25">
      <c r="A163" t="s">
        <v>37</v>
      </c>
      <c r="B163">
        <v>15</v>
      </c>
      <c r="C163" t="s">
        <v>38</v>
      </c>
      <c r="D163">
        <v>2019</v>
      </c>
      <c r="E163">
        <f t="shared" si="16"/>
        <v>60</v>
      </c>
      <c r="F163">
        <v>169</v>
      </c>
      <c r="G163" t="s">
        <v>12</v>
      </c>
      <c r="H163" t="str">
        <f t="shared" si="13"/>
        <v>03</v>
      </c>
      <c r="I163" t="str">
        <f t="shared" si="14"/>
        <v>a</v>
      </c>
      <c r="J163" t="str">
        <f t="shared" si="15"/>
        <v>Line</v>
      </c>
      <c r="K163">
        <v>4613815.3909999998</v>
      </c>
      <c r="L163">
        <v>413709.26</v>
      </c>
      <c r="M163">
        <v>0.27500000000000002</v>
      </c>
      <c r="AF163" s="1"/>
      <c r="AH163" s="1"/>
      <c r="AJ163" s="1"/>
    </row>
    <row r="164" spans="1:36" x14ac:dyDescent="0.25">
      <c r="A164" t="s">
        <v>37</v>
      </c>
      <c r="B164">
        <v>15</v>
      </c>
      <c r="C164" t="s">
        <v>38</v>
      </c>
      <c r="D164">
        <v>2019</v>
      </c>
      <c r="E164">
        <f t="shared" si="16"/>
        <v>60</v>
      </c>
      <c r="F164">
        <v>170</v>
      </c>
      <c r="G164" t="s">
        <v>12</v>
      </c>
      <c r="H164" t="str">
        <f t="shared" si="13"/>
        <v>03</v>
      </c>
      <c r="I164" t="str">
        <f t="shared" si="14"/>
        <v>a</v>
      </c>
      <c r="J164" t="str">
        <f t="shared" si="15"/>
        <v>Line</v>
      </c>
      <c r="K164">
        <v>4613826.1789999995</v>
      </c>
      <c r="L164">
        <v>413683.41700000002</v>
      </c>
      <c r="M164">
        <v>0.61</v>
      </c>
      <c r="AF164" s="1"/>
      <c r="AH164" s="1"/>
      <c r="AJ164" s="1"/>
    </row>
    <row r="165" spans="1:36" x14ac:dyDescent="0.25">
      <c r="A165" t="s">
        <v>37</v>
      </c>
      <c r="B165">
        <v>15</v>
      </c>
      <c r="C165" t="s">
        <v>38</v>
      </c>
      <c r="D165">
        <v>2019</v>
      </c>
      <c r="E165">
        <f t="shared" si="16"/>
        <v>61</v>
      </c>
      <c r="F165">
        <v>171</v>
      </c>
      <c r="G165" t="s">
        <v>10</v>
      </c>
      <c r="H165" t="str">
        <f t="shared" si="13"/>
        <v>04</v>
      </c>
      <c r="I165" t="str">
        <f t="shared" si="14"/>
        <v>a</v>
      </c>
      <c r="J165" t="str">
        <f t="shared" si="15"/>
        <v>Line</v>
      </c>
      <c r="K165">
        <v>4613827.2280000001</v>
      </c>
      <c r="L165">
        <v>413681.52500000002</v>
      </c>
      <c r="M165">
        <v>0.64100000000000001</v>
      </c>
      <c r="AF165" s="1"/>
      <c r="AH165" s="1"/>
      <c r="AJ165" s="1"/>
    </row>
    <row r="166" spans="1:36" x14ac:dyDescent="0.25">
      <c r="A166" t="s">
        <v>37</v>
      </c>
      <c r="B166">
        <v>15</v>
      </c>
      <c r="C166" t="s">
        <v>38</v>
      </c>
      <c r="D166">
        <v>2019</v>
      </c>
      <c r="E166">
        <f t="shared" si="16"/>
        <v>61</v>
      </c>
      <c r="F166">
        <v>172</v>
      </c>
      <c r="G166" t="s">
        <v>10</v>
      </c>
      <c r="H166" t="str">
        <f t="shared" si="13"/>
        <v>04</v>
      </c>
      <c r="I166" t="str">
        <f t="shared" si="14"/>
        <v>a</v>
      </c>
      <c r="J166" t="str">
        <f t="shared" si="15"/>
        <v>Line</v>
      </c>
      <c r="K166">
        <v>4613827.8569999998</v>
      </c>
      <c r="L166">
        <v>413679.56</v>
      </c>
      <c r="M166">
        <v>0.64600000000000002</v>
      </c>
      <c r="AF166" s="1"/>
      <c r="AH166" s="1"/>
      <c r="AJ166" s="1"/>
    </row>
    <row r="167" spans="1:36" x14ac:dyDescent="0.25">
      <c r="A167" t="s">
        <v>37</v>
      </c>
      <c r="B167">
        <v>15</v>
      </c>
      <c r="C167" t="s">
        <v>38</v>
      </c>
      <c r="D167">
        <v>2019</v>
      </c>
      <c r="E167">
        <f t="shared" si="16"/>
        <v>62</v>
      </c>
      <c r="F167">
        <v>173</v>
      </c>
      <c r="G167" t="s">
        <v>23</v>
      </c>
      <c r="H167" t="str">
        <f t="shared" si="13"/>
        <v>11</v>
      </c>
      <c r="I167" t="str">
        <f t="shared" si="14"/>
        <v>a</v>
      </c>
      <c r="J167" t="str">
        <f t="shared" si="15"/>
        <v>Line</v>
      </c>
      <c r="K167">
        <v>4613828.3250000002</v>
      </c>
      <c r="L167">
        <v>413677.65500000003</v>
      </c>
      <c r="M167">
        <v>0.64100000000000001</v>
      </c>
      <c r="AF167" s="1"/>
      <c r="AH167" s="1"/>
      <c r="AJ167" s="1"/>
    </row>
    <row r="168" spans="1:36" x14ac:dyDescent="0.25">
      <c r="A168" t="s">
        <v>37</v>
      </c>
      <c r="B168">
        <v>15</v>
      </c>
      <c r="C168" t="s">
        <v>38</v>
      </c>
      <c r="D168">
        <v>2019</v>
      </c>
      <c r="E168">
        <f t="shared" si="16"/>
        <v>62</v>
      </c>
      <c r="F168">
        <v>174</v>
      </c>
      <c r="G168" t="s">
        <v>23</v>
      </c>
      <c r="H168" t="str">
        <f t="shared" si="13"/>
        <v>11</v>
      </c>
      <c r="I168" t="str">
        <f t="shared" si="14"/>
        <v>a</v>
      </c>
      <c r="J168" t="str">
        <f t="shared" si="15"/>
        <v>Line</v>
      </c>
      <c r="K168">
        <v>4613831.8099999996</v>
      </c>
      <c r="L168">
        <v>413666.88</v>
      </c>
      <c r="M168">
        <v>0.55300000000000005</v>
      </c>
      <c r="AF168" s="1"/>
      <c r="AH168" s="1"/>
      <c r="AJ168" s="1"/>
    </row>
    <row r="169" spans="1:36" x14ac:dyDescent="0.25">
      <c r="A169" t="s">
        <v>37</v>
      </c>
      <c r="B169">
        <v>15</v>
      </c>
      <c r="C169" t="s">
        <v>38</v>
      </c>
      <c r="D169">
        <v>2019</v>
      </c>
      <c r="E169">
        <f t="shared" si="16"/>
        <v>63</v>
      </c>
      <c r="F169">
        <v>175</v>
      </c>
      <c r="G169" t="s">
        <v>13</v>
      </c>
      <c r="H169" t="str">
        <f t="shared" si="13"/>
        <v>06</v>
      </c>
      <c r="I169" t="str">
        <f t="shared" si="14"/>
        <v>a</v>
      </c>
      <c r="J169" t="str">
        <f t="shared" si="15"/>
        <v>Line</v>
      </c>
      <c r="K169">
        <v>4613832.0060000001</v>
      </c>
      <c r="L169">
        <v>413664.73800000001</v>
      </c>
      <c r="M169">
        <v>0.58099999999999996</v>
      </c>
      <c r="AF169" s="1"/>
      <c r="AH169" s="1"/>
      <c r="AJ169" s="1"/>
    </row>
    <row r="170" spans="1:36" x14ac:dyDescent="0.25">
      <c r="A170" t="s">
        <v>37</v>
      </c>
      <c r="B170">
        <v>15</v>
      </c>
      <c r="C170" t="s">
        <v>38</v>
      </c>
      <c r="D170">
        <v>2019</v>
      </c>
      <c r="E170">
        <f t="shared" si="16"/>
        <v>63</v>
      </c>
      <c r="F170">
        <v>176</v>
      </c>
      <c r="G170" t="s">
        <v>13</v>
      </c>
      <c r="H170" t="str">
        <f t="shared" si="13"/>
        <v>06</v>
      </c>
      <c r="I170" t="str">
        <f t="shared" si="14"/>
        <v>a</v>
      </c>
      <c r="J170" t="str">
        <f t="shared" si="15"/>
        <v>Line</v>
      </c>
      <c r="K170">
        <v>4613832.3509999998</v>
      </c>
      <c r="L170">
        <v>413658.93400000001</v>
      </c>
      <c r="M170">
        <v>0.54200000000000004</v>
      </c>
      <c r="AF170" s="1"/>
      <c r="AH170" s="1"/>
      <c r="AJ170" s="1"/>
    </row>
    <row r="171" spans="1:36" x14ac:dyDescent="0.25">
      <c r="A171" t="s">
        <v>37</v>
      </c>
      <c r="B171">
        <v>15</v>
      </c>
      <c r="C171" t="s">
        <v>38</v>
      </c>
      <c r="D171">
        <v>2019</v>
      </c>
      <c r="E171">
        <f t="shared" si="16"/>
        <v>64</v>
      </c>
      <c r="F171">
        <v>177</v>
      </c>
      <c r="G171" t="s">
        <v>25</v>
      </c>
      <c r="H171" t="str">
        <f t="shared" si="13"/>
        <v>07</v>
      </c>
      <c r="I171" t="str">
        <f t="shared" si="14"/>
        <v>a</v>
      </c>
      <c r="J171" t="str">
        <f t="shared" si="15"/>
        <v>Line</v>
      </c>
      <c r="K171">
        <v>4613832.6189999999</v>
      </c>
      <c r="L171">
        <v>413656.80800000002</v>
      </c>
      <c r="M171">
        <v>0.52500000000000002</v>
      </c>
      <c r="AF171" s="1"/>
      <c r="AH171" s="1"/>
      <c r="AJ171" s="1"/>
    </row>
    <row r="172" spans="1:36" x14ac:dyDescent="0.25">
      <c r="A172" t="s">
        <v>37</v>
      </c>
      <c r="B172">
        <v>15</v>
      </c>
      <c r="C172" t="s">
        <v>38</v>
      </c>
      <c r="D172">
        <v>2019</v>
      </c>
      <c r="E172">
        <f t="shared" si="16"/>
        <v>64</v>
      </c>
      <c r="F172">
        <v>178</v>
      </c>
      <c r="G172" t="s">
        <v>25</v>
      </c>
      <c r="H172" t="str">
        <f t="shared" si="13"/>
        <v>07</v>
      </c>
      <c r="I172" t="str">
        <f t="shared" si="14"/>
        <v>a</v>
      </c>
      <c r="J172" t="str">
        <f t="shared" si="15"/>
        <v>Line</v>
      </c>
      <c r="K172">
        <v>4613820.4239999996</v>
      </c>
      <c r="L172">
        <v>413652.50900000002</v>
      </c>
      <c r="M172">
        <v>0.59499999999999997</v>
      </c>
      <c r="AF172" s="1"/>
      <c r="AH172" s="1"/>
      <c r="AJ172" s="1"/>
    </row>
    <row r="173" spans="1:36" x14ac:dyDescent="0.25">
      <c r="A173" t="s">
        <v>37</v>
      </c>
      <c r="B173">
        <v>15</v>
      </c>
      <c r="C173" t="s">
        <v>38</v>
      </c>
      <c r="D173">
        <v>2019</v>
      </c>
      <c r="E173">
        <f t="shared" si="16"/>
        <v>65</v>
      </c>
      <c r="F173">
        <v>179</v>
      </c>
      <c r="G173" t="s">
        <v>13</v>
      </c>
      <c r="H173" t="str">
        <f t="shared" si="13"/>
        <v>06</v>
      </c>
      <c r="I173" t="str">
        <f t="shared" si="14"/>
        <v>a</v>
      </c>
      <c r="J173" t="str">
        <f t="shared" si="15"/>
        <v>Line</v>
      </c>
      <c r="K173">
        <v>4613818.4970000004</v>
      </c>
      <c r="L173">
        <v>413651.95899999997</v>
      </c>
      <c r="M173">
        <v>0.59399999999999997</v>
      </c>
      <c r="AF173" s="1"/>
      <c r="AH173" s="1"/>
      <c r="AJ173" s="1"/>
    </row>
    <row r="174" spans="1:36" x14ac:dyDescent="0.25">
      <c r="A174" t="s">
        <v>37</v>
      </c>
      <c r="B174">
        <v>15</v>
      </c>
      <c r="C174" t="s">
        <v>38</v>
      </c>
      <c r="D174">
        <v>2019</v>
      </c>
      <c r="E174">
        <f t="shared" si="16"/>
        <v>65</v>
      </c>
      <c r="F174">
        <v>180</v>
      </c>
      <c r="G174" t="s">
        <v>13</v>
      </c>
      <c r="H174" t="str">
        <f t="shared" si="13"/>
        <v>06</v>
      </c>
      <c r="I174" t="str">
        <f t="shared" si="14"/>
        <v>a</v>
      </c>
      <c r="J174" t="str">
        <f t="shared" si="15"/>
        <v>Line</v>
      </c>
      <c r="K174">
        <v>4613809.8619999997</v>
      </c>
      <c r="L174">
        <v>413649.55800000002</v>
      </c>
      <c r="M174">
        <v>0.53800000000000003</v>
      </c>
      <c r="AF174" s="1"/>
      <c r="AH174" s="1"/>
      <c r="AJ174" s="1"/>
    </row>
    <row r="175" spans="1:36" x14ac:dyDescent="0.25">
      <c r="A175" t="s">
        <v>37</v>
      </c>
      <c r="B175">
        <v>15</v>
      </c>
      <c r="C175" t="s">
        <v>38</v>
      </c>
      <c r="D175">
        <v>2019</v>
      </c>
      <c r="E175">
        <f t="shared" si="16"/>
        <v>66</v>
      </c>
      <c r="F175">
        <v>181</v>
      </c>
      <c r="G175" t="s">
        <v>25</v>
      </c>
      <c r="H175" t="str">
        <f t="shared" si="13"/>
        <v>07</v>
      </c>
      <c r="I175" t="str">
        <f t="shared" si="14"/>
        <v>a</v>
      </c>
      <c r="J175" t="str">
        <f t="shared" si="15"/>
        <v>Line</v>
      </c>
      <c r="K175">
        <v>4613807.943</v>
      </c>
      <c r="L175">
        <v>413648.67099999997</v>
      </c>
      <c r="M175">
        <v>0.52800000000000002</v>
      </c>
      <c r="AF175" s="1"/>
      <c r="AH175" s="1"/>
      <c r="AJ175" s="1"/>
    </row>
    <row r="176" spans="1:36" x14ac:dyDescent="0.25">
      <c r="A176" t="s">
        <v>37</v>
      </c>
      <c r="B176">
        <v>15</v>
      </c>
      <c r="C176" t="s">
        <v>38</v>
      </c>
      <c r="D176">
        <v>2019</v>
      </c>
      <c r="E176">
        <f t="shared" si="16"/>
        <v>66</v>
      </c>
      <c r="F176">
        <v>182</v>
      </c>
      <c r="G176" t="s">
        <v>25</v>
      </c>
      <c r="H176" t="str">
        <f t="shared" si="13"/>
        <v>07</v>
      </c>
      <c r="I176" t="str">
        <f t="shared" si="14"/>
        <v>a</v>
      </c>
      <c r="J176" t="str">
        <f t="shared" si="15"/>
        <v>Line</v>
      </c>
      <c r="K176">
        <v>4613806.1390000004</v>
      </c>
      <c r="L176">
        <v>413647.163</v>
      </c>
      <c r="M176">
        <v>0.48299999999999998</v>
      </c>
      <c r="AF176" s="1"/>
      <c r="AH176" s="1"/>
      <c r="AJ176" s="1"/>
    </row>
    <row r="177" spans="1:36" x14ac:dyDescent="0.25">
      <c r="A177" t="s">
        <v>37</v>
      </c>
      <c r="B177">
        <v>15</v>
      </c>
      <c r="C177" t="s">
        <v>38</v>
      </c>
      <c r="D177">
        <v>2019</v>
      </c>
      <c r="E177">
        <f t="shared" si="16"/>
        <v>67</v>
      </c>
      <c r="F177">
        <v>183</v>
      </c>
      <c r="G177" t="s">
        <v>17</v>
      </c>
      <c r="H177" t="str">
        <f t="shared" si="13"/>
        <v>01</v>
      </c>
      <c r="I177" t="str">
        <f t="shared" si="14"/>
        <v>a</v>
      </c>
      <c r="J177" t="str">
        <f t="shared" si="15"/>
        <v>Line</v>
      </c>
      <c r="K177">
        <v>4613804.6550000003</v>
      </c>
      <c r="L177">
        <v>413646.31099999999</v>
      </c>
      <c r="M177">
        <v>0.377</v>
      </c>
      <c r="AF177" s="1"/>
      <c r="AH177" s="1"/>
      <c r="AJ177" s="1"/>
    </row>
    <row r="178" spans="1:36" x14ac:dyDescent="0.25">
      <c r="A178" t="s">
        <v>37</v>
      </c>
      <c r="B178">
        <v>15</v>
      </c>
      <c r="C178" t="s">
        <v>38</v>
      </c>
      <c r="D178">
        <v>2019</v>
      </c>
      <c r="E178">
        <f t="shared" si="16"/>
        <v>67</v>
      </c>
      <c r="F178">
        <v>184</v>
      </c>
      <c r="G178" t="s">
        <v>17</v>
      </c>
      <c r="H178" t="str">
        <f t="shared" si="13"/>
        <v>01</v>
      </c>
      <c r="I178" t="str">
        <f t="shared" si="14"/>
        <v>a</v>
      </c>
      <c r="J178" t="str">
        <f t="shared" si="15"/>
        <v>Line</v>
      </c>
      <c r="K178">
        <v>4613796.1090000002</v>
      </c>
      <c r="L178">
        <v>413642.22200000001</v>
      </c>
      <c r="M178">
        <v>0.38600000000000001</v>
      </c>
      <c r="AF178" s="1"/>
      <c r="AH178" s="1"/>
      <c r="AJ178" s="1"/>
    </row>
    <row r="179" spans="1:36" x14ac:dyDescent="0.25">
      <c r="A179" t="s">
        <v>37</v>
      </c>
      <c r="B179">
        <v>15</v>
      </c>
      <c r="C179" t="s">
        <v>38</v>
      </c>
      <c r="D179">
        <v>2019</v>
      </c>
      <c r="E179">
        <f t="shared" si="16"/>
        <v>68</v>
      </c>
      <c r="F179">
        <v>185</v>
      </c>
      <c r="G179" t="s">
        <v>20</v>
      </c>
      <c r="H179" t="str">
        <f t="shared" si="13"/>
        <v>02</v>
      </c>
      <c r="I179" t="str">
        <f t="shared" si="14"/>
        <v>a</v>
      </c>
      <c r="J179" t="str">
        <f t="shared" si="15"/>
        <v>Line</v>
      </c>
      <c r="K179">
        <v>4613795.2110000001</v>
      </c>
      <c r="L179">
        <v>413641.9</v>
      </c>
      <c r="M179">
        <v>0.42599999999999999</v>
      </c>
      <c r="AF179" s="1"/>
      <c r="AH179" s="1"/>
      <c r="AJ179" s="1"/>
    </row>
    <row r="180" spans="1:36" x14ac:dyDescent="0.25">
      <c r="A180" t="s">
        <v>37</v>
      </c>
      <c r="B180">
        <v>15</v>
      </c>
      <c r="C180" t="s">
        <v>38</v>
      </c>
      <c r="D180">
        <v>2019</v>
      </c>
      <c r="E180">
        <f t="shared" si="16"/>
        <v>68</v>
      </c>
      <c r="F180">
        <v>186</v>
      </c>
      <c r="G180" t="s">
        <v>20</v>
      </c>
      <c r="H180" t="str">
        <f t="shared" si="13"/>
        <v>02</v>
      </c>
      <c r="I180" t="str">
        <f t="shared" si="14"/>
        <v>a</v>
      </c>
      <c r="J180" t="str">
        <f t="shared" si="15"/>
        <v>Line</v>
      </c>
      <c r="K180">
        <v>4613791.09</v>
      </c>
      <c r="L180">
        <v>413640.96600000001</v>
      </c>
      <c r="M180">
        <v>0.52400000000000002</v>
      </c>
      <c r="AF180" s="1"/>
      <c r="AH180" s="1"/>
      <c r="AJ180" s="1"/>
    </row>
    <row r="181" spans="1:36" x14ac:dyDescent="0.25">
      <c r="A181" t="s">
        <v>37</v>
      </c>
      <c r="B181">
        <v>15</v>
      </c>
      <c r="C181" t="s">
        <v>38</v>
      </c>
      <c r="D181">
        <v>2019</v>
      </c>
      <c r="E181">
        <f t="shared" si="16"/>
        <v>69</v>
      </c>
      <c r="F181">
        <v>187</v>
      </c>
      <c r="G181" t="s">
        <v>10</v>
      </c>
      <c r="H181" t="str">
        <f t="shared" si="13"/>
        <v>04</v>
      </c>
      <c r="I181" t="str">
        <f t="shared" si="14"/>
        <v>a</v>
      </c>
      <c r="J181" t="str">
        <f t="shared" si="15"/>
        <v>Line</v>
      </c>
      <c r="K181">
        <v>4613789.1239999998</v>
      </c>
      <c r="L181">
        <v>413640.91600000003</v>
      </c>
      <c r="M181">
        <v>0.51400000000000001</v>
      </c>
      <c r="AF181" s="1"/>
      <c r="AH181" s="1"/>
      <c r="AJ181" s="1"/>
    </row>
    <row r="182" spans="1:36" x14ac:dyDescent="0.25">
      <c r="A182" t="s">
        <v>37</v>
      </c>
      <c r="B182">
        <v>15</v>
      </c>
      <c r="C182" t="s">
        <v>38</v>
      </c>
      <c r="D182">
        <v>2019</v>
      </c>
      <c r="E182">
        <f t="shared" si="16"/>
        <v>69</v>
      </c>
      <c r="F182">
        <v>188</v>
      </c>
      <c r="G182" t="s">
        <v>10</v>
      </c>
      <c r="H182" t="str">
        <f t="shared" si="13"/>
        <v>04</v>
      </c>
      <c r="I182" t="str">
        <f t="shared" si="14"/>
        <v>a</v>
      </c>
      <c r="J182" t="str">
        <f t="shared" si="15"/>
        <v>Line</v>
      </c>
      <c r="K182">
        <v>4613779.5259999996</v>
      </c>
      <c r="L182">
        <v>413640.86700000003</v>
      </c>
      <c r="M182">
        <v>0.60499999999999998</v>
      </c>
      <c r="AF182" s="1"/>
      <c r="AH182" s="1"/>
      <c r="AJ182" s="1"/>
    </row>
    <row r="183" spans="1:36" x14ac:dyDescent="0.25">
      <c r="A183" t="s">
        <v>37</v>
      </c>
      <c r="B183">
        <v>15</v>
      </c>
      <c r="C183" t="s">
        <v>38</v>
      </c>
      <c r="D183">
        <v>2019</v>
      </c>
      <c r="E183">
        <f t="shared" si="16"/>
        <v>70</v>
      </c>
      <c r="F183">
        <v>189</v>
      </c>
      <c r="G183" t="s">
        <v>12</v>
      </c>
      <c r="H183" t="str">
        <f t="shared" si="13"/>
        <v>03</v>
      </c>
      <c r="I183" t="str">
        <f t="shared" si="14"/>
        <v>a</v>
      </c>
      <c r="J183" t="str">
        <f t="shared" si="15"/>
        <v>MU</v>
      </c>
      <c r="K183">
        <v>4613777.3490000004</v>
      </c>
      <c r="L183">
        <v>413641.174</v>
      </c>
      <c r="M183">
        <v>0.59899999999999998</v>
      </c>
      <c r="AF183" s="1"/>
      <c r="AH183" s="1"/>
      <c r="AJ183" s="1"/>
    </row>
    <row r="184" spans="1:36" x14ac:dyDescent="0.25">
      <c r="A184" t="s">
        <v>37</v>
      </c>
      <c r="B184">
        <v>15</v>
      </c>
      <c r="C184" t="s">
        <v>38</v>
      </c>
      <c r="D184">
        <v>2019</v>
      </c>
      <c r="E184">
        <f t="shared" si="16"/>
        <v>71</v>
      </c>
      <c r="F184">
        <v>190</v>
      </c>
      <c r="G184" t="s">
        <v>26</v>
      </c>
      <c r="H184" t="str">
        <f t="shared" si="13"/>
        <v>03</v>
      </c>
      <c r="I184" t="str">
        <f t="shared" si="14"/>
        <v>bc</v>
      </c>
      <c r="J184" t="str">
        <f t="shared" si="15"/>
        <v>Line</v>
      </c>
      <c r="K184">
        <v>4613776.6619999995</v>
      </c>
      <c r="L184">
        <v>413639.17200000002</v>
      </c>
      <c r="M184">
        <v>0.58499999999999996</v>
      </c>
      <c r="AF184" s="1"/>
      <c r="AH184" s="1"/>
      <c r="AJ184" s="1"/>
    </row>
    <row r="185" spans="1:36" x14ac:dyDescent="0.25">
      <c r="A185" t="s">
        <v>37</v>
      </c>
      <c r="B185">
        <v>15</v>
      </c>
      <c r="C185" t="s">
        <v>38</v>
      </c>
      <c r="D185">
        <v>2019</v>
      </c>
      <c r="E185">
        <f t="shared" si="16"/>
        <v>71</v>
      </c>
      <c r="F185">
        <v>191</v>
      </c>
      <c r="G185" t="s">
        <v>26</v>
      </c>
      <c r="H185" t="str">
        <f t="shared" si="13"/>
        <v>03</v>
      </c>
      <c r="I185" t="str">
        <f t="shared" si="14"/>
        <v>bc</v>
      </c>
      <c r="J185" t="str">
        <f t="shared" si="15"/>
        <v>Line</v>
      </c>
      <c r="K185">
        <v>4613775.6239999998</v>
      </c>
      <c r="L185">
        <v>413637.34899999999</v>
      </c>
      <c r="M185">
        <v>0.623</v>
      </c>
      <c r="AF185" s="1"/>
      <c r="AH185" s="1"/>
      <c r="AJ185" s="1"/>
    </row>
    <row r="186" spans="1:36" x14ac:dyDescent="0.25">
      <c r="A186" t="s">
        <v>37</v>
      </c>
      <c r="B186">
        <v>15</v>
      </c>
      <c r="C186" t="s">
        <v>38</v>
      </c>
      <c r="D186">
        <v>2019</v>
      </c>
      <c r="E186">
        <f t="shared" si="16"/>
        <v>72</v>
      </c>
      <c r="F186">
        <v>192</v>
      </c>
      <c r="G186" t="s">
        <v>27</v>
      </c>
      <c r="H186" t="str">
        <f t="shared" si="13"/>
        <v>33</v>
      </c>
      <c r="I186" t="str">
        <f t="shared" si="14"/>
        <v>c</v>
      </c>
      <c r="J186" t="str">
        <f t="shared" si="15"/>
        <v>Line</v>
      </c>
      <c r="K186">
        <v>4613774.3689999999</v>
      </c>
      <c r="L186">
        <v>413635.761</v>
      </c>
      <c r="M186">
        <v>0.61799999999999999</v>
      </c>
      <c r="AF186" s="1"/>
      <c r="AH186" s="1"/>
      <c r="AJ186" s="1"/>
    </row>
    <row r="187" spans="1:36" x14ac:dyDescent="0.25">
      <c r="A187" t="s">
        <v>37</v>
      </c>
      <c r="B187">
        <v>15</v>
      </c>
      <c r="C187" t="s">
        <v>38</v>
      </c>
      <c r="D187">
        <v>2019</v>
      </c>
      <c r="E187">
        <f t="shared" si="16"/>
        <v>72</v>
      </c>
      <c r="F187">
        <v>193</v>
      </c>
      <c r="G187" t="s">
        <v>27</v>
      </c>
      <c r="H187" t="str">
        <f t="shared" si="13"/>
        <v>33</v>
      </c>
      <c r="I187" t="str">
        <f t="shared" si="14"/>
        <v>c</v>
      </c>
      <c r="J187" t="str">
        <f t="shared" si="15"/>
        <v>Line</v>
      </c>
      <c r="K187">
        <v>4613773.1720000003</v>
      </c>
      <c r="L187">
        <v>413634.44099999999</v>
      </c>
      <c r="M187">
        <v>0.58299999999999996</v>
      </c>
      <c r="AF187" s="1"/>
      <c r="AH187" s="1"/>
      <c r="AJ187" s="1"/>
    </row>
    <row r="188" spans="1:36" x14ac:dyDescent="0.25">
      <c r="A188" t="s">
        <v>37</v>
      </c>
      <c r="B188">
        <v>15</v>
      </c>
      <c r="C188" t="s">
        <v>38</v>
      </c>
      <c r="D188">
        <v>2019</v>
      </c>
      <c r="E188">
        <f t="shared" si="16"/>
        <v>72</v>
      </c>
      <c r="F188">
        <v>194</v>
      </c>
      <c r="G188" t="s">
        <v>27</v>
      </c>
      <c r="H188" t="str">
        <f t="shared" si="13"/>
        <v>33</v>
      </c>
      <c r="I188" t="str">
        <f t="shared" si="14"/>
        <v>c</v>
      </c>
      <c r="J188" t="str">
        <f t="shared" si="15"/>
        <v>Line</v>
      </c>
      <c r="K188">
        <v>4613772.0350000001</v>
      </c>
      <c r="L188">
        <v>413632.8</v>
      </c>
      <c r="M188">
        <v>0.59299999999999997</v>
      </c>
      <c r="AF188" s="1"/>
      <c r="AH188" s="1"/>
      <c r="AJ188" s="1"/>
    </row>
    <row r="189" spans="1:36" x14ac:dyDescent="0.25">
      <c r="A189" t="s">
        <v>37</v>
      </c>
      <c r="B189">
        <v>15</v>
      </c>
      <c r="C189" t="s">
        <v>38</v>
      </c>
      <c r="D189">
        <v>2019</v>
      </c>
      <c r="E189">
        <f t="shared" si="16"/>
        <v>73</v>
      </c>
      <c r="F189">
        <v>195</v>
      </c>
      <c r="G189" t="s">
        <v>10</v>
      </c>
      <c r="H189" t="str">
        <f t="shared" si="13"/>
        <v>04</v>
      </c>
      <c r="I189" t="str">
        <f t="shared" si="14"/>
        <v>a</v>
      </c>
      <c r="J189" t="str">
        <f t="shared" si="15"/>
        <v>Line</v>
      </c>
      <c r="K189">
        <v>4613770.6270000003</v>
      </c>
      <c r="L189">
        <v>413631.22499999998</v>
      </c>
      <c r="M189">
        <v>0.60099999999999998</v>
      </c>
      <c r="AF189" s="1"/>
      <c r="AH189" s="1"/>
      <c r="AJ189" s="1"/>
    </row>
    <row r="190" spans="1:36" x14ac:dyDescent="0.25">
      <c r="A190" t="s">
        <v>37</v>
      </c>
      <c r="B190">
        <v>15</v>
      </c>
      <c r="C190" t="s">
        <v>38</v>
      </c>
      <c r="D190">
        <v>2019</v>
      </c>
      <c r="E190">
        <f t="shared" si="16"/>
        <v>73</v>
      </c>
      <c r="F190">
        <v>196</v>
      </c>
      <c r="G190" t="s">
        <v>10</v>
      </c>
      <c r="H190" t="str">
        <f t="shared" si="13"/>
        <v>04</v>
      </c>
      <c r="I190" t="str">
        <f t="shared" si="14"/>
        <v>a</v>
      </c>
      <c r="J190" t="str">
        <f t="shared" si="15"/>
        <v>Line</v>
      </c>
      <c r="K190">
        <v>4613768.7369999997</v>
      </c>
      <c r="L190">
        <v>413629.72100000002</v>
      </c>
      <c r="M190">
        <v>0.60699999999999998</v>
      </c>
      <c r="AF190" s="1"/>
      <c r="AH190" s="1"/>
      <c r="AJ190" s="1"/>
    </row>
    <row r="191" spans="1:36" x14ac:dyDescent="0.25">
      <c r="A191" t="s">
        <v>37</v>
      </c>
      <c r="B191">
        <v>15</v>
      </c>
      <c r="C191" t="s">
        <v>38</v>
      </c>
      <c r="D191">
        <v>2019</v>
      </c>
      <c r="E191">
        <f t="shared" si="16"/>
        <v>73</v>
      </c>
      <c r="F191">
        <v>197</v>
      </c>
      <c r="G191" t="s">
        <v>10</v>
      </c>
      <c r="H191" t="str">
        <f t="shared" si="13"/>
        <v>04</v>
      </c>
      <c r="I191" t="str">
        <f t="shared" si="14"/>
        <v>a</v>
      </c>
      <c r="J191" t="str">
        <f t="shared" si="15"/>
        <v>Line</v>
      </c>
      <c r="K191">
        <v>4613769.3569999998</v>
      </c>
      <c r="L191">
        <v>413627.625</v>
      </c>
      <c r="M191">
        <v>0.61499999999999999</v>
      </c>
      <c r="AF191" s="1"/>
      <c r="AH191" s="1"/>
      <c r="AJ191" s="1"/>
    </row>
    <row r="192" spans="1:36" x14ac:dyDescent="0.25">
      <c r="A192" t="s">
        <v>37</v>
      </c>
      <c r="B192">
        <v>15</v>
      </c>
      <c r="C192" t="s">
        <v>38</v>
      </c>
      <c r="D192">
        <v>2019</v>
      </c>
      <c r="E192">
        <f t="shared" si="16"/>
        <v>73</v>
      </c>
      <c r="F192">
        <v>198</v>
      </c>
      <c r="G192" t="s">
        <v>10</v>
      </c>
      <c r="H192" t="str">
        <f t="shared" si="13"/>
        <v>04</v>
      </c>
      <c r="I192" t="str">
        <f t="shared" si="14"/>
        <v>a</v>
      </c>
      <c r="J192" t="str">
        <f t="shared" si="15"/>
        <v>Line</v>
      </c>
      <c r="K192">
        <v>4613771.1909999996</v>
      </c>
      <c r="L192">
        <v>413623.57199999999</v>
      </c>
      <c r="M192">
        <v>0.622</v>
      </c>
      <c r="AF192" s="1"/>
      <c r="AH192" s="1"/>
      <c r="AJ192" s="1"/>
    </row>
    <row r="193" spans="1:36" x14ac:dyDescent="0.25">
      <c r="A193" t="s">
        <v>37</v>
      </c>
      <c r="B193">
        <v>15</v>
      </c>
      <c r="C193" t="s">
        <v>38</v>
      </c>
      <c r="D193">
        <v>2019</v>
      </c>
      <c r="E193">
        <f t="shared" si="16"/>
        <v>74</v>
      </c>
      <c r="F193">
        <v>199</v>
      </c>
      <c r="G193" t="s">
        <v>27</v>
      </c>
      <c r="H193" t="str">
        <f t="shared" si="13"/>
        <v>33</v>
      </c>
      <c r="I193" t="str">
        <f t="shared" si="14"/>
        <v>c</v>
      </c>
      <c r="J193" t="str">
        <f t="shared" si="15"/>
        <v>Line</v>
      </c>
      <c r="K193">
        <v>4613771.9460000005</v>
      </c>
      <c r="L193">
        <v>413621.60399999999</v>
      </c>
      <c r="M193">
        <v>0.628</v>
      </c>
      <c r="AF193" s="1"/>
      <c r="AH193" s="1"/>
      <c r="AJ193" s="1"/>
    </row>
    <row r="194" spans="1:36" x14ac:dyDescent="0.25">
      <c r="A194" t="s">
        <v>37</v>
      </c>
      <c r="B194">
        <v>15</v>
      </c>
      <c r="C194" t="s">
        <v>38</v>
      </c>
      <c r="D194">
        <v>2019</v>
      </c>
      <c r="E194">
        <f t="shared" si="16"/>
        <v>74</v>
      </c>
      <c r="F194">
        <v>200</v>
      </c>
      <c r="G194" t="s">
        <v>27</v>
      </c>
      <c r="H194" t="str">
        <f t="shared" ref="H194:H257" si="17">LEFT(G194,2)</f>
        <v>33</v>
      </c>
      <c r="I194" t="str">
        <f t="shared" ref="I194:I257" si="18">RIGHT(G194,LEN(G194)-LEN(H194))</f>
        <v>c</v>
      </c>
      <c r="J194" t="str">
        <f t="shared" si="15"/>
        <v>Line</v>
      </c>
      <c r="K194">
        <v>4613772.858</v>
      </c>
      <c r="L194">
        <v>413618.97</v>
      </c>
      <c r="M194">
        <v>0.61899999999999999</v>
      </c>
      <c r="AF194" s="1"/>
      <c r="AH194" s="1"/>
      <c r="AJ194" s="1"/>
    </row>
    <row r="195" spans="1:36" x14ac:dyDescent="0.25">
      <c r="A195" t="s">
        <v>37</v>
      </c>
      <c r="B195">
        <v>15</v>
      </c>
      <c r="C195" t="s">
        <v>38</v>
      </c>
      <c r="D195">
        <v>2019</v>
      </c>
      <c r="E195">
        <f t="shared" si="16"/>
        <v>75</v>
      </c>
      <c r="F195">
        <v>201</v>
      </c>
      <c r="G195" t="s">
        <v>10</v>
      </c>
      <c r="H195" t="str">
        <f t="shared" si="17"/>
        <v>04</v>
      </c>
      <c r="I195" t="str">
        <f t="shared" si="18"/>
        <v>a</v>
      </c>
      <c r="J195" t="str">
        <f t="shared" si="15"/>
        <v>MU</v>
      </c>
      <c r="K195">
        <v>4613773.574</v>
      </c>
      <c r="L195">
        <v>413617.03399999999</v>
      </c>
      <c r="M195">
        <v>0.60899999999999999</v>
      </c>
      <c r="AF195" s="1"/>
      <c r="AH195" s="1"/>
      <c r="AJ195" s="1"/>
    </row>
    <row r="196" spans="1:36" x14ac:dyDescent="0.25">
      <c r="A196" t="s">
        <v>37</v>
      </c>
      <c r="B196">
        <v>15</v>
      </c>
      <c r="C196" t="s">
        <v>38</v>
      </c>
      <c r="D196">
        <v>2019</v>
      </c>
      <c r="E196">
        <f t="shared" si="16"/>
        <v>76</v>
      </c>
      <c r="F196">
        <v>202</v>
      </c>
      <c r="G196" t="s">
        <v>12</v>
      </c>
      <c r="H196" t="str">
        <f t="shared" si="17"/>
        <v>03</v>
      </c>
      <c r="I196" t="str">
        <f t="shared" si="18"/>
        <v>a</v>
      </c>
      <c r="J196" t="str">
        <f t="shared" si="15"/>
        <v>MU</v>
      </c>
      <c r="K196">
        <v>4613774.2879999997</v>
      </c>
      <c r="L196">
        <v>413615.05800000002</v>
      </c>
      <c r="M196">
        <v>0.60899999999999999</v>
      </c>
      <c r="AF196" s="1"/>
      <c r="AH196" s="1"/>
      <c r="AJ196" s="1"/>
    </row>
    <row r="197" spans="1:36" x14ac:dyDescent="0.25">
      <c r="A197" t="s">
        <v>37</v>
      </c>
      <c r="B197">
        <v>15</v>
      </c>
      <c r="C197" t="s">
        <v>38</v>
      </c>
      <c r="D197">
        <v>2019</v>
      </c>
      <c r="E197">
        <f t="shared" si="16"/>
        <v>77</v>
      </c>
      <c r="F197">
        <v>203</v>
      </c>
      <c r="G197" t="s">
        <v>27</v>
      </c>
      <c r="H197" t="str">
        <f t="shared" si="17"/>
        <v>33</v>
      </c>
      <c r="I197" t="str">
        <f t="shared" si="18"/>
        <v>c</v>
      </c>
      <c r="J197" t="str">
        <f t="shared" si="15"/>
        <v>MU</v>
      </c>
      <c r="K197">
        <v>4613775.341</v>
      </c>
      <c r="L197">
        <v>413613.212</v>
      </c>
      <c r="M197">
        <v>0.58399999999999996</v>
      </c>
      <c r="AF197" s="1"/>
      <c r="AH197" s="1"/>
      <c r="AJ197" s="1"/>
    </row>
    <row r="198" spans="1:36" x14ac:dyDescent="0.25">
      <c r="A198" t="s">
        <v>37</v>
      </c>
      <c r="B198">
        <v>15</v>
      </c>
      <c r="C198" t="s">
        <v>38</v>
      </c>
      <c r="D198">
        <v>2019</v>
      </c>
      <c r="E198">
        <f t="shared" si="16"/>
        <v>78</v>
      </c>
      <c r="F198">
        <v>204</v>
      </c>
      <c r="G198" t="s">
        <v>12</v>
      </c>
      <c r="H198" t="str">
        <f t="shared" si="17"/>
        <v>03</v>
      </c>
      <c r="I198" t="str">
        <f t="shared" si="18"/>
        <v>a</v>
      </c>
      <c r="J198" t="str">
        <f t="shared" si="15"/>
        <v>Line</v>
      </c>
      <c r="K198">
        <v>4613777.7039999999</v>
      </c>
      <c r="L198">
        <v>413613.598</v>
      </c>
      <c r="M198">
        <v>0.621</v>
      </c>
      <c r="AF198" s="1"/>
      <c r="AH198" s="1"/>
      <c r="AJ198" s="1"/>
    </row>
    <row r="199" spans="1:36" x14ac:dyDescent="0.25">
      <c r="A199" t="s">
        <v>37</v>
      </c>
      <c r="B199">
        <v>15</v>
      </c>
      <c r="C199" t="s">
        <v>38</v>
      </c>
      <c r="D199">
        <v>2019</v>
      </c>
      <c r="E199">
        <f t="shared" si="16"/>
        <v>78</v>
      </c>
      <c r="F199">
        <v>205</v>
      </c>
      <c r="G199" t="s">
        <v>12</v>
      </c>
      <c r="H199" t="str">
        <f t="shared" si="17"/>
        <v>03</v>
      </c>
      <c r="I199" t="str">
        <f t="shared" si="18"/>
        <v>a</v>
      </c>
      <c r="J199" t="str">
        <f t="shared" si="15"/>
        <v>Line</v>
      </c>
      <c r="K199">
        <v>4613787.7779999999</v>
      </c>
      <c r="L199">
        <v>413617.228</v>
      </c>
      <c r="M199">
        <v>0.61799999999999999</v>
      </c>
      <c r="AF199" s="1"/>
      <c r="AH199" s="1"/>
      <c r="AJ199" s="1"/>
    </row>
    <row r="200" spans="1:36" x14ac:dyDescent="0.25">
      <c r="A200" t="s">
        <v>37</v>
      </c>
      <c r="B200">
        <v>15</v>
      </c>
      <c r="C200" t="s">
        <v>38</v>
      </c>
      <c r="D200">
        <v>2019</v>
      </c>
      <c r="E200">
        <f t="shared" si="16"/>
        <v>79</v>
      </c>
      <c r="F200">
        <v>206</v>
      </c>
      <c r="G200" t="s">
        <v>13</v>
      </c>
      <c r="H200" t="str">
        <f t="shared" si="17"/>
        <v>06</v>
      </c>
      <c r="I200" t="str">
        <f t="shared" si="18"/>
        <v>a</v>
      </c>
      <c r="J200" t="str">
        <f t="shared" si="15"/>
        <v>MU</v>
      </c>
      <c r="K200">
        <v>4613789.6550000003</v>
      </c>
      <c r="L200">
        <v>413617.48800000001</v>
      </c>
      <c r="M200">
        <v>0.61</v>
      </c>
      <c r="AF200" s="1"/>
      <c r="AH200" s="1"/>
      <c r="AJ200" s="1"/>
    </row>
    <row r="201" spans="1:36" x14ac:dyDescent="0.25">
      <c r="A201" t="s">
        <v>37</v>
      </c>
      <c r="B201">
        <v>15</v>
      </c>
      <c r="C201" t="s">
        <v>38</v>
      </c>
      <c r="D201">
        <v>2019</v>
      </c>
      <c r="E201">
        <f t="shared" si="16"/>
        <v>80</v>
      </c>
      <c r="F201">
        <v>207</v>
      </c>
      <c r="G201" t="s">
        <v>10</v>
      </c>
      <c r="H201" t="str">
        <f t="shared" si="17"/>
        <v>04</v>
      </c>
      <c r="I201" t="str">
        <f t="shared" si="18"/>
        <v>a</v>
      </c>
      <c r="J201" t="str">
        <f t="shared" si="15"/>
        <v>MU</v>
      </c>
      <c r="K201">
        <v>4613791.6849999996</v>
      </c>
      <c r="L201">
        <v>413618.36499999999</v>
      </c>
      <c r="M201">
        <v>0.58699999999999997</v>
      </c>
      <c r="AF201" s="1"/>
      <c r="AH201" s="1"/>
      <c r="AJ201" s="1"/>
    </row>
    <row r="202" spans="1:36" x14ac:dyDescent="0.25">
      <c r="A202" t="s">
        <v>37</v>
      </c>
      <c r="B202">
        <v>15</v>
      </c>
      <c r="C202" t="s">
        <v>38</v>
      </c>
      <c r="D202">
        <v>2019</v>
      </c>
      <c r="E202">
        <f t="shared" si="16"/>
        <v>81</v>
      </c>
      <c r="F202">
        <v>208</v>
      </c>
      <c r="G202" t="s">
        <v>13</v>
      </c>
      <c r="H202" t="str">
        <f t="shared" si="17"/>
        <v>06</v>
      </c>
      <c r="I202" t="str">
        <f t="shared" si="18"/>
        <v>a</v>
      </c>
      <c r="J202" t="str">
        <f t="shared" si="15"/>
        <v>Line</v>
      </c>
      <c r="K202">
        <v>4613792.4309999999</v>
      </c>
      <c r="L202">
        <v>413616.364</v>
      </c>
      <c r="M202">
        <v>0.59199999999999997</v>
      </c>
      <c r="AF202" s="1"/>
      <c r="AH202" s="1"/>
      <c r="AJ202" s="1"/>
    </row>
    <row r="203" spans="1:36" x14ac:dyDescent="0.25">
      <c r="A203" t="s">
        <v>37</v>
      </c>
      <c r="B203">
        <v>15</v>
      </c>
      <c r="C203" t="s">
        <v>38</v>
      </c>
      <c r="D203">
        <v>2019</v>
      </c>
      <c r="E203">
        <f t="shared" si="16"/>
        <v>81</v>
      </c>
      <c r="F203">
        <v>209</v>
      </c>
      <c r="G203" t="s">
        <v>13</v>
      </c>
      <c r="H203" t="str">
        <f t="shared" si="17"/>
        <v>06</v>
      </c>
      <c r="I203" t="str">
        <f t="shared" si="18"/>
        <v>a</v>
      </c>
      <c r="J203" t="str">
        <f t="shared" si="15"/>
        <v>Line</v>
      </c>
      <c r="K203">
        <v>4613794.0630000001</v>
      </c>
      <c r="L203">
        <v>413610.55900000001</v>
      </c>
      <c r="M203">
        <v>0.61599999999999999</v>
      </c>
      <c r="AF203" s="1"/>
      <c r="AH203" s="1"/>
      <c r="AJ203" s="1"/>
    </row>
    <row r="204" spans="1:36" x14ac:dyDescent="0.25">
      <c r="A204" t="s">
        <v>37</v>
      </c>
      <c r="B204">
        <v>15</v>
      </c>
      <c r="C204" t="s">
        <v>38</v>
      </c>
      <c r="D204">
        <v>2019</v>
      </c>
      <c r="E204">
        <f t="shared" si="16"/>
        <v>82</v>
      </c>
      <c r="F204">
        <v>210</v>
      </c>
      <c r="G204" t="s">
        <v>10</v>
      </c>
      <c r="H204" t="str">
        <f t="shared" si="17"/>
        <v>04</v>
      </c>
      <c r="I204" t="str">
        <f t="shared" si="18"/>
        <v>a</v>
      </c>
      <c r="J204" t="str">
        <f t="shared" si="15"/>
        <v>Line</v>
      </c>
      <c r="K204">
        <v>4613794.3679999998</v>
      </c>
      <c r="L204">
        <v>413608.51699999999</v>
      </c>
      <c r="M204">
        <v>0.57399999999999995</v>
      </c>
      <c r="AF204" s="1"/>
      <c r="AH204" s="1"/>
      <c r="AJ204" s="1"/>
    </row>
    <row r="205" spans="1:36" x14ac:dyDescent="0.25">
      <c r="A205" t="s">
        <v>37</v>
      </c>
      <c r="B205">
        <v>15</v>
      </c>
      <c r="C205" t="s">
        <v>38</v>
      </c>
      <c r="D205">
        <v>2019</v>
      </c>
      <c r="E205">
        <f t="shared" si="16"/>
        <v>82</v>
      </c>
      <c r="F205">
        <v>211</v>
      </c>
      <c r="G205" t="s">
        <v>10</v>
      </c>
      <c r="H205" t="str">
        <f t="shared" si="17"/>
        <v>04</v>
      </c>
      <c r="I205" t="str">
        <f t="shared" si="18"/>
        <v>a</v>
      </c>
      <c r="J205" t="str">
        <f t="shared" si="15"/>
        <v>Line</v>
      </c>
      <c r="K205">
        <v>4613796.216</v>
      </c>
      <c r="L205">
        <v>413601.31800000003</v>
      </c>
      <c r="M205">
        <v>0.55100000000000005</v>
      </c>
      <c r="AF205" s="1"/>
      <c r="AH205" s="1"/>
      <c r="AJ205" s="1"/>
    </row>
    <row r="206" spans="1:36" x14ac:dyDescent="0.25">
      <c r="A206" t="s">
        <v>37</v>
      </c>
      <c r="B206">
        <v>15</v>
      </c>
      <c r="C206" t="s">
        <v>38</v>
      </c>
      <c r="D206">
        <v>2019</v>
      </c>
      <c r="E206">
        <f t="shared" si="16"/>
        <v>83</v>
      </c>
      <c r="F206">
        <v>212</v>
      </c>
      <c r="G206" t="s">
        <v>20</v>
      </c>
      <c r="H206" t="str">
        <f t="shared" si="17"/>
        <v>02</v>
      </c>
      <c r="I206" t="str">
        <f t="shared" si="18"/>
        <v>a</v>
      </c>
      <c r="J206" t="str">
        <f t="shared" si="15"/>
        <v>Line</v>
      </c>
      <c r="K206">
        <v>4613797.0860000001</v>
      </c>
      <c r="L206">
        <v>413599.51799999998</v>
      </c>
      <c r="M206">
        <v>0.55500000000000005</v>
      </c>
      <c r="AF206" s="1"/>
      <c r="AH206" s="1"/>
      <c r="AJ206" s="1"/>
    </row>
    <row r="207" spans="1:36" x14ac:dyDescent="0.25">
      <c r="A207" t="s">
        <v>37</v>
      </c>
      <c r="B207">
        <v>15</v>
      </c>
      <c r="C207" t="s">
        <v>38</v>
      </c>
      <c r="D207">
        <v>2019</v>
      </c>
      <c r="E207">
        <f t="shared" si="16"/>
        <v>83</v>
      </c>
      <c r="F207">
        <v>213</v>
      </c>
      <c r="G207" t="s">
        <v>20</v>
      </c>
      <c r="H207" t="str">
        <f t="shared" si="17"/>
        <v>02</v>
      </c>
      <c r="I207" t="str">
        <f t="shared" si="18"/>
        <v>a</v>
      </c>
      <c r="J207" t="str">
        <f t="shared" si="15"/>
        <v>Line</v>
      </c>
      <c r="K207">
        <v>4613807.03</v>
      </c>
      <c r="L207">
        <v>413604.54800000001</v>
      </c>
      <c r="M207">
        <v>0.49099999999999999</v>
      </c>
      <c r="AF207" s="1"/>
      <c r="AH207" s="1"/>
      <c r="AJ207" s="1"/>
    </row>
    <row r="208" spans="1:36" x14ac:dyDescent="0.25">
      <c r="A208" t="s">
        <v>37</v>
      </c>
      <c r="B208">
        <v>15</v>
      </c>
      <c r="C208" t="s">
        <v>38</v>
      </c>
      <c r="D208">
        <v>2019</v>
      </c>
      <c r="E208">
        <f t="shared" si="16"/>
        <v>83</v>
      </c>
      <c r="F208">
        <v>214</v>
      </c>
      <c r="G208" t="s">
        <v>20</v>
      </c>
      <c r="H208" t="str">
        <f t="shared" si="17"/>
        <v>02</v>
      </c>
      <c r="I208" t="str">
        <f t="shared" si="18"/>
        <v>a</v>
      </c>
      <c r="J208" t="str">
        <f t="shared" si="15"/>
        <v>Line</v>
      </c>
      <c r="K208">
        <v>4613812.1509999996</v>
      </c>
      <c r="L208">
        <v>413618.75099999999</v>
      </c>
      <c r="M208">
        <v>0.498</v>
      </c>
      <c r="AF208" s="1"/>
      <c r="AH208" s="1"/>
      <c r="AJ208" s="1"/>
    </row>
    <row r="209" spans="1:36" x14ac:dyDescent="0.25">
      <c r="A209" t="s">
        <v>37</v>
      </c>
      <c r="B209">
        <v>15</v>
      </c>
      <c r="C209" t="s">
        <v>38</v>
      </c>
      <c r="D209">
        <v>2019</v>
      </c>
      <c r="E209">
        <f t="shared" si="16"/>
        <v>83</v>
      </c>
      <c r="F209">
        <v>215</v>
      </c>
      <c r="G209" t="s">
        <v>20</v>
      </c>
      <c r="H209" t="str">
        <f t="shared" si="17"/>
        <v>02</v>
      </c>
      <c r="I209" t="str">
        <f t="shared" si="18"/>
        <v>a</v>
      </c>
      <c r="J209" t="str">
        <f t="shared" ref="J209:J224" si="19">IF(OR((E209=E210),(E209=E208)),"Line","MU")</f>
        <v>Line</v>
      </c>
      <c r="K209">
        <v>4613807.6880000001</v>
      </c>
      <c r="L209">
        <v>413631.00900000002</v>
      </c>
      <c r="M209">
        <v>0.47499999999999998</v>
      </c>
      <c r="AF209" s="1"/>
      <c r="AH209" s="1"/>
      <c r="AJ209" s="1"/>
    </row>
    <row r="210" spans="1:36" x14ac:dyDescent="0.25">
      <c r="A210" t="s">
        <v>37</v>
      </c>
      <c r="B210">
        <v>15</v>
      </c>
      <c r="C210" t="s">
        <v>38</v>
      </c>
      <c r="D210">
        <v>2019</v>
      </c>
      <c r="E210">
        <f t="shared" si="16"/>
        <v>84</v>
      </c>
      <c r="F210">
        <v>216</v>
      </c>
      <c r="G210" t="s">
        <v>28</v>
      </c>
      <c r="H210" t="str">
        <f t="shared" si="17"/>
        <v>01</v>
      </c>
      <c r="I210" t="str">
        <f t="shared" si="18"/>
        <v>ac</v>
      </c>
      <c r="J210" t="str">
        <f t="shared" si="19"/>
        <v>Line</v>
      </c>
      <c r="K210">
        <v>4613809.2690000003</v>
      </c>
      <c r="L210">
        <v>413632.28499999997</v>
      </c>
      <c r="M210">
        <v>0.39300000000000002</v>
      </c>
      <c r="AF210" s="1"/>
      <c r="AH210" s="1"/>
      <c r="AJ210" s="1"/>
    </row>
    <row r="211" spans="1:36" x14ac:dyDescent="0.25">
      <c r="A211" t="s">
        <v>37</v>
      </c>
      <c r="B211">
        <v>15</v>
      </c>
      <c r="C211" t="s">
        <v>38</v>
      </c>
      <c r="D211">
        <v>2019</v>
      </c>
      <c r="E211">
        <f t="shared" ref="E211:E224" si="20">IF(G211=G210,E210,E210+1)</f>
        <v>84</v>
      </c>
      <c r="F211">
        <v>217</v>
      </c>
      <c r="G211" t="s">
        <v>28</v>
      </c>
      <c r="H211" t="str">
        <f t="shared" si="17"/>
        <v>01</v>
      </c>
      <c r="I211" t="str">
        <f t="shared" si="18"/>
        <v>ac</v>
      </c>
      <c r="J211" t="str">
        <f t="shared" si="19"/>
        <v>Line</v>
      </c>
      <c r="K211">
        <v>4613812.3839999996</v>
      </c>
      <c r="L211">
        <v>413627.79100000003</v>
      </c>
      <c r="M211">
        <v>0.26400000000000001</v>
      </c>
      <c r="AF211" s="1"/>
      <c r="AH211" s="1"/>
      <c r="AJ211" s="1"/>
    </row>
    <row r="212" spans="1:36" x14ac:dyDescent="0.25">
      <c r="A212" t="s">
        <v>37</v>
      </c>
      <c r="B212">
        <v>15</v>
      </c>
      <c r="C212" t="s">
        <v>38</v>
      </c>
      <c r="D212">
        <v>2019</v>
      </c>
      <c r="E212">
        <f t="shared" si="20"/>
        <v>85</v>
      </c>
      <c r="F212">
        <v>218</v>
      </c>
      <c r="G212" t="s">
        <v>17</v>
      </c>
      <c r="H212" t="str">
        <f t="shared" si="17"/>
        <v>01</v>
      </c>
      <c r="I212" t="str">
        <f t="shared" si="18"/>
        <v>a</v>
      </c>
      <c r="J212" t="str">
        <f t="shared" si="19"/>
        <v>Line</v>
      </c>
      <c r="K212">
        <v>4613813.3480000002</v>
      </c>
      <c r="L212">
        <v>413625.58899999998</v>
      </c>
      <c r="M212">
        <v>0.33200000000000002</v>
      </c>
      <c r="AF212" s="1"/>
      <c r="AH212" s="1"/>
      <c r="AJ212" s="1"/>
    </row>
    <row r="213" spans="1:36" x14ac:dyDescent="0.25">
      <c r="A213" t="s">
        <v>37</v>
      </c>
      <c r="B213">
        <v>15</v>
      </c>
      <c r="C213" t="s">
        <v>38</v>
      </c>
      <c r="D213">
        <v>2019</v>
      </c>
      <c r="E213">
        <f t="shared" si="20"/>
        <v>85</v>
      </c>
      <c r="F213">
        <v>219</v>
      </c>
      <c r="G213" t="s">
        <v>17</v>
      </c>
      <c r="H213" t="str">
        <f t="shared" si="17"/>
        <v>01</v>
      </c>
      <c r="I213" t="str">
        <f t="shared" si="18"/>
        <v>a</v>
      </c>
      <c r="J213" t="str">
        <f t="shared" si="19"/>
        <v>Line</v>
      </c>
      <c r="K213">
        <v>4613814.7719999999</v>
      </c>
      <c r="L213">
        <v>413619.57199999999</v>
      </c>
      <c r="M213">
        <v>0.23</v>
      </c>
      <c r="AF213" s="1"/>
      <c r="AH213" s="1"/>
      <c r="AJ213" s="1"/>
    </row>
    <row r="214" spans="1:36" x14ac:dyDescent="0.25">
      <c r="A214" t="s">
        <v>37</v>
      </c>
      <c r="B214">
        <v>15</v>
      </c>
      <c r="C214" t="s">
        <v>38</v>
      </c>
      <c r="D214">
        <v>2019</v>
      </c>
      <c r="E214">
        <f t="shared" si="20"/>
        <v>85</v>
      </c>
      <c r="F214">
        <v>220</v>
      </c>
      <c r="G214" t="s">
        <v>17</v>
      </c>
      <c r="H214" t="str">
        <f t="shared" si="17"/>
        <v>01</v>
      </c>
      <c r="I214" t="str">
        <f t="shared" si="18"/>
        <v>a</v>
      </c>
      <c r="J214" t="str">
        <f t="shared" si="19"/>
        <v>Line</v>
      </c>
      <c r="K214">
        <v>4613806.7319999998</v>
      </c>
      <c r="L214">
        <v>413601.50900000002</v>
      </c>
      <c r="M214">
        <v>0.314</v>
      </c>
      <c r="AF214" s="1"/>
      <c r="AH214" s="1"/>
      <c r="AJ214" s="1"/>
    </row>
    <row r="215" spans="1:36" x14ac:dyDescent="0.25">
      <c r="A215" t="s">
        <v>37</v>
      </c>
      <c r="B215">
        <v>15</v>
      </c>
      <c r="C215" t="s">
        <v>38</v>
      </c>
      <c r="D215">
        <v>2019</v>
      </c>
      <c r="E215">
        <f t="shared" si="20"/>
        <v>85</v>
      </c>
      <c r="F215">
        <v>221</v>
      </c>
      <c r="G215" t="s">
        <v>17</v>
      </c>
      <c r="H215" t="str">
        <f t="shared" si="17"/>
        <v>01</v>
      </c>
      <c r="I215" t="str">
        <f t="shared" si="18"/>
        <v>a</v>
      </c>
      <c r="J215" t="str">
        <f t="shared" si="19"/>
        <v>Line</v>
      </c>
      <c r="K215">
        <v>4613794.9960000003</v>
      </c>
      <c r="L215">
        <v>413594.815</v>
      </c>
      <c r="M215">
        <v>8.3000000000000004E-2</v>
      </c>
      <c r="AF215" s="1"/>
      <c r="AH215" s="1"/>
      <c r="AJ215" s="1"/>
    </row>
    <row r="216" spans="1:36" x14ac:dyDescent="0.25">
      <c r="A216" t="s">
        <v>37</v>
      </c>
      <c r="B216">
        <v>15</v>
      </c>
      <c r="C216" t="s">
        <v>38</v>
      </c>
      <c r="D216">
        <v>2019</v>
      </c>
      <c r="E216">
        <f t="shared" si="20"/>
        <v>86</v>
      </c>
      <c r="F216">
        <v>222</v>
      </c>
      <c r="G216" t="s">
        <v>23</v>
      </c>
      <c r="H216" t="str">
        <f t="shared" si="17"/>
        <v>11</v>
      </c>
      <c r="I216" t="str">
        <f t="shared" si="18"/>
        <v>a</v>
      </c>
      <c r="J216" t="str">
        <f t="shared" si="19"/>
        <v>Line</v>
      </c>
      <c r="K216">
        <v>4613845.25</v>
      </c>
      <c r="L216">
        <v>413683.92700000003</v>
      </c>
      <c r="M216">
        <v>0.51200000000000001</v>
      </c>
      <c r="AF216" s="1"/>
      <c r="AH216" s="1"/>
      <c r="AJ216" s="1"/>
    </row>
    <row r="217" spans="1:36" x14ac:dyDescent="0.25">
      <c r="A217" t="s">
        <v>37</v>
      </c>
      <c r="B217">
        <v>15</v>
      </c>
      <c r="C217" t="s">
        <v>38</v>
      </c>
      <c r="D217">
        <v>2019</v>
      </c>
      <c r="E217">
        <f t="shared" si="20"/>
        <v>86</v>
      </c>
      <c r="F217">
        <v>223</v>
      </c>
      <c r="G217" t="s">
        <v>23</v>
      </c>
      <c r="H217" t="str">
        <f t="shared" si="17"/>
        <v>11</v>
      </c>
      <c r="I217" t="str">
        <f t="shared" si="18"/>
        <v>a</v>
      </c>
      <c r="J217" t="str">
        <f t="shared" si="19"/>
        <v>Line</v>
      </c>
      <c r="K217">
        <v>4613853.3109999998</v>
      </c>
      <c r="L217">
        <v>413683.89299999998</v>
      </c>
      <c r="M217">
        <v>0.48499999999999999</v>
      </c>
      <c r="AF217" s="1"/>
      <c r="AH217" s="1"/>
      <c r="AJ217" s="1"/>
    </row>
    <row r="218" spans="1:36" x14ac:dyDescent="0.25">
      <c r="A218" t="s">
        <v>37</v>
      </c>
      <c r="B218">
        <v>15</v>
      </c>
      <c r="C218" t="s">
        <v>38</v>
      </c>
      <c r="D218">
        <v>2019</v>
      </c>
      <c r="E218">
        <f t="shared" si="20"/>
        <v>87</v>
      </c>
      <c r="F218">
        <v>224</v>
      </c>
      <c r="G218" t="s">
        <v>12</v>
      </c>
      <c r="H218" t="str">
        <f t="shared" si="17"/>
        <v>03</v>
      </c>
      <c r="I218" t="str">
        <f t="shared" si="18"/>
        <v>a</v>
      </c>
      <c r="J218" t="str">
        <f t="shared" si="19"/>
        <v>Line</v>
      </c>
      <c r="K218">
        <v>4613853.6710000001</v>
      </c>
      <c r="L218">
        <v>413685.47700000001</v>
      </c>
      <c r="M218">
        <v>0.45</v>
      </c>
      <c r="AF218" s="1"/>
      <c r="AH218" s="1"/>
      <c r="AJ218" s="1"/>
    </row>
    <row r="219" spans="1:36" x14ac:dyDescent="0.25">
      <c r="A219" t="s">
        <v>37</v>
      </c>
      <c r="B219">
        <v>15</v>
      </c>
      <c r="C219" t="s">
        <v>38</v>
      </c>
      <c r="D219">
        <v>2019</v>
      </c>
      <c r="E219">
        <f t="shared" si="20"/>
        <v>87</v>
      </c>
      <c r="F219">
        <v>225</v>
      </c>
      <c r="G219" t="s">
        <v>12</v>
      </c>
      <c r="H219" t="str">
        <f t="shared" si="17"/>
        <v>03</v>
      </c>
      <c r="I219" t="str">
        <f t="shared" si="18"/>
        <v>a</v>
      </c>
      <c r="J219" t="str">
        <f t="shared" si="19"/>
        <v>Line</v>
      </c>
      <c r="K219">
        <v>4613856.0379999997</v>
      </c>
      <c r="L219">
        <v>413688.54800000001</v>
      </c>
      <c r="M219">
        <v>0.47799999999999998</v>
      </c>
      <c r="AF219" s="1"/>
      <c r="AH219" s="1"/>
      <c r="AJ219" s="1"/>
    </row>
    <row r="220" spans="1:36" x14ac:dyDescent="0.25">
      <c r="A220" t="s">
        <v>37</v>
      </c>
      <c r="B220">
        <v>15</v>
      </c>
      <c r="C220" t="s">
        <v>38</v>
      </c>
      <c r="D220">
        <v>2019</v>
      </c>
      <c r="E220">
        <f t="shared" si="20"/>
        <v>88</v>
      </c>
      <c r="F220">
        <v>226</v>
      </c>
      <c r="G220" t="s">
        <v>23</v>
      </c>
      <c r="H220" t="str">
        <f t="shared" si="17"/>
        <v>11</v>
      </c>
      <c r="I220" t="str">
        <f t="shared" si="18"/>
        <v>a</v>
      </c>
      <c r="J220" t="str">
        <f t="shared" si="19"/>
        <v>Line</v>
      </c>
      <c r="K220">
        <v>4613856.0839999998</v>
      </c>
      <c r="L220">
        <v>413690.64199999999</v>
      </c>
      <c r="M220">
        <v>0.58799999999999997</v>
      </c>
      <c r="AF220" s="1"/>
      <c r="AH220" s="1"/>
      <c r="AJ220" s="1"/>
    </row>
    <row r="221" spans="1:36" x14ac:dyDescent="0.25">
      <c r="A221" t="s">
        <v>37</v>
      </c>
      <c r="B221">
        <v>15</v>
      </c>
      <c r="C221" t="s">
        <v>38</v>
      </c>
      <c r="D221">
        <v>2019</v>
      </c>
      <c r="E221">
        <f t="shared" si="20"/>
        <v>88</v>
      </c>
      <c r="F221">
        <v>227</v>
      </c>
      <c r="G221" t="s">
        <v>23</v>
      </c>
      <c r="H221" t="str">
        <f t="shared" si="17"/>
        <v>11</v>
      </c>
      <c r="I221" t="str">
        <f t="shared" si="18"/>
        <v>a</v>
      </c>
      <c r="J221" t="str">
        <f t="shared" si="19"/>
        <v>Line</v>
      </c>
      <c r="K221">
        <v>4613863.3530000001</v>
      </c>
      <c r="L221">
        <v>413694.48800000001</v>
      </c>
      <c r="M221">
        <v>0.59899999999999998</v>
      </c>
      <c r="AF221" s="1"/>
      <c r="AH221" s="1"/>
      <c r="AJ221" s="1"/>
    </row>
    <row r="222" spans="1:36" x14ac:dyDescent="0.25">
      <c r="A222" t="s">
        <v>37</v>
      </c>
      <c r="B222">
        <v>15</v>
      </c>
      <c r="C222" t="s">
        <v>38</v>
      </c>
      <c r="D222">
        <v>2019</v>
      </c>
      <c r="E222">
        <f t="shared" si="20"/>
        <v>89</v>
      </c>
      <c r="F222">
        <v>228</v>
      </c>
      <c r="G222" t="s">
        <v>10</v>
      </c>
      <c r="H222" t="str">
        <f t="shared" si="17"/>
        <v>04</v>
      </c>
      <c r="I222" t="str">
        <f t="shared" si="18"/>
        <v>a</v>
      </c>
      <c r="J222" t="str">
        <f t="shared" si="19"/>
        <v>MU</v>
      </c>
      <c r="K222">
        <v>4613865.2719999999</v>
      </c>
      <c r="L222">
        <v>413695.55099999998</v>
      </c>
      <c r="M222">
        <v>0.59599999999999997</v>
      </c>
      <c r="AF222" s="1"/>
      <c r="AH222" s="1"/>
      <c r="AJ222" s="1"/>
    </row>
    <row r="223" spans="1:36" x14ac:dyDescent="0.25">
      <c r="A223" t="s">
        <v>37</v>
      </c>
      <c r="B223">
        <v>15</v>
      </c>
      <c r="C223" t="s">
        <v>38</v>
      </c>
      <c r="D223">
        <v>2019</v>
      </c>
      <c r="E223">
        <f>IF(G223=G222,E222,E222+1)</f>
        <v>90</v>
      </c>
      <c r="F223">
        <v>229</v>
      </c>
      <c r="G223" t="s">
        <v>23</v>
      </c>
      <c r="H223" t="str">
        <f t="shared" si="17"/>
        <v>11</v>
      </c>
      <c r="I223" t="str">
        <f t="shared" si="18"/>
        <v>a</v>
      </c>
      <c r="J223" t="str">
        <f t="shared" si="19"/>
        <v>Line</v>
      </c>
      <c r="K223">
        <v>4613867.0489999996</v>
      </c>
      <c r="L223">
        <v>413697.109</v>
      </c>
      <c r="M223">
        <v>0.61</v>
      </c>
      <c r="AF223" s="1"/>
      <c r="AH223" s="1"/>
      <c r="AJ223" s="1"/>
    </row>
    <row r="224" spans="1:36" x14ac:dyDescent="0.25">
      <c r="A224" t="s">
        <v>37</v>
      </c>
      <c r="B224">
        <v>15</v>
      </c>
      <c r="C224" t="s">
        <v>38</v>
      </c>
      <c r="D224">
        <v>2019</v>
      </c>
      <c r="E224">
        <f t="shared" si="20"/>
        <v>90</v>
      </c>
      <c r="F224">
        <v>230</v>
      </c>
      <c r="G224" t="s">
        <v>23</v>
      </c>
      <c r="H224" t="str">
        <f t="shared" si="17"/>
        <v>11</v>
      </c>
      <c r="I224" t="str">
        <f t="shared" si="18"/>
        <v>a</v>
      </c>
      <c r="J224" t="str">
        <f t="shared" si="19"/>
        <v>Line</v>
      </c>
      <c r="K224">
        <v>4613878.9939999999</v>
      </c>
      <c r="L224">
        <v>413700.701</v>
      </c>
      <c r="M224">
        <v>0.50600000000000001</v>
      </c>
      <c r="AF224" s="1"/>
      <c r="AH224" s="1"/>
      <c r="AJ224" s="1"/>
    </row>
    <row r="225" spans="1:36" x14ac:dyDescent="0.25">
      <c r="A225" t="s">
        <v>37</v>
      </c>
      <c r="B225">
        <v>15</v>
      </c>
      <c r="C225" t="s">
        <v>38</v>
      </c>
      <c r="D225">
        <v>2019</v>
      </c>
      <c r="E225">
        <v>91</v>
      </c>
      <c r="F225">
        <v>231</v>
      </c>
      <c r="G225" t="s">
        <v>8</v>
      </c>
      <c r="H225" t="str">
        <f t="shared" si="17"/>
        <v>09</v>
      </c>
      <c r="I225" t="str">
        <f t="shared" si="18"/>
        <v>a</v>
      </c>
      <c r="J225" t="s">
        <v>42</v>
      </c>
      <c r="K225">
        <v>4613908.9330000002</v>
      </c>
      <c r="L225">
        <v>413686.9</v>
      </c>
      <c r="M225">
        <v>1.081</v>
      </c>
      <c r="AF225" s="1"/>
      <c r="AH225" s="1"/>
      <c r="AJ225" s="1"/>
    </row>
    <row r="226" spans="1:36" x14ac:dyDescent="0.25">
      <c r="A226" t="s">
        <v>37</v>
      </c>
      <c r="B226">
        <v>15</v>
      </c>
      <c r="C226" t="s">
        <v>38</v>
      </c>
      <c r="D226">
        <v>2019</v>
      </c>
      <c r="E226">
        <v>91</v>
      </c>
      <c r="F226">
        <v>232</v>
      </c>
      <c r="G226" t="s">
        <v>8</v>
      </c>
      <c r="H226" t="str">
        <f t="shared" si="17"/>
        <v>09</v>
      </c>
      <c r="I226" t="str">
        <f t="shared" si="18"/>
        <v>a</v>
      </c>
      <c r="J226" t="s">
        <v>42</v>
      </c>
      <c r="K226">
        <v>4613903.5389999999</v>
      </c>
      <c r="L226">
        <v>413668.288</v>
      </c>
      <c r="M226">
        <v>0.71899999999999997</v>
      </c>
      <c r="AF226" s="1"/>
      <c r="AH226" s="1"/>
      <c r="AJ226" s="1"/>
    </row>
    <row r="227" spans="1:36" x14ac:dyDescent="0.25">
      <c r="A227" t="s">
        <v>37</v>
      </c>
      <c r="B227">
        <v>15</v>
      </c>
      <c r="C227" t="s">
        <v>38</v>
      </c>
      <c r="D227">
        <v>2019</v>
      </c>
      <c r="E227">
        <v>91</v>
      </c>
      <c r="F227">
        <v>233</v>
      </c>
      <c r="G227" t="s">
        <v>8</v>
      </c>
      <c r="H227" t="str">
        <f t="shared" si="17"/>
        <v>09</v>
      </c>
      <c r="I227" t="str">
        <f t="shared" si="18"/>
        <v>a</v>
      </c>
      <c r="J227" t="s">
        <v>42</v>
      </c>
      <c r="K227">
        <v>4613905.273</v>
      </c>
      <c r="L227">
        <v>413668.42099999997</v>
      </c>
      <c r="M227">
        <v>0.28999999999999998</v>
      </c>
      <c r="AF227" s="1"/>
      <c r="AH227" s="1"/>
      <c r="AJ227" s="1"/>
    </row>
    <row r="228" spans="1:36" x14ac:dyDescent="0.25">
      <c r="A228" t="s">
        <v>37</v>
      </c>
      <c r="B228">
        <v>15</v>
      </c>
      <c r="C228" t="s">
        <v>38</v>
      </c>
      <c r="D228">
        <v>2019</v>
      </c>
      <c r="E228">
        <v>91</v>
      </c>
      <c r="F228">
        <v>234</v>
      </c>
      <c r="G228" t="s">
        <v>8</v>
      </c>
      <c r="H228" t="str">
        <f t="shared" si="17"/>
        <v>09</v>
      </c>
      <c r="I228" t="str">
        <f t="shared" si="18"/>
        <v>a</v>
      </c>
      <c r="J228" t="s">
        <v>42</v>
      </c>
      <c r="K228">
        <v>4613909.3219999997</v>
      </c>
      <c r="L228">
        <v>413680.34700000001</v>
      </c>
      <c r="M228">
        <v>0.55500000000000005</v>
      </c>
      <c r="AF228" s="1"/>
      <c r="AH228" s="1"/>
      <c r="AJ228" s="1"/>
    </row>
    <row r="229" spans="1:36" x14ac:dyDescent="0.25">
      <c r="A229" t="s">
        <v>37</v>
      </c>
      <c r="B229">
        <v>15</v>
      </c>
      <c r="C229" t="s">
        <v>38</v>
      </c>
      <c r="D229">
        <v>2019</v>
      </c>
      <c r="E229">
        <v>91</v>
      </c>
      <c r="F229">
        <v>235</v>
      </c>
      <c r="G229" t="s">
        <v>8</v>
      </c>
      <c r="H229" t="str">
        <f t="shared" si="17"/>
        <v>09</v>
      </c>
      <c r="I229" t="str">
        <f t="shared" si="18"/>
        <v>a</v>
      </c>
      <c r="J229" t="s">
        <v>42</v>
      </c>
      <c r="K229">
        <v>4613921.1140000001</v>
      </c>
      <c r="L229">
        <v>413674.38099999999</v>
      </c>
      <c r="M229">
        <v>0.38300000000000001</v>
      </c>
      <c r="AF229" s="1"/>
      <c r="AH229" s="1"/>
      <c r="AJ229" s="1"/>
    </row>
    <row r="230" spans="1:36" x14ac:dyDescent="0.25">
      <c r="A230" t="s">
        <v>37</v>
      </c>
      <c r="B230">
        <v>15</v>
      </c>
      <c r="C230" t="s">
        <v>38</v>
      </c>
      <c r="D230">
        <v>2019</v>
      </c>
      <c r="E230">
        <v>91</v>
      </c>
      <c r="F230">
        <v>236</v>
      </c>
      <c r="G230" t="s">
        <v>8</v>
      </c>
      <c r="H230" t="str">
        <f t="shared" si="17"/>
        <v>09</v>
      </c>
      <c r="I230" t="str">
        <f t="shared" si="18"/>
        <v>a</v>
      </c>
      <c r="J230" t="s">
        <v>42</v>
      </c>
      <c r="K230">
        <v>4613927.6789999995</v>
      </c>
      <c r="L230">
        <v>413676.68900000001</v>
      </c>
      <c r="M230">
        <v>0.49199999999999999</v>
      </c>
      <c r="AF230" s="1"/>
      <c r="AH230" s="1"/>
      <c r="AJ230" s="1"/>
    </row>
    <row r="231" spans="1:36" x14ac:dyDescent="0.25">
      <c r="A231" t="s">
        <v>37</v>
      </c>
      <c r="B231">
        <v>15</v>
      </c>
      <c r="C231" t="s">
        <v>38</v>
      </c>
      <c r="D231">
        <v>2019</v>
      </c>
      <c r="E231">
        <v>91</v>
      </c>
      <c r="F231">
        <v>237</v>
      </c>
      <c r="G231" t="s">
        <v>8</v>
      </c>
      <c r="H231" t="str">
        <f t="shared" si="17"/>
        <v>09</v>
      </c>
      <c r="I231" t="str">
        <f t="shared" si="18"/>
        <v>a</v>
      </c>
      <c r="J231" t="s">
        <v>42</v>
      </c>
      <c r="K231">
        <v>4613940.2439999999</v>
      </c>
      <c r="L231">
        <v>413683.02799999999</v>
      </c>
      <c r="M231">
        <v>0.46600000000000003</v>
      </c>
      <c r="AF231" s="1"/>
      <c r="AH231" s="1"/>
      <c r="AJ231" s="1"/>
    </row>
    <row r="232" spans="1:36" x14ac:dyDescent="0.25">
      <c r="A232" t="s">
        <v>37</v>
      </c>
      <c r="B232">
        <v>15</v>
      </c>
      <c r="C232" t="s">
        <v>38</v>
      </c>
      <c r="D232">
        <v>2019</v>
      </c>
      <c r="E232">
        <v>91</v>
      </c>
      <c r="F232">
        <v>238</v>
      </c>
      <c r="G232" t="s">
        <v>8</v>
      </c>
      <c r="H232" t="str">
        <f t="shared" si="17"/>
        <v>09</v>
      </c>
      <c r="I232" t="str">
        <f t="shared" si="18"/>
        <v>a</v>
      </c>
      <c r="J232" t="s">
        <v>42</v>
      </c>
      <c r="K232">
        <v>4613937.091</v>
      </c>
      <c r="L232">
        <v>413687.25199999998</v>
      </c>
      <c r="M232">
        <v>0.50800000000000001</v>
      </c>
      <c r="AF232" s="1"/>
      <c r="AH232" s="1"/>
      <c r="AJ232" s="1"/>
    </row>
    <row r="233" spans="1:36" x14ac:dyDescent="0.25">
      <c r="A233" t="s">
        <v>37</v>
      </c>
      <c r="B233">
        <v>15</v>
      </c>
      <c r="C233" t="s">
        <v>38</v>
      </c>
      <c r="D233">
        <v>2019</v>
      </c>
      <c r="E233">
        <v>92</v>
      </c>
      <c r="F233">
        <v>239</v>
      </c>
      <c r="G233" t="s">
        <v>24</v>
      </c>
      <c r="H233" t="str">
        <f t="shared" si="17"/>
        <v>12</v>
      </c>
      <c r="I233" t="str">
        <f t="shared" si="18"/>
        <v>a</v>
      </c>
      <c r="J233" t="str">
        <f t="shared" ref="J233:J296" si="21">IF(OR((E233=E234),(E233=E232)),"Line","MU")</f>
        <v>Line</v>
      </c>
      <c r="K233">
        <v>4613951.7920000004</v>
      </c>
      <c r="L233">
        <v>413721.77299999999</v>
      </c>
      <c r="M233">
        <v>0.68300000000000005</v>
      </c>
      <c r="AF233" s="1"/>
      <c r="AH233" s="1"/>
      <c r="AJ233" s="1"/>
    </row>
    <row r="234" spans="1:36" x14ac:dyDescent="0.25">
      <c r="A234" t="s">
        <v>37</v>
      </c>
      <c r="B234">
        <v>15</v>
      </c>
      <c r="C234" t="s">
        <v>38</v>
      </c>
      <c r="D234">
        <v>2019</v>
      </c>
      <c r="E234">
        <f t="shared" ref="E234:E270" si="22">IF(G234=G233,E233,E233+1)</f>
        <v>92</v>
      </c>
      <c r="F234">
        <v>240</v>
      </c>
      <c r="G234" t="s">
        <v>24</v>
      </c>
      <c r="H234" t="str">
        <f t="shared" si="17"/>
        <v>12</v>
      </c>
      <c r="I234" t="str">
        <f t="shared" si="18"/>
        <v>a</v>
      </c>
      <c r="J234" t="str">
        <f t="shared" si="21"/>
        <v>Line</v>
      </c>
      <c r="K234">
        <v>4613957.4009999996</v>
      </c>
      <c r="L234">
        <v>413726.413</v>
      </c>
      <c r="M234">
        <v>0.67400000000000004</v>
      </c>
      <c r="AF234" s="1"/>
      <c r="AH234" s="1"/>
      <c r="AJ234" s="1"/>
    </row>
    <row r="235" spans="1:36" x14ac:dyDescent="0.25">
      <c r="A235" t="s">
        <v>37</v>
      </c>
      <c r="B235">
        <v>15</v>
      </c>
      <c r="C235" t="s">
        <v>38</v>
      </c>
      <c r="D235">
        <v>2019</v>
      </c>
      <c r="E235">
        <f t="shared" si="22"/>
        <v>93</v>
      </c>
      <c r="F235">
        <v>241</v>
      </c>
      <c r="G235" t="s">
        <v>23</v>
      </c>
      <c r="H235" t="str">
        <f t="shared" si="17"/>
        <v>11</v>
      </c>
      <c r="I235" t="str">
        <f t="shared" si="18"/>
        <v>a</v>
      </c>
      <c r="J235" t="str">
        <f t="shared" si="21"/>
        <v>Line</v>
      </c>
      <c r="K235">
        <v>4613992.3049999997</v>
      </c>
      <c r="L235">
        <v>413693.53399999999</v>
      </c>
      <c r="M235">
        <v>0.40899999999999997</v>
      </c>
      <c r="AF235" s="1"/>
      <c r="AH235" s="1"/>
      <c r="AJ235" s="1"/>
    </row>
    <row r="236" spans="1:36" x14ac:dyDescent="0.25">
      <c r="A236" t="s">
        <v>37</v>
      </c>
      <c r="B236">
        <v>15</v>
      </c>
      <c r="C236" t="s">
        <v>38</v>
      </c>
      <c r="D236">
        <v>2019</v>
      </c>
      <c r="E236">
        <f t="shared" si="22"/>
        <v>93</v>
      </c>
      <c r="F236">
        <v>242</v>
      </c>
      <c r="G236" t="s">
        <v>23</v>
      </c>
      <c r="H236" t="str">
        <f t="shared" si="17"/>
        <v>11</v>
      </c>
      <c r="I236" t="str">
        <f t="shared" si="18"/>
        <v>a</v>
      </c>
      <c r="J236" t="str">
        <f t="shared" si="21"/>
        <v>Line</v>
      </c>
      <c r="K236">
        <v>4613993.3660000004</v>
      </c>
      <c r="L236">
        <v>413696.533</v>
      </c>
      <c r="M236">
        <v>0.33700000000000002</v>
      </c>
      <c r="AF236" s="1"/>
      <c r="AH236" s="1"/>
      <c r="AJ236" s="1"/>
    </row>
    <row r="237" spans="1:36" x14ac:dyDescent="0.25">
      <c r="A237" t="s">
        <v>37</v>
      </c>
      <c r="B237">
        <v>15</v>
      </c>
      <c r="C237" t="s">
        <v>38</v>
      </c>
      <c r="D237">
        <v>2019</v>
      </c>
      <c r="E237">
        <f t="shared" si="22"/>
        <v>93</v>
      </c>
      <c r="F237">
        <v>243</v>
      </c>
      <c r="G237" t="s">
        <v>23</v>
      </c>
      <c r="H237" t="str">
        <f t="shared" si="17"/>
        <v>11</v>
      </c>
      <c r="I237" t="str">
        <f t="shared" si="18"/>
        <v>a</v>
      </c>
      <c r="J237" t="str">
        <f t="shared" si="21"/>
        <v>Line</v>
      </c>
      <c r="K237">
        <v>4613994.8969999999</v>
      </c>
      <c r="L237">
        <v>413697.84100000001</v>
      </c>
      <c r="M237">
        <v>0.48099999999999998</v>
      </c>
      <c r="AF237" s="1"/>
      <c r="AH237" s="1"/>
      <c r="AJ237" s="1"/>
    </row>
    <row r="238" spans="1:36" x14ac:dyDescent="0.25">
      <c r="A238" t="s">
        <v>37</v>
      </c>
      <c r="B238">
        <v>15</v>
      </c>
      <c r="C238" t="s">
        <v>38</v>
      </c>
      <c r="D238">
        <v>2019</v>
      </c>
      <c r="E238">
        <f t="shared" si="22"/>
        <v>93</v>
      </c>
      <c r="F238">
        <v>244</v>
      </c>
      <c r="G238" t="s">
        <v>23</v>
      </c>
      <c r="H238" t="str">
        <f t="shared" si="17"/>
        <v>11</v>
      </c>
      <c r="I238" t="str">
        <f t="shared" si="18"/>
        <v>a</v>
      </c>
      <c r="J238" t="str">
        <f t="shared" si="21"/>
        <v>Line</v>
      </c>
      <c r="K238">
        <v>4613998.7750000004</v>
      </c>
      <c r="L238">
        <v>413700.272</v>
      </c>
      <c r="M238">
        <v>0.33500000000000002</v>
      </c>
      <c r="AF238" s="1"/>
      <c r="AH238" s="1"/>
      <c r="AJ238" s="1"/>
    </row>
    <row r="239" spans="1:36" x14ac:dyDescent="0.25">
      <c r="A239" t="s">
        <v>37</v>
      </c>
      <c r="B239">
        <v>15</v>
      </c>
      <c r="C239" t="s">
        <v>38</v>
      </c>
      <c r="D239">
        <v>2019</v>
      </c>
      <c r="E239">
        <f t="shared" si="22"/>
        <v>93</v>
      </c>
      <c r="F239">
        <v>245</v>
      </c>
      <c r="G239" t="s">
        <v>23</v>
      </c>
      <c r="H239" t="str">
        <f t="shared" si="17"/>
        <v>11</v>
      </c>
      <c r="I239" t="str">
        <f t="shared" si="18"/>
        <v>a</v>
      </c>
      <c r="J239" t="str">
        <f t="shared" si="21"/>
        <v>Line</v>
      </c>
      <c r="K239">
        <v>4613998.6229999997</v>
      </c>
      <c r="L239">
        <v>413701.647</v>
      </c>
      <c r="M239">
        <v>0.33300000000000002</v>
      </c>
      <c r="AF239" s="1"/>
      <c r="AH239" s="1"/>
      <c r="AJ239" s="1"/>
    </row>
    <row r="240" spans="1:36" x14ac:dyDescent="0.25">
      <c r="A240" t="s">
        <v>37</v>
      </c>
      <c r="B240">
        <v>15</v>
      </c>
      <c r="C240" t="s">
        <v>38</v>
      </c>
      <c r="D240">
        <v>2019</v>
      </c>
      <c r="E240">
        <f t="shared" si="22"/>
        <v>93</v>
      </c>
      <c r="F240">
        <v>246</v>
      </c>
      <c r="G240" t="s">
        <v>23</v>
      </c>
      <c r="H240" t="str">
        <f t="shared" si="17"/>
        <v>11</v>
      </c>
      <c r="I240" t="str">
        <f t="shared" si="18"/>
        <v>a</v>
      </c>
      <c r="J240" t="str">
        <f t="shared" si="21"/>
        <v>Line</v>
      </c>
      <c r="K240">
        <v>4613994.78</v>
      </c>
      <c r="L240">
        <v>413708.06199999998</v>
      </c>
      <c r="M240">
        <v>0.57499999999999996</v>
      </c>
      <c r="AF240" s="1"/>
      <c r="AH240" s="1"/>
      <c r="AJ240" s="1"/>
    </row>
    <row r="241" spans="1:36" x14ac:dyDescent="0.25">
      <c r="A241" t="s">
        <v>37</v>
      </c>
      <c r="B241">
        <v>15</v>
      </c>
      <c r="C241" t="s">
        <v>38</v>
      </c>
      <c r="D241">
        <v>2019</v>
      </c>
      <c r="E241">
        <f t="shared" si="22"/>
        <v>93</v>
      </c>
      <c r="F241">
        <v>247</v>
      </c>
      <c r="G241" t="s">
        <v>23</v>
      </c>
      <c r="H241" t="str">
        <f t="shared" si="17"/>
        <v>11</v>
      </c>
      <c r="I241" t="str">
        <f t="shared" si="18"/>
        <v>a</v>
      </c>
      <c r="J241" t="str">
        <f t="shared" si="21"/>
        <v>Line</v>
      </c>
      <c r="K241">
        <v>4613987.5410000002</v>
      </c>
      <c r="L241">
        <v>413707.50099999999</v>
      </c>
      <c r="M241">
        <v>0.55200000000000005</v>
      </c>
      <c r="AF241" s="1"/>
      <c r="AH241" s="1"/>
      <c r="AJ241" s="1"/>
    </row>
    <row r="242" spans="1:36" x14ac:dyDescent="0.25">
      <c r="A242" t="s">
        <v>37</v>
      </c>
      <c r="B242">
        <v>15</v>
      </c>
      <c r="C242" t="s">
        <v>38</v>
      </c>
      <c r="D242">
        <v>2019</v>
      </c>
      <c r="E242">
        <f t="shared" si="22"/>
        <v>93</v>
      </c>
      <c r="F242">
        <v>248</v>
      </c>
      <c r="G242" t="s">
        <v>23</v>
      </c>
      <c r="H242" t="str">
        <f t="shared" si="17"/>
        <v>11</v>
      </c>
      <c r="I242" t="str">
        <f t="shared" si="18"/>
        <v>a</v>
      </c>
      <c r="J242" t="str">
        <f t="shared" si="21"/>
        <v>Line</v>
      </c>
      <c r="K242">
        <v>4613986.6349999998</v>
      </c>
      <c r="L242">
        <v>413702.14</v>
      </c>
      <c r="M242">
        <v>0.47799999999999998</v>
      </c>
      <c r="AF242" s="1"/>
      <c r="AH242" s="1"/>
      <c r="AJ242" s="1"/>
    </row>
    <row r="243" spans="1:36" x14ac:dyDescent="0.25">
      <c r="A243" t="s">
        <v>37</v>
      </c>
      <c r="B243">
        <v>15</v>
      </c>
      <c r="C243" t="s">
        <v>38</v>
      </c>
      <c r="D243">
        <v>2019</v>
      </c>
      <c r="E243">
        <f t="shared" si="22"/>
        <v>93</v>
      </c>
      <c r="F243">
        <v>249</v>
      </c>
      <c r="G243" t="s">
        <v>23</v>
      </c>
      <c r="H243" t="str">
        <f t="shared" si="17"/>
        <v>11</v>
      </c>
      <c r="I243" t="str">
        <f t="shared" si="18"/>
        <v>a</v>
      </c>
      <c r="J243" t="str">
        <f t="shared" si="21"/>
        <v>Line</v>
      </c>
      <c r="K243">
        <v>4613983.6950000003</v>
      </c>
      <c r="L243">
        <v>413697.37099999998</v>
      </c>
      <c r="M243">
        <v>0.55900000000000005</v>
      </c>
      <c r="AF243" s="1"/>
      <c r="AH243" s="1"/>
      <c r="AJ243" s="1"/>
    </row>
    <row r="244" spans="1:36" x14ac:dyDescent="0.25">
      <c r="A244" t="s">
        <v>37</v>
      </c>
      <c r="B244">
        <v>15</v>
      </c>
      <c r="C244" t="s">
        <v>38</v>
      </c>
      <c r="D244">
        <v>2019</v>
      </c>
      <c r="E244">
        <f t="shared" si="22"/>
        <v>93</v>
      </c>
      <c r="F244">
        <v>250</v>
      </c>
      <c r="G244" t="s">
        <v>23</v>
      </c>
      <c r="H244" t="str">
        <f t="shared" si="17"/>
        <v>11</v>
      </c>
      <c r="I244" t="str">
        <f t="shared" si="18"/>
        <v>a</v>
      </c>
      <c r="J244" t="str">
        <f t="shared" si="21"/>
        <v>Line</v>
      </c>
      <c r="K244">
        <v>4613981.3159999996</v>
      </c>
      <c r="L244">
        <v>413698.25099999999</v>
      </c>
      <c r="M244">
        <v>0.62</v>
      </c>
      <c r="AF244" s="1"/>
      <c r="AH244" s="1"/>
      <c r="AJ244" s="1"/>
    </row>
    <row r="245" spans="1:36" x14ac:dyDescent="0.25">
      <c r="A245" t="s">
        <v>37</v>
      </c>
      <c r="B245">
        <v>15</v>
      </c>
      <c r="C245" t="s">
        <v>38</v>
      </c>
      <c r="D245">
        <v>2019</v>
      </c>
      <c r="E245">
        <f t="shared" si="22"/>
        <v>93</v>
      </c>
      <c r="F245">
        <v>251</v>
      </c>
      <c r="G245" t="s">
        <v>23</v>
      </c>
      <c r="H245" t="str">
        <f t="shared" si="17"/>
        <v>11</v>
      </c>
      <c r="I245" t="str">
        <f t="shared" si="18"/>
        <v>a</v>
      </c>
      <c r="J245" t="str">
        <f t="shared" si="21"/>
        <v>Line</v>
      </c>
      <c r="K245">
        <v>4613980.2960000001</v>
      </c>
      <c r="L245">
        <v>413706.17700000003</v>
      </c>
      <c r="M245">
        <v>0.53300000000000003</v>
      </c>
      <c r="AF245" s="1"/>
      <c r="AH245" s="1"/>
      <c r="AJ245" s="1"/>
    </row>
    <row r="246" spans="1:36" x14ac:dyDescent="0.25">
      <c r="A246" t="s">
        <v>37</v>
      </c>
      <c r="B246">
        <v>15</v>
      </c>
      <c r="C246" t="s">
        <v>38</v>
      </c>
      <c r="D246">
        <v>2019</v>
      </c>
      <c r="E246">
        <f t="shared" si="22"/>
        <v>93</v>
      </c>
      <c r="F246">
        <v>252</v>
      </c>
      <c r="G246" t="s">
        <v>23</v>
      </c>
      <c r="H246" t="str">
        <f t="shared" si="17"/>
        <v>11</v>
      </c>
      <c r="I246" t="str">
        <f t="shared" si="18"/>
        <v>a</v>
      </c>
      <c r="J246" t="str">
        <f t="shared" si="21"/>
        <v>Line</v>
      </c>
      <c r="K246">
        <v>4613976.5460000001</v>
      </c>
      <c r="L246">
        <v>413704.58500000002</v>
      </c>
      <c r="M246">
        <v>0.54700000000000004</v>
      </c>
      <c r="AF246" s="1"/>
      <c r="AH246" s="1"/>
      <c r="AJ246" s="1"/>
    </row>
    <row r="247" spans="1:36" x14ac:dyDescent="0.25">
      <c r="A247" t="s">
        <v>37</v>
      </c>
      <c r="B247">
        <v>15</v>
      </c>
      <c r="C247" t="s">
        <v>38</v>
      </c>
      <c r="D247">
        <v>2019</v>
      </c>
      <c r="E247">
        <f t="shared" si="22"/>
        <v>93</v>
      </c>
      <c r="F247">
        <v>253</v>
      </c>
      <c r="G247" t="s">
        <v>23</v>
      </c>
      <c r="H247" t="str">
        <f t="shared" si="17"/>
        <v>11</v>
      </c>
      <c r="I247" t="str">
        <f t="shared" si="18"/>
        <v>a</v>
      </c>
      <c r="J247" t="str">
        <f t="shared" si="21"/>
        <v>Line</v>
      </c>
      <c r="K247">
        <v>4613969.4440000001</v>
      </c>
      <c r="L247">
        <v>413703.223</v>
      </c>
      <c r="M247">
        <v>0.61899999999999999</v>
      </c>
      <c r="AF247" s="1"/>
      <c r="AH247" s="1"/>
      <c r="AJ247" s="1"/>
    </row>
    <row r="248" spans="1:36" x14ac:dyDescent="0.25">
      <c r="A248" t="s">
        <v>37</v>
      </c>
      <c r="B248">
        <v>15</v>
      </c>
      <c r="C248" t="s">
        <v>38</v>
      </c>
      <c r="D248">
        <v>2019</v>
      </c>
      <c r="E248">
        <f t="shared" si="22"/>
        <v>93</v>
      </c>
      <c r="F248">
        <v>254</v>
      </c>
      <c r="G248" t="s">
        <v>23</v>
      </c>
      <c r="H248" t="str">
        <f t="shared" si="17"/>
        <v>11</v>
      </c>
      <c r="I248" t="str">
        <f t="shared" si="18"/>
        <v>a</v>
      </c>
      <c r="J248" t="str">
        <f t="shared" si="21"/>
        <v>Line</v>
      </c>
      <c r="K248">
        <v>4613964.1529999999</v>
      </c>
      <c r="L248">
        <v>413708.75900000002</v>
      </c>
      <c r="M248">
        <v>0.59499999999999997</v>
      </c>
      <c r="AF248" s="1"/>
      <c r="AH248" s="1"/>
      <c r="AJ248" s="1"/>
    </row>
    <row r="249" spans="1:36" x14ac:dyDescent="0.25">
      <c r="A249" t="s">
        <v>37</v>
      </c>
      <c r="B249">
        <v>15</v>
      </c>
      <c r="C249" t="s">
        <v>38</v>
      </c>
      <c r="D249">
        <v>2019</v>
      </c>
      <c r="E249">
        <f t="shared" si="22"/>
        <v>93</v>
      </c>
      <c r="F249">
        <v>255</v>
      </c>
      <c r="G249" t="s">
        <v>23</v>
      </c>
      <c r="H249" t="str">
        <f t="shared" si="17"/>
        <v>11</v>
      </c>
      <c r="I249" t="str">
        <f t="shared" si="18"/>
        <v>a</v>
      </c>
      <c r="J249" t="str">
        <f t="shared" si="21"/>
        <v>Line</v>
      </c>
      <c r="K249">
        <v>4613968.5240000002</v>
      </c>
      <c r="L249">
        <v>413714.56400000001</v>
      </c>
      <c r="M249">
        <v>0.64</v>
      </c>
      <c r="AF249" s="1"/>
      <c r="AH249" s="1"/>
      <c r="AJ249" s="1"/>
    </row>
    <row r="250" spans="1:36" x14ac:dyDescent="0.25">
      <c r="A250" t="s">
        <v>37</v>
      </c>
      <c r="B250">
        <v>15</v>
      </c>
      <c r="C250" t="s">
        <v>38</v>
      </c>
      <c r="D250">
        <v>2019</v>
      </c>
      <c r="E250">
        <f t="shared" si="22"/>
        <v>93</v>
      </c>
      <c r="F250">
        <v>256</v>
      </c>
      <c r="G250" t="s">
        <v>23</v>
      </c>
      <c r="H250" t="str">
        <f t="shared" si="17"/>
        <v>11</v>
      </c>
      <c r="I250" t="str">
        <f t="shared" si="18"/>
        <v>a</v>
      </c>
      <c r="J250" t="str">
        <f t="shared" si="21"/>
        <v>Line</v>
      </c>
      <c r="K250">
        <v>4613965.4709999999</v>
      </c>
      <c r="L250">
        <v>413717.41499999998</v>
      </c>
      <c r="M250">
        <v>0.63500000000000001</v>
      </c>
      <c r="AF250" s="1"/>
      <c r="AH250" s="1"/>
      <c r="AJ250" s="1"/>
    </row>
    <row r="251" spans="1:36" x14ac:dyDescent="0.25">
      <c r="A251" t="s">
        <v>37</v>
      </c>
      <c r="B251">
        <v>15</v>
      </c>
      <c r="C251" t="s">
        <v>38</v>
      </c>
      <c r="D251">
        <v>2019</v>
      </c>
      <c r="E251">
        <f t="shared" si="22"/>
        <v>93</v>
      </c>
      <c r="F251">
        <v>257</v>
      </c>
      <c r="G251" t="s">
        <v>23</v>
      </c>
      <c r="H251" t="str">
        <f t="shared" si="17"/>
        <v>11</v>
      </c>
      <c r="I251" t="str">
        <f t="shared" si="18"/>
        <v>a</v>
      </c>
      <c r="J251" t="str">
        <f t="shared" si="21"/>
        <v>Line</v>
      </c>
      <c r="K251">
        <v>4613963.2209999999</v>
      </c>
      <c r="L251">
        <v>413711.00199999998</v>
      </c>
      <c r="M251">
        <v>0.64</v>
      </c>
      <c r="AF251" s="1"/>
      <c r="AH251" s="1"/>
      <c r="AJ251" s="1"/>
    </row>
    <row r="252" spans="1:36" x14ac:dyDescent="0.25">
      <c r="A252" t="s">
        <v>37</v>
      </c>
      <c r="B252">
        <v>15</v>
      </c>
      <c r="C252" t="s">
        <v>38</v>
      </c>
      <c r="D252">
        <v>2019</v>
      </c>
      <c r="E252">
        <f t="shared" si="22"/>
        <v>93</v>
      </c>
      <c r="F252">
        <v>258</v>
      </c>
      <c r="G252" t="s">
        <v>23</v>
      </c>
      <c r="H252" t="str">
        <f t="shared" si="17"/>
        <v>11</v>
      </c>
      <c r="I252" t="str">
        <f t="shared" si="18"/>
        <v>a</v>
      </c>
      <c r="J252" t="str">
        <f t="shared" si="21"/>
        <v>Line</v>
      </c>
      <c r="K252">
        <v>4613960.4529999997</v>
      </c>
      <c r="L252">
        <v>413710.62800000003</v>
      </c>
      <c r="M252">
        <v>0.58699999999999997</v>
      </c>
      <c r="AF252" s="1"/>
      <c r="AH252" s="1"/>
      <c r="AJ252" s="1"/>
    </row>
    <row r="253" spans="1:36" x14ac:dyDescent="0.25">
      <c r="A253" t="s">
        <v>37</v>
      </c>
      <c r="B253">
        <v>15</v>
      </c>
      <c r="C253" t="s">
        <v>38</v>
      </c>
      <c r="D253">
        <v>2019</v>
      </c>
      <c r="E253">
        <f t="shared" si="22"/>
        <v>93</v>
      </c>
      <c r="F253">
        <v>259</v>
      </c>
      <c r="G253" t="s">
        <v>23</v>
      </c>
      <c r="H253" t="str">
        <f t="shared" si="17"/>
        <v>11</v>
      </c>
      <c r="I253" t="str">
        <f t="shared" si="18"/>
        <v>a</v>
      </c>
      <c r="J253" t="str">
        <f t="shared" si="21"/>
        <v>Line</v>
      </c>
      <c r="K253">
        <v>4613957.49</v>
      </c>
      <c r="L253">
        <v>413713.26699999999</v>
      </c>
      <c r="M253">
        <v>0.60799999999999998</v>
      </c>
      <c r="AF253" s="1"/>
      <c r="AH253" s="1"/>
      <c r="AJ253" s="1"/>
    </row>
    <row r="254" spans="1:36" x14ac:dyDescent="0.25">
      <c r="A254" t="s">
        <v>37</v>
      </c>
      <c r="B254">
        <v>15</v>
      </c>
      <c r="C254" t="s">
        <v>38</v>
      </c>
      <c r="D254">
        <v>2019</v>
      </c>
      <c r="E254">
        <f t="shared" si="22"/>
        <v>93</v>
      </c>
      <c r="F254">
        <v>260</v>
      </c>
      <c r="G254" t="s">
        <v>23</v>
      </c>
      <c r="H254" t="str">
        <f t="shared" si="17"/>
        <v>11</v>
      </c>
      <c r="I254" t="str">
        <f t="shared" si="18"/>
        <v>a</v>
      </c>
      <c r="J254" t="str">
        <f t="shared" si="21"/>
        <v>Line</v>
      </c>
      <c r="K254">
        <v>4613947.9390000002</v>
      </c>
      <c r="L254">
        <v>413713.16200000001</v>
      </c>
      <c r="M254">
        <v>0.66300000000000003</v>
      </c>
      <c r="AF254" s="1"/>
      <c r="AH254" s="1"/>
      <c r="AJ254" s="1"/>
    </row>
    <row r="255" spans="1:36" x14ac:dyDescent="0.25">
      <c r="A255" t="s">
        <v>37</v>
      </c>
      <c r="B255">
        <v>15</v>
      </c>
      <c r="C255" t="s">
        <v>38</v>
      </c>
      <c r="D255">
        <v>2019</v>
      </c>
      <c r="E255">
        <f t="shared" si="22"/>
        <v>93</v>
      </c>
      <c r="F255">
        <v>261</v>
      </c>
      <c r="G255" t="s">
        <v>23</v>
      </c>
      <c r="H255" t="str">
        <f t="shared" si="17"/>
        <v>11</v>
      </c>
      <c r="I255" t="str">
        <f t="shared" si="18"/>
        <v>a</v>
      </c>
      <c r="J255" t="str">
        <f t="shared" si="21"/>
        <v>Line</v>
      </c>
      <c r="K255">
        <v>4613941.5810000002</v>
      </c>
      <c r="L255">
        <v>413694.598</v>
      </c>
      <c r="M255">
        <v>0.57499999999999996</v>
      </c>
      <c r="AF255" s="1"/>
      <c r="AH255" s="1"/>
      <c r="AJ255" s="1"/>
    </row>
    <row r="256" spans="1:36" x14ac:dyDescent="0.25">
      <c r="A256" t="s">
        <v>37</v>
      </c>
      <c r="B256">
        <v>15</v>
      </c>
      <c r="C256" t="s">
        <v>38</v>
      </c>
      <c r="D256">
        <v>2019</v>
      </c>
      <c r="E256">
        <f t="shared" si="22"/>
        <v>93</v>
      </c>
      <c r="F256">
        <v>262</v>
      </c>
      <c r="G256" t="s">
        <v>23</v>
      </c>
      <c r="H256" t="str">
        <f t="shared" si="17"/>
        <v>11</v>
      </c>
      <c r="I256" t="str">
        <f t="shared" si="18"/>
        <v>a</v>
      </c>
      <c r="J256" t="str">
        <f t="shared" si="21"/>
        <v>Line</v>
      </c>
      <c r="K256">
        <v>4613936.2690000003</v>
      </c>
      <c r="L256">
        <v>413693.364</v>
      </c>
      <c r="M256">
        <v>0.502</v>
      </c>
      <c r="AF256" s="1"/>
      <c r="AH256" s="1"/>
      <c r="AJ256" s="1"/>
    </row>
    <row r="257" spans="1:36" x14ac:dyDescent="0.25">
      <c r="A257" t="s">
        <v>37</v>
      </c>
      <c r="B257">
        <v>15</v>
      </c>
      <c r="C257" t="s">
        <v>38</v>
      </c>
      <c r="D257">
        <v>2019</v>
      </c>
      <c r="E257">
        <f t="shared" si="22"/>
        <v>93</v>
      </c>
      <c r="F257">
        <v>263</v>
      </c>
      <c r="G257" t="s">
        <v>23</v>
      </c>
      <c r="H257" t="str">
        <f t="shared" si="17"/>
        <v>11</v>
      </c>
      <c r="I257" t="str">
        <f t="shared" si="18"/>
        <v>a</v>
      </c>
      <c r="J257" t="str">
        <f t="shared" si="21"/>
        <v>Line</v>
      </c>
      <c r="K257">
        <v>4613932.2960000001</v>
      </c>
      <c r="L257">
        <v>413690.38</v>
      </c>
      <c r="M257">
        <v>0.51600000000000001</v>
      </c>
      <c r="AF257" s="1"/>
      <c r="AH257" s="1"/>
      <c r="AJ257" s="1"/>
    </row>
    <row r="258" spans="1:36" x14ac:dyDescent="0.25">
      <c r="A258" t="s">
        <v>37</v>
      </c>
      <c r="B258">
        <v>15</v>
      </c>
      <c r="C258" t="s">
        <v>38</v>
      </c>
      <c r="D258">
        <v>2019</v>
      </c>
      <c r="E258">
        <f t="shared" si="22"/>
        <v>93</v>
      </c>
      <c r="F258">
        <v>264</v>
      </c>
      <c r="G258" t="s">
        <v>23</v>
      </c>
      <c r="H258" t="str">
        <f t="shared" ref="H258:H306" si="23">LEFT(G258,2)</f>
        <v>11</v>
      </c>
      <c r="I258" t="str">
        <f t="shared" ref="I258:I306" si="24">RIGHT(G258,LEN(G258)-LEN(H258))</f>
        <v>a</v>
      </c>
      <c r="J258" t="str">
        <f t="shared" si="21"/>
        <v>Line</v>
      </c>
      <c r="K258">
        <v>4613928.6440000003</v>
      </c>
      <c r="L258">
        <v>413697.28499999997</v>
      </c>
      <c r="M258">
        <v>0.65200000000000002</v>
      </c>
      <c r="AF258" s="1"/>
      <c r="AH258" s="1"/>
      <c r="AJ258" s="1"/>
    </row>
    <row r="259" spans="1:36" x14ac:dyDescent="0.25">
      <c r="A259" t="s">
        <v>37</v>
      </c>
      <c r="B259">
        <v>15</v>
      </c>
      <c r="C259" t="s">
        <v>38</v>
      </c>
      <c r="D259">
        <v>2019</v>
      </c>
      <c r="E259">
        <f t="shared" si="22"/>
        <v>94</v>
      </c>
      <c r="F259">
        <v>265</v>
      </c>
      <c r="G259" t="s">
        <v>12</v>
      </c>
      <c r="H259" t="str">
        <f t="shared" si="23"/>
        <v>03</v>
      </c>
      <c r="I259" t="str">
        <f t="shared" si="24"/>
        <v>a</v>
      </c>
      <c r="J259" t="str">
        <f t="shared" si="21"/>
        <v>Line</v>
      </c>
      <c r="K259">
        <v>4613939.8969999999</v>
      </c>
      <c r="L259">
        <v>413686.58299999998</v>
      </c>
      <c r="M259">
        <v>0.38800000000000001</v>
      </c>
      <c r="AF259" s="1"/>
      <c r="AH259" s="1"/>
      <c r="AJ259" s="1"/>
    </row>
    <row r="260" spans="1:36" x14ac:dyDescent="0.25">
      <c r="A260" t="s">
        <v>37</v>
      </c>
      <c r="B260">
        <v>15</v>
      </c>
      <c r="C260" t="s">
        <v>38</v>
      </c>
      <c r="D260">
        <v>2019</v>
      </c>
      <c r="E260">
        <f t="shared" si="22"/>
        <v>94</v>
      </c>
      <c r="F260">
        <v>266</v>
      </c>
      <c r="G260" t="s">
        <v>12</v>
      </c>
      <c r="H260" t="str">
        <f t="shared" si="23"/>
        <v>03</v>
      </c>
      <c r="I260" t="str">
        <f t="shared" si="24"/>
        <v>a</v>
      </c>
      <c r="J260" t="str">
        <f t="shared" si="21"/>
        <v>Line</v>
      </c>
      <c r="K260">
        <v>4613953.6900000004</v>
      </c>
      <c r="L260">
        <v>413688.18900000001</v>
      </c>
      <c r="M260">
        <v>0.27700000000000002</v>
      </c>
      <c r="AF260" s="1"/>
      <c r="AH260" s="1"/>
      <c r="AJ260" s="1"/>
    </row>
    <row r="261" spans="1:36" x14ac:dyDescent="0.25">
      <c r="A261" t="s">
        <v>37</v>
      </c>
      <c r="B261">
        <v>15</v>
      </c>
      <c r="C261" t="s">
        <v>38</v>
      </c>
      <c r="D261">
        <v>2019</v>
      </c>
      <c r="E261">
        <f t="shared" si="22"/>
        <v>95</v>
      </c>
      <c r="F261">
        <v>267</v>
      </c>
      <c r="G261" t="s">
        <v>10</v>
      </c>
      <c r="H261" t="str">
        <f t="shared" si="23"/>
        <v>04</v>
      </c>
      <c r="I261" t="str">
        <f t="shared" si="24"/>
        <v>a</v>
      </c>
      <c r="J261" t="str">
        <f t="shared" si="21"/>
        <v>Line</v>
      </c>
      <c r="K261">
        <v>4613955.7699999996</v>
      </c>
      <c r="L261">
        <v>413688.94699999999</v>
      </c>
      <c r="M261">
        <v>0.34899999999999998</v>
      </c>
      <c r="AF261" s="1"/>
      <c r="AH261" s="1"/>
      <c r="AJ261" s="1"/>
    </row>
    <row r="262" spans="1:36" x14ac:dyDescent="0.25">
      <c r="A262" t="s">
        <v>37</v>
      </c>
      <c r="B262">
        <v>15</v>
      </c>
      <c r="C262" t="s">
        <v>38</v>
      </c>
      <c r="D262">
        <v>2019</v>
      </c>
      <c r="E262">
        <f t="shared" si="22"/>
        <v>95</v>
      </c>
      <c r="F262">
        <v>268</v>
      </c>
      <c r="G262" t="s">
        <v>10</v>
      </c>
      <c r="H262" t="str">
        <f t="shared" si="23"/>
        <v>04</v>
      </c>
      <c r="I262" t="str">
        <f t="shared" si="24"/>
        <v>a</v>
      </c>
      <c r="J262" t="str">
        <f t="shared" si="21"/>
        <v>Line</v>
      </c>
      <c r="K262">
        <v>4613959.5319999997</v>
      </c>
      <c r="L262">
        <v>413689.86700000003</v>
      </c>
      <c r="M262">
        <v>0.39600000000000002</v>
      </c>
      <c r="AF262" s="1"/>
      <c r="AH262" s="1"/>
      <c r="AJ262" s="1"/>
    </row>
    <row r="263" spans="1:36" x14ac:dyDescent="0.25">
      <c r="A263" t="s">
        <v>37</v>
      </c>
      <c r="B263">
        <v>15</v>
      </c>
      <c r="C263" t="s">
        <v>38</v>
      </c>
      <c r="D263">
        <v>2019</v>
      </c>
      <c r="E263">
        <f t="shared" si="22"/>
        <v>96</v>
      </c>
      <c r="F263">
        <v>269</v>
      </c>
      <c r="G263" t="s">
        <v>16</v>
      </c>
      <c r="H263" t="str">
        <f t="shared" si="23"/>
        <v>05</v>
      </c>
      <c r="I263" t="str">
        <f t="shared" si="24"/>
        <v>a</v>
      </c>
      <c r="J263" t="str">
        <f t="shared" si="21"/>
        <v>Line</v>
      </c>
      <c r="K263">
        <v>4613961.443</v>
      </c>
      <c r="L263">
        <v>413690.261</v>
      </c>
      <c r="M263">
        <v>0.44</v>
      </c>
      <c r="AF263" s="1"/>
      <c r="AH263" s="1"/>
      <c r="AJ263" s="1"/>
    </row>
    <row r="264" spans="1:36" x14ac:dyDescent="0.25">
      <c r="A264" t="s">
        <v>37</v>
      </c>
      <c r="B264">
        <v>15</v>
      </c>
      <c r="C264" t="s">
        <v>38</v>
      </c>
      <c r="D264">
        <v>2019</v>
      </c>
      <c r="E264">
        <f t="shared" si="22"/>
        <v>96</v>
      </c>
      <c r="F264">
        <v>270</v>
      </c>
      <c r="G264" t="s">
        <v>16</v>
      </c>
      <c r="H264" t="str">
        <f t="shared" si="23"/>
        <v>05</v>
      </c>
      <c r="I264" t="str">
        <f t="shared" si="24"/>
        <v>a</v>
      </c>
      <c r="J264" t="str">
        <f t="shared" si="21"/>
        <v>Line</v>
      </c>
      <c r="K264">
        <v>4613976.2489999998</v>
      </c>
      <c r="L264">
        <v>413693.70799999998</v>
      </c>
      <c r="M264">
        <v>0.49299999999999999</v>
      </c>
      <c r="AF264" s="1"/>
      <c r="AH264" s="1"/>
      <c r="AJ264" s="1"/>
    </row>
    <row r="265" spans="1:36" x14ac:dyDescent="0.25">
      <c r="A265" t="s">
        <v>37</v>
      </c>
      <c r="B265">
        <v>15</v>
      </c>
      <c r="C265" t="s">
        <v>38</v>
      </c>
      <c r="D265">
        <v>2019</v>
      </c>
      <c r="E265">
        <f t="shared" si="22"/>
        <v>97</v>
      </c>
      <c r="F265">
        <v>271</v>
      </c>
      <c r="G265" t="s">
        <v>8</v>
      </c>
      <c r="H265" t="str">
        <f t="shared" si="23"/>
        <v>09</v>
      </c>
      <c r="I265" t="str">
        <f t="shared" si="24"/>
        <v>a</v>
      </c>
      <c r="J265" t="str">
        <f t="shared" si="21"/>
        <v>Line</v>
      </c>
      <c r="K265">
        <v>4613978.1770000001</v>
      </c>
      <c r="L265">
        <v>413694.06</v>
      </c>
      <c r="M265">
        <v>0.56999999999999995</v>
      </c>
      <c r="AF265" s="1"/>
      <c r="AH265" s="1"/>
      <c r="AJ265" s="1"/>
    </row>
    <row r="266" spans="1:36" x14ac:dyDescent="0.25">
      <c r="A266" t="s">
        <v>37</v>
      </c>
      <c r="B266">
        <v>15</v>
      </c>
      <c r="C266" t="s">
        <v>38</v>
      </c>
      <c r="D266">
        <v>2019</v>
      </c>
      <c r="E266">
        <f t="shared" si="22"/>
        <v>97</v>
      </c>
      <c r="F266">
        <v>272</v>
      </c>
      <c r="G266" t="s">
        <v>8</v>
      </c>
      <c r="H266" t="str">
        <f t="shared" si="23"/>
        <v>09</v>
      </c>
      <c r="I266" t="str">
        <f t="shared" si="24"/>
        <v>a</v>
      </c>
      <c r="J266" t="str">
        <f t="shared" si="21"/>
        <v>Line</v>
      </c>
      <c r="K266">
        <v>4613986.2889999999</v>
      </c>
      <c r="L266">
        <v>413696.375</v>
      </c>
      <c r="M266">
        <v>0.48799999999999999</v>
      </c>
      <c r="AF266" s="1"/>
      <c r="AH266" s="1"/>
      <c r="AJ266" s="1"/>
    </row>
    <row r="267" spans="1:36" x14ac:dyDescent="0.25">
      <c r="A267" t="s">
        <v>37</v>
      </c>
      <c r="B267">
        <v>15</v>
      </c>
      <c r="C267" t="s">
        <v>38</v>
      </c>
      <c r="D267">
        <v>2019</v>
      </c>
      <c r="E267">
        <f t="shared" si="22"/>
        <v>98</v>
      </c>
      <c r="F267">
        <v>273</v>
      </c>
      <c r="G267" t="s">
        <v>16</v>
      </c>
      <c r="H267" t="str">
        <f t="shared" si="23"/>
        <v>05</v>
      </c>
      <c r="I267" t="str">
        <f t="shared" si="24"/>
        <v>a</v>
      </c>
      <c r="J267" t="str">
        <f t="shared" si="21"/>
        <v>MU</v>
      </c>
      <c r="K267">
        <v>4613988.3760000002</v>
      </c>
      <c r="L267">
        <v>413697.33100000001</v>
      </c>
      <c r="M267">
        <v>0.45100000000000001</v>
      </c>
      <c r="AF267" s="1"/>
      <c r="AH267" s="1"/>
      <c r="AJ267" s="1"/>
    </row>
    <row r="268" spans="1:36" x14ac:dyDescent="0.25">
      <c r="A268" t="s">
        <v>37</v>
      </c>
      <c r="B268">
        <v>15</v>
      </c>
      <c r="C268" t="s">
        <v>38</v>
      </c>
      <c r="D268">
        <v>2019</v>
      </c>
      <c r="E268">
        <v>99</v>
      </c>
      <c r="F268">
        <v>274</v>
      </c>
      <c r="G268" t="s">
        <v>16</v>
      </c>
      <c r="H268" t="str">
        <f t="shared" si="23"/>
        <v>05</v>
      </c>
      <c r="I268" t="str">
        <f t="shared" si="24"/>
        <v>a</v>
      </c>
      <c r="J268" t="str">
        <f t="shared" si="21"/>
        <v>Line</v>
      </c>
      <c r="K268">
        <v>4613917.7829999998</v>
      </c>
      <c r="L268">
        <v>413672.22600000002</v>
      </c>
      <c r="M268">
        <v>0.216</v>
      </c>
      <c r="AF268" s="1"/>
      <c r="AH268" s="1"/>
      <c r="AJ268" s="1"/>
    </row>
    <row r="269" spans="1:36" x14ac:dyDescent="0.25">
      <c r="A269" t="s">
        <v>37</v>
      </c>
      <c r="B269">
        <v>15</v>
      </c>
      <c r="C269" t="s">
        <v>38</v>
      </c>
      <c r="D269">
        <v>2019</v>
      </c>
      <c r="E269">
        <f t="shared" si="22"/>
        <v>99</v>
      </c>
      <c r="F269">
        <v>275</v>
      </c>
      <c r="G269" t="s">
        <v>16</v>
      </c>
      <c r="H269" t="str">
        <f t="shared" si="23"/>
        <v>05</v>
      </c>
      <c r="I269" t="str">
        <f t="shared" si="24"/>
        <v>a</v>
      </c>
      <c r="J269" t="str">
        <f t="shared" si="21"/>
        <v>Line</v>
      </c>
      <c r="K269">
        <v>4613907.25</v>
      </c>
      <c r="L269">
        <v>413667.505</v>
      </c>
      <c r="M269">
        <v>0.28100000000000003</v>
      </c>
      <c r="AF269" s="1"/>
      <c r="AH269" s="1"/>
      <c r="AJ269" s="1"/>
    </row>
    <row r="270" spans="1:36" x14ac:dyDescent="0.25">
      <c r="A270" t="s">
        <v>37</v>
      </c>
      <c r="B270">
        <v>15</v>
      </c>
      <c r="C270" t="s">
        <v>38</v>
      </c>
      <c r="D270">
        <v>2019</v>
      </c>
      <c r="E270">
        <f t="shared" si="22"/>
        <v>100</v>
      </c>
      <c r="F270">
        <v>276</v>
      </c>
      <c r="G270" t="s">
        <v>27</v>
      </c>
      <c r="H270" t="str">
        <f t="shared" si="23"/>
        <v>33</v>
      </c>
      <c r="I270" t="str">
        <f t="shared" si="24"/>
        <v>c</v>
      </c>
      <c r="J270" t="str">
        <f t="shared" si="21"/>
        <v>MU</v>
      </c>
      <c r="K270">
        <v>4613904.9840000002</v>
      </c>
      <c r="L270">
        <v>413666.60499999998</v>
      </c>
      <c r="M270">
        <v>0.27</v>
      </c>
      <c r="AF270" s="1"/>
      <c r="AH270" s="1"/>
      <c r="AJ270" s="1"/>
    </row>
    <row r="271" spans="1:36" x14ac:dyDescent="0.25">
      <c r="A271" t="s">
        <v>37</v>
      </c>
      <c r="B271">
        <v>15</v>
      </c>
      <c r="C271" t="s">
        <v>38</v>
      </c>
      <c r="D271">
        <v>2019</v>
      </c>
      <c r="E271">
        <v>101</v>
      </c>
      <c r="F271">
        <v>290</v>
      </c>
      <c r="G271" t="s">
        <v>19</v>
      </c>
      <c r="H271" t="str">
        <f t="shared" si="23"/>
        <v>10</v>
      </c>
      <c r="I271" t="str">
        <f t="shared" si="24"/>
        <v>a</v>
      </c>
      <c r="J271" t="str">
        <f t="shared" si="21"/>
        <v>MU</v>
      </c>
      <c r="K271">
        <v>4613525.1050000004</v>
      </c>
      <c r="L271">
        <v>413629.185</v>
      </c>
      <c r="M271">
        <v>0.72199999999999998</v>
      </c>
      <c r="AF271" s="1"/>
      <c r="AH271" s="1"/>
      <c r="AJ271" s="1"/>
    </row>
    <row r="272" spans="1:36" x14ac:dyDescent="0.25">
      <c r="A272" t="s">
        <v>37</v>
      </c>
      <c r="B272">
        <v>15</v>
      </c>
      <c r="C272" t="s">
        <v>38</v>
      </c>
      <c r="D272">
        <v>2019</v>
      </c>
      <c r="E272">
        <f t="shared" ref="E272:E282" si="25">IF(G272=G271,E271,E271+1)</f>
        <v>102</v>
      </c>
      <c r="F272">
        <v>291</v>
      </c>
      <c r="G272" t="s">
        <v>17</v>
      </c>
      <c r="H272" t="str">
        <f t="shared" si="23"/>
        <v>01</v>
      </c>
      <c r="I272" t="str">
        <f t="shared" si="24"/>
        <v>a</v>
      </c>
      <c r="J272" t="str">
        <f t="shared" si="21"/>
        <v>MU</v>
      </c>
      <c r="K272">
        <v>4613644.898</v>
      </c>
      <c r="L272">
        <v>413580.37199999997</v>
      </c>
      <c r="M272">
        <v>0.31</v>
      </c>
      <c r="AF272" s="1"/>
      <c r="AH272" s="1"/>
      <c r="AJ272" s="1"/>
    </row>
    <row r="273" spans="1:36" x14ac:dyDescent="0.25">
      <c r="A273" t="s">
        <v>37</v>
      </c>
      <c r="B273">
        <v>15</v>
      </c>
      <c r="C273" t="s">
        <v>38</v>
      </c>
      <c r="D273">
        <v>2019</v>
      </c>
      <c r="E273">
        <f t="shared" si="25"/>
        <v>103</v>
      </c>
      <c r="F273">
        <v>292</v>
      </c>
      <c r="G273" t="s">
        <v>12</v>
      </c>
      <c r="H273" t="str">
        <f t="shared" si="23"/>
        <v>03</v>
      </c>
      <c r="I273" t="str">
        <f t="shared" si="24"/>
        <v>a</v>
      </c>
      <c r="J273" t="str">
        <f t="shared" si="21"/>
        <v>Line</v>
      </c>
      <c r="K273">
        <v>4613644.1050000004</v>
      </c>
      <c r="L273">
        <v>413582.14399999997</v>
      </c>
      <c r="M273">
        <v>0.45500000000000002</v>
      </c>
      <c r="AF273" s="1"/>
      <c r="AH273" s="1"/>
      <c r="AJ273" s="1"/>
    </row>
    <row r="274" spans="1:36" x14ac:dyDescent="0.25">
      <c r="A274" t="s">
        <v>37</v>
      </c>
      <c r="B274">
        <v>15</v>
      </c>
      <c r="C274" t="s">
        <v>38</v>
      </c>
      <c r="D274">
        <v>2019</v>
      </c>
      <c r="E274">
        <f t="shared" si="25"/>
        <v>103</v>
      </c>
      <c r="F274">
        <v>293</v>
      </c>
      <c r="G274" t="s">
        <v>12</v>
      </c>
      <c r="H274" t="str">
        <f t="shared" si="23"/>
        <v>03</v>
      </c>
      <c r="I274" t="str">
        <f t="shared" si="24"/>
        <v>a</v>
      </c>
      <c r="J274" t="str">
        <f t="shared" si="21"/>
        <v>Line</v>
      </c>
      <c r="K274">
        <v>4613644.9510000004</v>
      </c>
      <c r="L274">
        <v>413599.84499999997</v>
      </c>
      <c r="M274">
        <v>0.39800000000000002</v>
      </c>
      <c r="AF274" s="1"/>
      <c r="AH274" s="1"/>
      <c r="AJ274" s="1"/>
    </row>
    <row r="275" spans="1:36" x14ac:dyDescent="0.25">
      <c r="A275" t="s">
        <v>37</v>
      </c>
      <c r="B275">
        <v>15</v>
      </c>
      <c r="C275" t="s">
        <v>38</v>
      </c>
      <c r="D275">
        <v>2019</v>
      </c>
      <c r="E275">
        <f t="shared" si="25"/>
        <v>104</v>
      </c>
      <c r="F275">
        <v>294</v>
      </c>
      <c r="G275" t="s">
        <v>20</v>
      </c>
      <c r="H275" t="str">
        <f t="shared" si="23"/>
        <v>02</v>
      </c>
      <c r="I275" t="str">
        <f t="shared" si="24"/>
        <v>a</v>
      </c>
      <c r="J275" t="str">
        <f t="shared" si="21"/>
        <v>Line</v>
      </c>
      <c r="K275">
        <v>4613644.8449999997</v>
      </c>
      <c r="L275">
        <v>413601.67800000001</v>
      </c>
      <c r="M275">
        <v>0.35399999999999998</v>
      </c>
      <c r="AF275" s="1"/>
      <c r="AH275" s="1"/>
      <c r="AJ275" s="1"/>
    </row>
    <row r="276" spans="1:36" x14ac:dyDescent="0.25">
      <c r="A276" t="s">
        <v>37</v>
      </c>
      <c r="B276">
        <v>15</v>
      </c>
      <c r="C276" t="s">
        <v>38</v>
      </c>
      <c r="D276">
        <v>2019</v>
      </c>
      <c r="E276">
        <f t="shared" si="25"/>
        <v>104</v>
      </c>
      <c r="F276">
        <v>295</v>
      </c>
      <c r="G276" t="s">
        <v>20</v>
      </c>
      <c r="H276" t="str">
        <f t="shared" si="23"/>
        <v>02</v>
      </c>
      <c r="I276" t="str">
        <f t="shared" si="24"/>
        <v>a</v>
      </c>
      <c r="J276" t="str">
        <f t="shared" si="21"/>
        <v>Line</v>
      </c>
      <c r="K276">
        <v>4613644.8770000003</v>
      </c>
      <c r="L276">
        <v>413606.35800000001</v>
      </c>
      <c r="M276">
        <v>0.33900000000000002</v>
      </c>
      <c r="AF276" s="1"/>
      <c r="AH276" s="1"/>
      <c r="AJ276" s="1"/>
    </row>
    <row r="277" spans="1:36" x14ac:dyDescent="0.25">
      <c r="A277" t="s">
        <v>37</v>
      </c>
      <c r="B277">
        <v>15</v>
      </c>
      <c r="C277" t="s">
        <v>38</v>
      </c>
      <c r="D277">
        <v>2019</v>
      </c>
      <c r="E277">
        <f t="shared" si="25"/>
        <v>105</v>
      </c>
      <c r="F277">
        <v>296</v>
      </c>
      <c r="G277" t="s">
        <v>12</v>
      </c>
      <c r="H277" t="str">
        <f t="shared" si="23"/>
        <v>03</v>
      </c>
      <c r="I277" t="str">
        <f t="shared" si="24"/>
        <v>a</v>
      </c>
      <c r="J277" t="str">
        <f t="shared" si="21"/>
        <v>Line</v>
      </c>
      <c r="K277">
        <v>4613644.5619999999</v>
      </c>
      <c r="L277">
        <v>413608.38699999999</v>
      </c>
      <c r="M277">
        <v>0.36299999999999999</v>
      </c>
      <c r="AF277" s="1"/>
      <c r="AH277" s="1"/>
      <c r="AJ277" s="1"/>
    </row>
    <row r="278" spans="1:36" x14ac:dyDescent="0.25">
      <c r="A278" t="s">
        <v>37</v>
      </c>
      <c r="B278">
        <v>15</v>
      </c>
      <c r="C278" t="s">
        <v>38</v>
      </c>
      <c r="D278">
        <v>2019</v>
      </c>
      <c r="E278">
        <f t="shared" si="25"/>
        <v>105</v>
      </c>
      <c r="F278">
        <v>297</v>
      </c>
      <c r="G278" t="s">
        <v>12</v>
      </c>
      <c r="H278" t="str">
        <f t="shared" si="23"/>
        <v>03</v>
      </c>
      <c r="I278" t="str">
        <f t="shared" si="24"/>
        <v>a</v>
      </c>
      <c r="J278" t="str">
        <f t="shared" si="21"/>
        <v>Line</v>
      </c>
      <c r="K278">
        <v>4613653.4210000001</v>
      </c>
      <c r="L278">
        <v>413654.55900000001</v>
      </c>
      <c r="M278">
        <v>0.42199999999999999</v>
      </c>
      <c r="AF278" s="1"/>
      <c r="AH278" s="1"/>
      <c r="AJ278" s="1"/>
    </row>
    <row r="279" spans="1:36" x14ac:dyDescent="0.25">
      <c r="A279" t="s">
        <v>37</v>
      </c>
      <c r="B279">
        <v>15</v>
      </c>
      <c r="C279" t="s">
        <v>38</v>
      </c>
      <c r="D279">
        <v>2019</v>
      </c>
      <c r="E279">
        <f t="shared" si="25"/>
        <v>106</v>
      </c>
      <c r="F279">
        <v>298</v>
      </c>
      <c r="G279" t="s">
        <v>17</v>
      </c>
      <c r="H279" t="str">
        <f t="shared" si="23"/>
        <v>01</v>
      </c>
      <c r="I279" t="str">
        <f t="shared" si="24"/>
        <v>a</v>
      </c>
      <c r="J279" t="str">
        <f t="shared" si="21"/>
        <v>MU</v>
      </c>
      <c r="K279">
        <v>4613653.574</v>
      </c>
      <c r="L279">
        <v>413656.07</v>
      </c>
      <c r="M279">
        <v>0.34899999999999998</v>
      </c>
      <c r="AF279" s="1"/>
      <c r="AH279" s="1"/>
      <c r="AJ279" s="1"/>
    </row>
    <row r="280" spans="1:36" x14ac:dyDescent="0.25">
      <c r="A280" t="s">
        <v>37</v>
      </c>
      <c r="B280">
        <v>15</v>
      </c>
      <c r="C280" t="s">
        <v>38</v>
      </c>
      <c r="D280">
        <v>2019</v>
      </c>
      <c r="E280">
        <f t="shared" si="25"/>
        <v>107</v>
      </c>
      <c r="F280">
        <v>299</v>
      </c>
      <c r="G280" t="s">
        <v>20</v>
      </c>
      <c r="H280" t="str">
        <f t="shared" si="23"/>
        <v>02</v>
      </c>
      <c r="I280" t="str">
        <f t="shared" si="24"/>
        <v>a</v>
      </c>
      <c r="J280" t="str">
        <f t="shared" si="21"/>
        <v>Line</v>
      </c>
      <c r="K280">
        <v>4613681.8449999997</v>
      </c>
      <c r="L280">
        <v>413642.71899999998</v>
      </c>
      <c r="M280">
        <v>0.41599999999999998</v>
      </c>
      <c r="AF280" s="1"/>
      <c r="AH280" s="1"/>
      <c r="AJ280" s="1"/>
    </row>
    <row r="281" spans="1:36" x14ac:dyDescent="0.25">
      <c r="A281" t="s">
        <v>37</v>
      </c>
      <c r="B281">
        <v>15</v>
      </c>
      <c r="C281" t="s">
        <v>38</v>
      </c>
      <c r="D281">
        <v>2019</v>
      </c>
      <c r="E281">
        <f t="shared" si="25"/>
        <v>107</v>
      </c>
      <c r="F281">
        <v>300</v>
      </c>
      <c r="G281" t="s">
        <v>20</v>
      </c>
      <c r="H281" t="str">
        <f t="shared" si="23"/>
        <v>02</v>
      </c>
      <c r="I281" t="str">
        <f t="shared" si="24"/>
        <v>a</v>
      </c>
      <c r="J281" t="str">
        <f t="shared" si="21"/>
        <v>Line</v>
      </c>
      <c r="K281">
        <v>4613688.5619999999</v>
      </c>
      <c r="L281">
        <v>413626.52600000001</v>
      </c>
      <c r="M281">
        <v>0.41799999999999998</v>
      </c>
      <c r="AF281" s="1"/>
      <c r="AH281" s="1"/>
      <c r="AJ281" s="1"/>
    </row>
    <row r="282" spans="1:36" x14ac:dyDescent="0.25">
      <c r="A282" t="s">
        <v>37</v>
      </c>
      <c r="B282">
        <v>15</v>
      </c>
      <c r="C282" t="s">
        <v>38</v>
      </c>
      <c r="D282">
        <v>2019</v>
      </c>
      <c r="E282">
        <f t="shared" si="25"/>
        <v>108</v>
      </c>
      <c r="F282">
        <v>301</v>
      </c>
      <c r="G282" t="s">
        <v>29</v>
      </c>
      <c r="H282" t="str">
        <f t="shared" si="23"/>
        <v>01</v>
      </c>
      <c r="I282" t="str">
        <f t="shared" si="24"/>
        <v>ae</v>
      </c>
      <c r="J282" t="str">
        <f t="shared" si="21"/>
        <v>MU</v>
      </c>
      <c r="K282">
        <v>4613689.22</v>
      </c>
      <c r="L282">
        <v>413625.04300000001</v>
      </c>
      <c r="M282">
        <v>0.3</v>
      </c>
      <c r="AF282" s="1"/>
      <c r="AH282" s="1"/>
      <c r="AJ282" s="1"/>
    </row>
    <row r="283" spans="1:36" x14ac:dyDescent="0.25">
      <c r="A283" t="s">
        <v>37</v>
      </c>
      <c r="E283">
        <v>109</v>
      </c>
      <c r="F283">
        <v>302</v>
      </c>
      <c r="G283" t="s">
        <v>30</v>
      </c>
      <c r="H283" t="str">
        <f t="shared" si="23"/>
        <v>22</v>
      </c>
      <c r="I283" t="str">
        <f t="shared" si="24"/>
        <v>kr</v>
      </c>
      <c r="J283" t="str">
        <f t="shared" si="21"/>
        <v>MU</v>
      </c>
      <c r="K283">
        <v>4613505.1069999998</v>
      </c>
      <c r="L283">
        <v>413591.98499999999</v>
      </c>
      <c r="M283">
        <v>0.437</v>
      </c>
      <c r="AF283" s="1"/>
      <c r="AH283" s="1"/>
      <c r="AJ283" s="1"/>
    </row>
    <row r="284" spans="1:36" x14ac:dyDescent="0.25">
      <c r="A284" t="s">
        <v>37</v>
      </c>
      <c r="E284">
        <v>110</v>
      </c>
      <c r="F284">
        <v>303</v>
      </c>
      <c r="G284" t="s">
        <v>30</v>
      </c>
      <c r="H284" t="str">
        <f t="shared" si="23"/>
        <v>22</v>
      </c>
      <c r="I284" t="str">
        <f t="shared" si="24"/>
        <v>kr</v>
      </c>
      <c r="J284" t="str">
        <f t="shared" si="21"/>
        <v>MU</v>
      </c>
      <c r="K284">
        <v>4613509.4550000001</v>
      </c>
      <c r="L284">
        <v>413592.06</v>
      </c>
      <c r="M284">
        <v>0.48399999999999999</v>
      </c>
      <c r="AF284" s="1"/>
      <c r="AH284" s="1"/>
      <c r="AJ284" s="1"/>
    </row>
    <row r="285" spans="1:36" x14ac:dyDescent="0.25">
      <c r="A285" t="s">
        <v>37</v>
      </c>
      <c r="E285">
        <v>111</v>
      </c>
      <c r="F285">
        <v>304</v>
      </c>
      <c r="G285" t="s">
        <v>30</v>
      </c>
      <c r="H285" t="str">
        <f t="shared" si="23"/>
        <v>22</v>
      </c>
      <c r="I285" t="str">
        <f t="shared" si="24"/>
        <v>kr</v>
      </c>
      <c r="J285" t="str">
        <f t="shared" si="21"/>
        <v>Line</v>
      </c>
      <c r="K285">
        <v>4613515.3229999999</v>
      </c>
      <c r="L285">
        <v>413589.87099999998</v>
      </c>
      <c r="M285">
        <v>0.74199999999999999</v>
      </c>
      <c r="AF285" s="1"/>
      <c r="AH285" s="1"/>
      <c r="AJ285" s="1"/>
    </row>
    <row r="286" spans="1:36" x14ac:dyDescent="0.25">
      <c r="A286" t="s">
        <v>37</v>
      </c>
      <c r="E286">
        <v>111</v>
      </c>
      <c r="F286">
        <v>305</v>
      </c>
      <c r="G286" t="s">
        <v>30</v>
      </c>
      <c r="H286" t="str">
        <f t="shared" si="23"/>
        <v>22</v>
      </c>
      <c r="I286" t="str">
        <f t="shared" si="24"/>
        <v>kr</v>
      </c>
      <c r="J286" t="str">
        <f t="shared" si="21"/>
        <v>Line</v>
      </c>
      <c r="K286">
        <v>4613518.66</v>
      </c>
      <c r="L286">
        <v>413591.076</v>
      </c>
      <c r="M286">
        <v>0.52900000000000003</v>
      </c>
      <c r="AF286" s="1"/>
      <c r="AH286" s="1"/>
      <c r="AJ286" s="1"/>
    </row>
    <row r="287" spans="1:36" x14ac:dyDescent="0.25">
      <c r="A287" t="s">
        <v>37</v>
      </c>
      <c r="E287">
        <v>111</v>
      </c>
      <c r="F287">
        <v>306</v>
      </c>
      <c r="G287" t="s">
        <v>30</v>
      </c>
      <c r="H287" t="str">
        <f t="shared" si="23"/>
        <v>22</v>
      </c>
      <c r="I287" t="str">
        <f t="shared" si="24"/>
        <v>kr</v>
      </c>
      <c r="J287" t="str">
        <f t="shared" si="21"/>
        <v>Line</v>
      </c>
      <c r="K287">
        <v>4613520.1809999999</v>
      </c>
      <c r="L287">
        <v>413590.47700000001</v>
      </c>
      <c r="M287">
        <v>0.501</v>
      </c>
      <c r="AF287" s="1"/>
      <c r="AH287" s="1"/>
      <c r="AJ287" s="1"/>
    </row>
    <row r="288" spans="1:36" x14ac:dyDescent="0.25">
      <c r="A288" t="s">
        <v>37</v>
      </c>
      <c r="E288">
        <v>111</v>
      </c>
      <c r="F288">
        <v>307</v>
      </c>
      <c r="G288" t="s">
        <v>30</v>
      </c>
      <c r="H288" t="str">
        <f t="shared" si="23"/>
        <v>22</v>
      </c>
      <c r="I288" t="str">
        <f t="shared" si="24"/>
        <v>kr</v>
      </c>
      <c r="J288" t="str">
        <f t="shared" si="21"/>
        <v>Line</v>
      </c>
      <c r="K288">
        <v>4613527.4730000002</v>
      </c>
      <c r="L288">
        <v>413587.91100000002</v>
      </c>
      <c r="M288">
        <v>0.13200000000000001</v>
      </c>
      <c r="AF288" s="1"/>
      <c r="AH288" s="1"/>
      <c r="AJ288" s="1"/>
    </row>
    <row r="289" spans="1:36" x14ac:dyDescent="0.25">
      <c r="A289" t="s">
        <v>37</v>
      </c>
      <c r="E289">
        <v>112</v>
      </c>
      <c r="F289">
        <v>309</v>
      </c>
      <c r="G289" t="s">
        <v>4</v>
      </c>
      <c r="H289" t="str">
        <f t="shared" si="23"/>
        <v>22</v>
      </c>
      <c r="I289" t="str">
        <f t="shared" si="24"/>
        <v>jr</v>
      </c>
      <c r="J289" t="str">
        <f t="shared" si="21"/>
        <v>MU</v>
      </c>
      <c r="K289">
        <v>4613567.8949999996</v>
      </c>
      <c r="L289">
        <v>413582.79700000002</v>
      </c>
      <c r="M289">
        <v>-0.20799999999999999</v>
      </c>
      <c r="AF289" s="1"/>
      <c r="AH289" s="1"/>
      <c r="AJ289" s="1"/>
    </row>
    <row r="290" spans="1:36" x14ac:dyDescent="0.25">
      <c r="A290" t="s">
        <v>37</v>
      </c>
      <c r="E290">
        <v>113</v>
      </c>
      <c r="F290">
        <v>310</v>
      </c>
      <c r="G290" t="s">
        <v>4</v>
      </c>
      <c r="H290" t="str">
        <f t="shared" si="23"/>
        <v>22</v>
      </c>
      <c r="I290" t="str">
        <f t="shared" si="24"/>
        <v>jr</v>
      </c>
      <c r="J290" t="str">
        <f t="shared" si="21"/>
        <v>Line</v>
      </c>
      <c r="K290">
        <v>4613597.1289999997</v>
      </c>
      <c r="L290">
        <v>413579.62099999998</v>
      </c>
      <c r="M290">
        <v>-8.3000000000000004E-2</v>
      </c>
      <c r="AF290" s="1"/>
      <c r="AH290" s="1"/>
      <c r="AJ290" s="1"/>
    </row>
    <row r="291" spans="1:36" x14ac:dyDescent="0.25">
      <c r="A291" t="s">
        <v>37</v>
      </c>
      <c r="E291">
        <v>113</v>
      </c>
      <c r="F291">
        <v>311</v>
      </c>
      <c r="G291" t="s">
        <v>4</v>
      </c>
      <c r="H291" t="str">
        <f t="shared" si="23"/>
        <v>22</v>
      </c>
      <c r="I291" t="str">
        <f t="shared" si="24"/>
        <v>jr</v>
      </c>
      <c r="J291" t="str">
        <f t="shared" si="21"/>
        <v>Line</v>
      </c>
      <c r="K291">
        <v>4613607.0690000001</v>
      </c>
      <c r="L291">
        <v>413571.60399999999</v>
      </c>
      <c r="M291">
        <v>-3.6999999999999998E-2</v>
      </c>
      <c r="AF291" s="1"/>
      <c r="AH291" s="1"/>
      <c r="AJ291" s="1"/>
    </row>
    <row r="292" spans="1:36" x14ac:dyDescent="0.25">
      <c r="A292" t="s">
        <v>37</v>
      </c>
      <c r="E292">
        <v>114</v>
      </c>
      <c r="F292">
        <v>312</v>
      </c>
      <c r="G292" t="s">
        <v>32</v>
      </c>
      <c r="H292" t="str">
        <f t="shared" si="23"/>
        <v>22</v>
      </c>
      <c r="I292" t="str">
        <f t="shared" si="24"/>
        <v>gkr</v>
      </c>
      <c r="J292" t="str">
        <f t="shared" si="21"/>
        <v>Line</v>
      </c>
      <c r="K292">
        <v>4613669.693</v>
      </c>
      <c r="L292">
        <v>413578.989</v>
      </c>
      <c r="M292">
        <v>-5.7000000000000002E-2</v>
      </c>
      <c r="AF292" s="1"/>
      <c r="AH292" s="1"/>
      <c r="AJ292" s="1"/>
    </row>
    <row r="293" spans="1:36" x14ac:dyDescent="0.25">
      <c r="A293" t="s">
        <v>37</v>
      </c>
      <c r="E293">
        <v>114</v>
      </c>
      <c r="F293">
        <v>313</v>
      </c>
      <c r="G293" t="s">
        <v>32</v>
      </c>
      <c r="H293" t="str">
        <f t="shared" si="23"/>
        <v>22</v>
      </c>
      <c r="I293" t="str">
        <f t="shared" si="24"/>
        <v>gkr</v>
      </c>
      <c r="J293" t="str">
        <f t="shared" si="21"/>
        <v>Line</v>
      </c>
      <c r="K293">
        <v>4613666.1880000001</v>
      </c>
      <c r="L293">
        <v>413575.59100000001</v>
      </c>
      <c r="M293">
        <v>-6.7000000000000004E-2</v>
      </c>
      <c r="AF293" s="1"/>
      <c r="AH293" s="1"/>
      <c r="AJ293" s="1"/>
    </row>
    <row r="294" spans="1:36" x14ac:dyDescent="0.25">
      <c r="A294" t="s">
        <v>37</v>
      </c>
      <c r="E294">
        <v>114</v>
      </c>
      <c r="F294">
        <v>314</v>
      </c>
      <c r="G294" t="s">
        <v>32</v>
      </c>
      <c r="H294" t="str">
        <f t="shared" si="23"/>
        <v>22</v>
      </c>
      <c r="I294" t="str">
        <f t="shared" si="24"/>
        <v>gkr</v>
      </c>
      <c r="J294" t="str">
        <f t="shared" si="21"/>
        <v>Line</v>
      </c>
      <c r="K294">
        <v>4613662.6490000002</v>
      </c>
      <c r="L294">
        <v>413573.53600000002</v>
      </c>
      <c r="M294">
        <v>-2.8000000000000001E-2</v>
      </c>
      <c r="AF294" s="1"/>
      <c r="AH294" s="1"/>
      <c r="AJ294" s="1"/>
    </row>
    <row r="295" spans="1:36" x14ac:dyDescent="0.25">
      <c r="A295" t="s">
        <v>37</v>
      </c>
      <c r="E295">
        <v>115</v>
      </c>
      <c r="F295">
        <v>315</v>
      </c>
      <c r="G295" t="s">
        <v>5</v>
      </c>
      <c r="H295" t="str">
        <f t="shared" si="23"/>
        <v>22</v>
      </c>
      <c r="I295" t="str">
        <f t="shared" si="24"/>
        <v>gjr</v>
      </c>
      <c r="J295" t="str">
        <f t="shared" si="21"/>
        <v>MU</v>
      </c>
      <c r="K295">
        <v>4613659.5080000004</v>
      </c>
      <c r="L295">
        <v>413571.80599999998</v>
      </c>
      <c r="M295">
        <v>-2.1000000000000001E-2</v>
      </c>
      <c r="AF295" s="1"/>
      <c r="AH295" s="1"/>
      <c r="AJ295" s="1"/>
    </row>
    <row r="296" spans="1:36" x14ac:dyDescent="0.25">
      <c r="A296" t="s">
        <v>37</v>
      </c>
      <c r="E296">
        <v>116</v>
      </c>
      <c r="F296">
        <v>316</v>
      </c>
      <c r="G296" t="s">
        <v>32</v>
      </c>
      <c r="H296" t="str">
        <f t="shared" si="23"/>
        <v>22</v>
      </c>
      <c r="I296" t="str">
        <f t="shared" si="24"/>
        <v>gkr</v>
      </c>
      <c r="J296" t="str">
        <f t="shared" si="21"/>
        <v>Line</v>
      </c>
      <c r="K296">
        <v>4613647.3430000003</v>
      </c>
      <c r="L296">
        <v>413580.02399999998</v>
      </c>
      <c r="M296">
        <v>3.6999999999999998E-2</v>
      </c>
      <c r="AF296" s="1"/>
      <c r="AH296" s="1"/>
      <c r="AJ296" s="1"/>
    </row>
    <row r="297" spans="1:36" x14ac:dyDescent="0.25">
      <c r="A297" t="s">
        <v>37</v>
      </c>
      <c r="E297">
        <v>116</v>
      </c>
      <c r="F297">
        <v>317</v>
      </c>
      <c r="G297" t="s">
        <v>32</v>
      </c>
      <c r="H297" t="str">
        <f t="shared" si="23"/>
        <v>22</v>
      </c>
      <c r="I297" t="str">
        <f t="shared" si="24"/>
        <v>gkr</v>
      </c>
      <c r="J297" t="str">
        <f t="shared" ref="J297:J306" si="26">IF(OR((E297=E298),(E297=E296)),"Line","MU")</f>
        <v>Line</v>
      </c>
      <c r="K297">
        <v>4613650.7699999996</v>
      </c>
      <c r="L297">
        <v>413582.864</v>
      </c>
      <c r="M297">
        <v>0.151</v>
      </c>
      <c r="AF297" s="1"/>
      <c r="AH297" s="1"/>
      <c r="AJ297" s="1"/>
    </row>
    <row r="298" spans="1:36" x14ac:dyDescent="0.25">
      <c r="A298" t="s">
        <v>37</v>
      </c>
      <c r="E298">
        <v>116</v>
      </c>
      <c r="F298">
        <v>318</v>
      </c>
      <c r="G298" t="s">
        <v>32</v>
      </c>
      <c r="H298" t="str">
        <f t="shared" si="23"/>
        <v>22</v>
      </c>
      <c r="I298" t="str">
        <f t="shared" si="24"/>
        <v>gkr</v>
      </c>
      <c r="J298" t="str">
        <f t="shared" si="26"/>
        <v>Line</v>
      </c>
      <c r="K298">
        <v>4613653.6469999999</v>
      </c>
      <c r="L298">
        <v>413586.19300000003</v>
      </c>
      <c r="M298">
        <v>0.107</v>
      </c>
      <c r="AF298" s="1"/>
      <c r="AH298" s="1"/>
      <c r="AJ298" s="1"/>
    </row>
    <row r="299" spans="1:36" x14ac:dyDescent="0.25">
      <c r="A299" t="s">
        <v>37</v>
      </c>
      <c r="E299">
        <v>117</v>
      </c>
      <c r="F299">
        <v>319</v>
      </c>
      <c r="G299" t="s">
        <v>30</v>
      </c>
      <c r="H299" t="str">
        <f t="shared" si="23"/>
        <v>22</v>
      </c>
      <c r="I299" t="str">
        <f t="shared" si="24"/>
        <v>kr</v>
      </c>
      <c r="J299" t="str">
        <f t="shared" si="26"/>
        <v>MU</v>
      </c>
      <c r="K299">
        <v>4613637.0729999999</v>
      </c>
      <c r="L299">
        <v>413577.33299999998</v>
      </c>
      <c r="M299">
        <v>6.6000000000000003E-2</v>
      </c>
      <c r="AF299" s="1"/>
      <c r="AH299" s="1"/>
      <c r="AJ299" s="1"/>
    </row>
    <row r="300" spans="1:36" x14ac:dyDescent="0.25">
      <c r="A300" t="s">
        <v>37</v>
      </c>
      <c r="E300">
        <v>118</v>
      </c>
      <c r="F300">
        <v>320</v>
      </c>
      <c r="G300" t="s">
        <v>31</v>
      </c>
      <c r="H300" t="str">
        <f t="shared" si="23"/>
        <v>22</v>
      </c>
      <c r="I300" t="str">
        <f t="shared" si="24"/>
        <v>k</v>
      </c>
      <c r="J300" t="str">
        <f t="shared" si="26"/>
        <v>Line</v>
      </c>
      <c r="K300">
        <v>4613619.9709999999</v>
      </c>
      <c r="L300">
        <v>413576.07500000001</v>
      </c>
      <c r="M300">
        <v>-4.3999999999999997E-2</v>
      </c>
      <c r="AF300" s="1"/>
      <c r="AH300" s="1"/>
      <c r="AJ300" s="1"/>
    </row>
    <row r="301" spans="1:36" x14ac:dyDescent="0.25">
      <c r="A301" t="s">
        <v>37</v>
      </c>
      <c r="E301">
        <v>118</v>
      </c>
      <c r="F301">
        <v>321</v>
      </c>
      <c r="G301" t="s">
        <v>31</v>
      </c>
      <c r="H301" t="str">
        <f t="shared" si="23"/>
        <v>22</v>
      </c>
      <c r="I301" t="str">
        <f t="shared" si="24"/>
        <v>k</v>
      </c>
      <c r="J301" t="str">
        <f t="shared" si="26"/>
        <v>Line</v>
      </c>
      <c r="K301">
        <v>4613608.3439999996</v>
      </c>
      <c r="L301">
        <v>413584.37</v>
      </c>
      <c r="M301">
        <v>1.7999999999999999E-2</v>
      </c>
      <c r="AF301" s="1"/>
      <c r="AH301" s="1"/>
      <c r="AJ301" s="1"/>
    </row>
    <row r="302" spans="1:36" x14ac:dyDescent="0.25">
      <c r="A302" t="s">
        <v>37</v>
      </c>
      <c r="E302">
        <v>118</v>
      </c>
      <c r="F302">
        <v>322</v>
      </c>
      <c r="G302" t="s">
        <v>31</v>
      </c>
      <c r="H302" t="str">
        <f t="shared" si="23"/>
        <v>22</v>
      </c>
      <c r="I302" t="str">
        <f t="shared" si="24"/>
        <v>k</v>
      </c>
      <c r="J302" t="str">
        <f t="shared" si="26"/>
        <v>Line</v>
      </c>
      <c r="K302">
        <v>4613593.1840000004</v>
      </c>
      <c r="L302">
        <v>413589.02</v>
      </c>
      <c r="M302">
        <v>-0.112</v>
      </c>
      <c r="AF302" s="1"/>
      <c r="AH302" s="1"/>
      <c r="AJ302" s="1"/>
    </row>
    <row r="303" spans="1:36" x14ac:dyDescent="0.25">
      <c r="A303" t="s">
        <v>37</v>
      </c>
      <c r="E303">
        <v>119</v>
      </c>
      <c r="F303">
        <v>323</v>
      </c>
      <c r="G303" t="s">
        <v>30</v>
      </c>
      <c r="H303" t="str">
        <f t="shared" si="23"/>
        <v>22</v>
      </c>
      <c r="I303" t="str">
        <f t="shared" si="24"/>
        <v>kr</v>
      </c>
      <c r="J303" t="str">
        <f t="shared" si="26"/>
        <v>MU</v>
      </c>
      <c r="K303">
        <v>4613585.2580000004</v>
      </c>
      <c r="L303">
        <v>413604.022</v>
      </c>
      <c r="M303">
        <v>-8.3000000000000004E-2</v>
      </c>
      <c r="AF303" s="1"/>
      <c r="AH303" s="1"/>
      <c r="AJ303" s="1"/>
    </row>
    <row r="304" spans="1:36" x14ac:dyDescent="0.25">
      <c r="A304" t="s">
        <v>37</v>
      </c>
      <c r="E304">
        <v>120</v>
      </c>
      <c r="F304">
        <v>324</v>
      </c>
      <c r="G304" t="s">
        <v>4</v>
      </c>
      <c r="H304" t="str">
        <f t="shared" si="23"/>
        <v>22</v>
      </c>
      <c r="I304" t="str">
        <f t="shared" si="24"/>
        <v>jr</v>
      </c>
      <c r="J304" t="str">
        <f t="shared" si="26"/>
        <v>MU</v>
      </c>
      <c r="K304">
        <v>4613574.2549999999</v>
      </c>
      <c r="L304">
        <v>413606.29499999998</v>
      </c>
      <c r="M304">
        <v>3.1E-2</v>
      </c>
      <c r="AF304" s="1"/>
      <c r="AH304" s="1"/>
      <c r="AJ304" s="1"/>
    </row>
    <row r="305" spans="1:36" x14ac:dyDescent="0.25">
      <c r="A305" t="s">
        <v>37</v>
      </c>
      <c r="E305">
        <v>121</v>
      </c>
      <c r="F305">
        <v>325</v>
      </c>
      <c r="G305" t="s">
        <v>31</v>
      </c>
      <c r="H305" t="str">
        <f t="shared" si="23"/>
        <v>22</v>
      </c>
      <c r="I305" t="str">
        <f t="shared" si="24"/>
        <v>k</v>
      </c>
      <c r="J305" t="str">
        <f t="shared" si="26"/>
        <v>MU</v>
      </c>
      <c r="K305">
        <v>4613537.8530000001</v>
      </c>
      <c r="L305">
        <v>413591.07400000002</v>
      </c>
      <c r="M305">
        <v>0.34300000000000003</v>
      </c>
      <c r="AF305" s="1"/>
      <c r="AH305" s="1"/>
      <c r="AJ305" s="1"/>
    </row>
    <row r="306" spans="1:36" x14ac:dyDescent="0.25">
      <c r="A306" t="s">
        <v>37</v>
      </c>
      <c r="E306">
        <v>122</v>
      </c>
      <c r="F306">
        <v>326</v>
      </c>
      <c r="G306" t="s">
        <v>31</v>
      </c>
      <c r="H306" t="str">
        <f t="shared" si="23"/>
        <v>22</v>
      </c>
      <c r="I306" t="str">
        <f t="shared" si="24"/>
        <v>k</v>
      </c>
      <c r="J306" t="str">
        <f t="shared" si="26"/>
        <v>MU</v>
      </c>
      <c r="K306">
        <v>4613526.55</v>
      </c>
      <c r="L306">
        <v>413597.09899999999</v>
      </c>
      <c r="M306">
        <v>0.253</v>
      </c>
      <c r="AF306" s="1"/>
      <c r="AH306" s="1"/>
      <c r="AJ306" s="1"/>
    </row>
    <row r="307" spans="1:36" x14ac:dyDescent="0.25">
      <c r="AF307" s="1"/>
      <c r="AH307" s="1"/>
      <c r="AJ307" s="1"/>
    </row>
    <row r="308" spans="1:36" x14ac:dyDescent="0.25">
      <c r="AF308" s="1"/>
      <c r="AH308" s="1"/>
      <c r="AJ308" s="1"/>
    </row>
    <row r="309" spans="1:36" x14ac:dyDescent="0.25">
      <c r="AF309" s="1"/>
      <c r="AH309" s="1"/>
      <c r="AJ309" s="1"/>
    </row>
    <row r="310" spans="1:36" x14ac:dyDescent="0.25">
      <c r="AF310" s="1"/>
      <c r="AH310" s="1"/>
      <c r="AJ310" s="1"/>
    </row>
    <row r="311" spans="1:36" x14ac:dyDescent="0.25">
      <c r="AF311" s="1"/>
      <c r="AH311" s="1"/>
      <c r="AJ311" s="1"/>
    </row>
    <row r="312" spans="1:36" x14ac:dyDescent="0.25">
      <c r="AF312" s="1"/>
      <c r="AH312" s="1"/>
      <c r="AJ312" s="1"/>
    </row>
    <row r="313" spans="1:36" x14ac:dyDescent="0.25">
      <c r="AF313" s="1"/>
      <c r="AH313" s="1"/>
      <c r="AJ313" s="1"/>
    </row>
    <row r="314" spans="1:36" x14ac:dyDescent="0.25">
      <c r="AF314" s="1"/>
      <c r="AH314" s="1"/>
      <c r="AJ314" s="1"/>
    </row>
    <row r="315" spans="1:36" x14ac:dyDescent="0.25">
      <c r="AF315" s="1"/>
      <c r="AH315" s="1"/>
      <c r="AJ315" s="1"/>
    </row>
    <row r="316" spans="1:36" x14ac:dyDescent="0.25">
      <c r="AF316" s="1"/>
      <c r="AH316" s="1"/>
      <c r="AJ316" s="1"/>
    </row>
    <row r="317" spans="1:36" x14ac:dyDescent="0.25">
      <c r="AF317" s="1"/>
      <c r="AH317" s="1"/>
      <c r="AJ317" s="1"/>
    </row>
    <row r="318" spans="1:36" x14ac:dyDescent="0.25">
      <c r="AF318" s="1"/>
      <c r="AH318" s="1"/>
      <c r="AJ318" s="1"/>
    </row>
    <row r="319" spans="1:36" x14ac:dyDescent="0.25">
      <c r="AF319" s="1"/>
      <c r="AH319" s="1"/>
      <c r="AJ319" s="1"/>
    </row>
    <row r="320" spans="1:36" x14ac:dyDescent="0.25">
      <c r="AF320" s="1"/>
      <c r="AH320" s="1"/>
      <c r="AJ320" s="1"/>
    </row>
  </sheetData>
  <autoFilter ref="A1:N3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96F5-5FBF-453A-8629-E8D7F6AEE4E5}">
  <dimension ref="A1:N217"/>
  <sheetViews>
    <sheetView workbookViewId="0">
      <selection activeCell="I9" sqref="I9"/>
    </sheetView>
  </sheetViews>
  <sheetFormatPr defaultRowHeight="15" x14ac:dyDescent="0.25"/>
  <sheetData>
    <row r="1" spans="1:14" x14ac:dyDescent="0.25">
      <c r="A1" t="s">
        <v>33</v>
      </c>
      <c r="B1" t="s">
        <v>34</v>
      </c>
      <c r="C1" t="s">
        <v>35</v>
      </c>
      <c r="D1" t="s">
        <v>36</v>
      </c>
      <c r="E1" t="s">
        <v>43</v>
      </c>
      <c r="F1" t="s">
        <v>44</v>
      </c>
      <c r="G1" t="s">
        <v>45</v>
      </c>
      <c r="H1" t="s">
        <v>0</v>
      </c>
      <c r="I1" t="s">
        <v>46</v>
      </c>
      <c r="J1" t="s">
        <v>39</v>
      </c>
      <c r="K1" t="s">
        <v>1</v>
      </c>
      <c r="L1" t="s">
        <v>2</v>
      </c>
      <c r="M1" t="s">
        <v>3</v>
      </c>
      <c r="N1" t="s">
        <v>47</v>
      </c>
    </row>
    <row r="2" spans="1:14" x14ac:dyDescent="0.25">
      <c r="A2" t="s">
        <v>37</v>
      </c>
      <c r="B2">
        <v>14</v>
      </c>
      <c r="C2" t="s">
        <v>38</v>
      </c>
      <c r="D2">
        <v>2019</v>
      </c>
      <c r="E2">
        <v>1</v>
      </c>
      <c r="F2">
        <v>1</v>
      </c>
      <c r="G2" t="s">
        <v>6</v>
      </c>
      <c r="H2" t="s">
        <v>48</v>
      </c>
      <c r="I2" t="s">
        <v>49</v>
      </c>
      <c r="J2" t="s">
        <v>40</v>
      </c>
      <c r="K2">
        <v>4613427.5219999999</v>
      </c>
      <c r="L2">
        <v>413588.12199999997</v>
      </c>
      <c r="M2">
        <v>1.19</v>
      </c>
    </row>
    <row r="3" spans="1:14" x14ac:dyDescent="0.25">
      <c r="A3" t="s">
        <v>37</v>
      </c>
      <c r="B3">
        <v>14</v>
      </c>
      <c r="C3" t="s">
        <v>38</v>
      </c>
      <c r="D3">
        <v>2019</v>
      </c>
      <c r="E3">
        <v>1</v>
      </c>
      <c r="F3">
        <v>2</v>
      </c>
      <c r="G3" t="s">
        <v>6</v>
      </c>
      <c r="H3" t="s">
        <v>48</v>
      </c>
      <c r="I3" t="s">
        <v>49</v>
      </c>
      <c r="J3" t="s">
        <v>40</v>
      </c>
      <c r="K3">
        <v>4613460.0549999997</v>
      </c>
      <c r="L3">
        <v>413585.505</v>
      </c>
      <c r="M3">
        <v>0.91600000000000004</v>
      </c>
    </row>
    <row r="4" spans="1:14" x14ac:dyDescent="0.25">
      <c r="A4" t="s">
        <v>37</v>
      </c>
      <c r="B4">
        <v>14</v>
      </c>
      <c r="C4" t="s">
        <v>38</v>
      </c>
      <c r="D4">
        <v>2019</v>
      </c>
      <c r="E4">
        <v>4</v>
      </c>
      <c r="F4">
        <v>6</v>
      </c>
      <c r="G4" t="s">
        <v>9</v>
      </c>
      <c r="H4" t="s">
        <v>50</v>
      </c>
      <c r="I4" t="s">
        <v>51</v>
      </c>
      <c r="J4" t="s">
        <v>40</v>
      </c>
      <c r="K4">
        <v>4613460.7110000001</v>
      </c>
      <c r="L4">
        <v>413574.86599999998</v>
      </c>
      <c r="M4">
        <v>1.1819999999999999</v>
      </c>
    </row>
    <row r="5" spans="1:14" x14ac:dyDescent="0.25">
      <c r="A5" t="s">
        <v>37</v>
      </c>
      <c r="B5">
        <v>14</v>
      </c>
      <c r="C5" t="s">
        <v>38</v>
      </c>
      <c r="D5">
        <v>2019</v>
      </c>
      <c r="E5">
        <v>4</v>
      </c>
      <c r="F5">
        <v>7</v>
      </c>
      <c r="G5" t="s">
        <v>9</v>
      </c>
      <c r="H5" t="s">
        <v>50</v>
      </c>
      <c r="I5" t="s">
        <v>51</v>
      </c>
      <c r="J5" t="s">
        <v>40</v>
      </c>
      <c r="K5">
        <v>4613461.051</v>
      </c>
      <c r="L5">
        <v>413570.50900000002</v>
      </c>
      <c r="M5">
        <v>0.91200000000000003</v>
      </c>
    </row>
    <row r="6" spans="1:14" x14ac:dyDescent="0.25">
      <c r="A6" t="s">
        <v>37</v>
      </c>
      <c r="B6">
        <v>14</v>
      </c>
      <c r="C6" t="s">
        <v>38</v>
      </c>
      <c r="D6">
        <v>2019</v>
      </c>
      <c r="E6">
        <v>7</v>
      </c>
      <c r="F6">
        <v>10</v>
      </c>
      <c r="G6" t="s">
        <v>12</v>
      </c>
      <c r="H6" t="s">
        <v>52</v>
      </c>
      <c r="I6" t="s">
        <v>53</v>
      </c>
      <c r="J6" t="s">
        <v>40</v>
      </c>
      <c r="K6">
        <v>4613458.6880000001</v>
      </c>
      <c r="L6">
        <v>413564.23700000002</v>
      </c>
      <c r="M6">
        <v>0.52700000000000002</v>
      </c>
    </row>
    <row r="7" spans="1:14" x14ac:dyDescent="0.25">
      <c r="A7" t="s">
        <v>37</v>
      </c>
      <c r="B7">
        <v>14</v>
      </c>
      <c r="C7" t="s">
        <v>38</v>
      </c>
      <c r="D7">
        <v>2019</v>
      </c>
      <c r="E7">
        <v>7</v>
      </c>
      <c r="F7">
        <v>11</v>
      </c>
      <c r="G7" t="s">
        <v>12</v>
      </c>
      <c r="H7" t="s">
        <v>52</v>
      </c>
      <c r="I7" t="s">
        <v>53</v>
      </c>
      <c r="J7" t="s">
        <v>40</v>
      </c>
      <c r="K7">
        <v>4613450.9349999996</v>
      </c>
      <c r="L7">
        <v>413563.94300000003</v>
      </c>
      <c r="M7">
        <v>0.52400000000000002</v>
      </c>
    </row>
    <row r="8" spans="1:14" x14ac:dyDescent="0.25">
      <c r="A8" t="s">
        <v>37</v>
      </c>
      <c r="B8">
        <v>14</v>
      </c>
      <c r="C8" t="s">
        <v>38</v>
      </c>
      <c r="D8">
        <v>2019</v>
      </c>
      <c r="E8">
        <v>8</v>
      </c>
      <c r="F8">
        <v>12</v>
      </c>
      <c r="G8" t="s">
        <v>10</v>
      </c>
      <c r="H8" t="s">
        <v>54</v>
      </c>
      <c r="I8" t="s">
        <v>53</v>
      </c>
      <c r="J8" t="s">
        <v>40</v>
      </c>
      <c r="K8">
        <v>4613448.9230000004</v>
      </c>
      <c r="L8">
        <v>413564.10800000001</v>
      </c>
      <c r="M8">
        <v>0.59899999999999998</v>
      </c>
    </row>
    <row r="9" spans="1:14" x14ac:dyDescent="0.25">
      <c r="A9" t="s">
        <v>37</v>
      </c>
      <c r="B9">
        <v>14</v>
      </c>
      <c r="C9" t="s">
        <v>38</v>
      </c>
      <c r="D9">
        <v>2019</v>
      </c>
      <c r="E9">
        <v>8</v>
      </c>
      <c r="F9">
        <v>13</v>
      </c>
      <c r="G9" t="s">
        <v>10</v>
      </c>
      <c r="H9" t="s">
        <v>54</v>
      </c>
      <c r="I9" t="s">
        <v>53</v>
      </c>
      <c r="J9" t="s">
        <v>40</v>
      </c>
      <c r="K9">
        <v>4613441.51</v>
      </c>
      <c r="L9">
        <v>413564.527</v>
      </c>
      <c r="M9">
        <v>0.63500000000000001</v>
      </c>
    </row>
    <row r="10" spans="1:14" x14ac:dyDescent="0.25">
      <c r="A10" t="s">
        <v>37</v>
      </c>
      <c r="B10">
        <v>14</v>
      </c>
      <c r="C10" t="s">
        <v>38</v>
      </c>
      <c r="D10">
        <v>2019</v>
      </c>
      <c r="E10">
        <v>9</v>
      </c>
      <c r="F10">
        <v>14</v>
      </c>
      <c r="G10" t="s">
        <v>13</v>
      </c>
      <c r="H10" t="s">
        <v>55</v>
      </c>
      <c r="I10" t="s">
        <v>53</v>
      </c>
      <c r="J10" t="s">
        <v>40</v>
      </c>
      <c r="K10">
        <v>4613439.6109999996</v>
      </c>
      <c r="L10">
        <v>413564.33399999997</v>
      </c>
      <c r="M10">
        <v>0.65500000000000003</v>
      </c>
    </row>
    <row r="11" spans="1:14" x14ac:dyDescent="0.25">
      <c r="A11" t="s">
        <v>37</v>
      </c>
      <c r="B11">
        <v>14</v>
      </c>
      <c r="C11" t="s">
        <v>38</v>
      </c>
      <c r="D11">
        <v>2019</v>
      </c>
      <c r="E11">
        <v>9</v>
      </c>
      <c r="F11">
        <v>15</v>
      </c>
      <c r="G11" t="s">
        <v>13</v>
      </c>
      <c r="H11" t="s">
        <v>55</v>
      </c>
      <c r="I11" t="s">
        <v>53</v>
      </c>
      <c r="J11" t="s">
        <v>40</v>
      </c>
      <c r="K11">
        <v>4613432.2290000003</v>
      </c>
      <c r="L11">
        <v>413564.02299999999</v>
      </c>
      <c r="M11">
        <v>0.76900000000000002</v>
      </c>
    </row>
    <row r="12" spans="1:14" x14ac:dyDescent="0.25">
      <c r="A12" t="s">
        <v>37</v>
      </c>
      <c r="B12">
        <v>14</v>
      </c>
      <c r="C12" t="s">
        <v>38</v>
      </c>
      <c r="D12">
        <v>2019</v>
      </c>
      <c r="E12">
        <v>10</v>
      </c>
      <c r="F12">
        <v>16</v>
      </c>
      <c r="G12" t="s">
        <v>9</v>
      </c>
      <c r="H12" t="s">
        <v>50</v>
      </c>
      <c r="I12" t="s">
        <v>51</v>
      </c>
      <c r="J12" t="s">
        <v>40</v>
      </c>
      <c r="K12">
        <v>4613430.3210000005</v>
      </c>
      <c r="L12">
        <v>413564.16399999999</v>
      </c>
      <c r="M12">
        <v>0.97599999999999998</v>
      </c>
    </row>
    <row r="13" spans="1:14" x14ac:dyDescent="0.25">
      <c r="A13" t="s">
        <v>37</v>
      </c>
      <c r="B13">
        <v>14</v>
      </c>
      <c r="C13" t="s">
        <v>38</v>
      </c>
      <c r="D13">
        <v>2019</v>
      </c>
      <c r="E13">
        <v>10</v>
      </c>
      <c r="F13">
        <v>17</v>
      </c>
      <c r="G13" t="s">
        <v>9</v>
      </c>
      <c r="H13" t="s">
        <v>50</v>
      </c>
      <c r="I13" t="s">
        <v>51</v>
      </c>
      <c r="J13" t="s">
        <v>40</v>
      </c>
      <c r="K13">
        <v>4613430.9249999998</v>
      </c>
      <c r="L13">
        <v>413559.44900000002</v>
      </c>
      <c r="M13">
        <v>0.98699999999999999</v>
      </c>
    </row>
    <row r="14" spans="1:14" x14ac:dyDescent="0.25">
      <c r="A14" t="s">
        <v>37</v>
      </c>
      <c r="B14">
        <v>14</v>
      </c>
      <c r="C14" t="s">
        <v>38</v>
      </c>
      <c r="D14">
        <v>2019</v>
      </c>
      <c r="E14">
        <v>12</v>
      </c>
      <c r="F14">
        <v>19</v>
      </c>
      <c r="G14" t="s">
        <v>13</v>
      </c>
      <c r="H14" t="s">
        <v>55</v>
      </c>
      <c r="I14" t="s">
        <v>53</v>
      </c>
      <c r="J14" t="s">
        <v>40</v>
      </c>
      <c r="K14">
        <v>4613435.37</v>
      </c>
      <c r="L14">
        <v>413560.397</v>
      </c>
      <c r="M14">
        <v>0.64900000000000002</v>
      </c>
    </row>
    <row r="15" spans="1:14" x14ac:dyDescent="0.25">
      <c r="A15" t="s">
        <v>37</v>
      </c>
      <c r="B15">
        <v>14</v>
      </c>
      <c r="C15" t="s">
        <v>38</v>
      </c>
      <c r="D15">
        <v>2019</v>
      </c>
      <c r="E15">
        <v>12</v>
      </c>
      <c r="F15">
        <v>20</v>
      </c>
      <c r="G15" t="s">
        <v>13</v>
      </c>
      <c r="H15" t="s">
        <v>55</v>
      </c>
      <c r="I15" t="s">
        <v>53</v>
      </c>
      <c r="J15" t="s">
        <v>40</v>
      </c>
      <c r="K15">
        <v>4613437.8289999999</v>
      </c>
      <c r="L15">
        <v>413560.37099999998</v>
      </c>
      <c r="M15">
        <v>0.56899999999999995</v>
      </c>
    </row>
    <row r="16" spans="1:14" x14ac:dyDescent="0.25">
      <c r="A16" t="s">
        <v>37</v>
      </c>
      <c r="B16">
        <v>14</v>
      </c>
      <c r="C16" t="s">
        <v>38</v>
      </c>
      <c r="D16">
        <v>2019</v>
      </c>
      <c r="E16">
        <v>13</v>
      </c>
      <c r="F16">
        <v>21</v>
      </c>
      <c r="G16" t="s">
        <v>10</v>
      </c>
      <c r="H16" t="s">
        <v>54</v>
      </c>
      <c r="I16" t="s">
        <v>53</v>
      </c>
      <c r="J16" t="s">
        <v>40</v>
      </c>
      <c r="K16">
        <v>4613439.8569999998</v>
      </c>
      <c r="L16">
        <v>413560.24699999997</v>
      </c>
      <c r="M16">
        <v>0.621</v>
      </c>
    </row>
    <row r="17" spans="1:13" x14ac:dyDescent="0.25">
      <c r="A17" t="s">
        <v>37</v>
      </c>
      <c r="B17">
        <v>14</v>
      </c>
      <c r="C17" t="s">
        <v>38</v>
      </c>
      <c r="D17">
        <v>2019</v>
      </c>
      <c r="E17">
        <v>13</v>
      </c>
      <c r="F17">
        <v>22</v>
      </c>
      <c r="G17" t="s">
        <v>10</v>
      </c>
      <c r="H17" t="s">
        <v>54</v>
      </c>
      <c r="I17" t="s">
        <v>53</v>
      </c>
      <c r="J17" t="s">
        <v>40</v>
      </c>
      <c r="K17">
        <v>4613440.7939999998</v>
      </c>
      <c r="L17">
        <v>413560.261</v>
      </c>
      <c r="M17">
        <v>0.55800000000000005</v>
      </c>
    </row>
    <row r="18" spans="1:13" x14ac:dyDescent="0.25">
      <c r="A18" t="s">
        <v>37</v>
      </c>
      <c r="B18">
        <v>14</v>
      </c>
      <c r="C18" t="s">
        <v>38</v>
      </c>
      <c r="D18">
        <v>2019</v>
      </c>
      <c r="E18">
        <v>14</v>
      </c>
      <c r="F18">
        <v>23</v>
      </c>
      <c r="G18" t="s">
        <v>12</v>
      </c>
      <c r="H18" t="s">
        <v>52</v>
      </c>
      <c r="I18" t="s">
        <v>53</v>
      </c>
      <c r="J18" t="s">
        <v>40</v>
      </c>
      <c r="K18">
        <v>4613442.8090000004</v>
      </c>
      <c r="L18">
        <v>413560.02899999998</v>
      </c>
      <c r="M18">
        <v>0.51100000000000001</v>
      </c>
    </row>
    <row r="19" spans="1:13" x14ac:dyDescent="0.25">
      <c r="A19" t="s">
        <v>37</v>
      </c>
      <c r="B19">
        <v>14</v>
      </c>
      <c r="C19" t="s">
        <v>38</v>
      </c>
      <c r="D19">
        <v>2019</v>
      </c>
      <c r="E19">
        <v>14</v>
      </c>
      <c r="F19">
        <v>24</v>
      </c>
      <c r="G19" t="s">
        <v>12</v>
      </c>
      <c r="H19" t="s">
        <v>52</v>
      </c>
      <c r="I19" t="s">
        <v>53</v>
      </c>
      <c r="J19" t="s">
        <v>40</v>
      </c>
      <c r="K19">
        <v>4613444.8839999996</v>
      </c>
      <c r="L19">
        <v>413559.152</v>
      </c>
      <c r="M19">
        <v>0.505</v>
      </c>
    </row>
    <row r="20" spans="1:13" x14ac:dyDescent="0.25">
      <c r="A20" t="s">
        <v>37</v>
      </c>
      <c r="B20">
        <v>14</v>
      </c>
      <c r="C20" t="s">
        <v>38</v>
      </c>
      <c r="D20">
        <v>2019</v>
      </c>
      <c r="E20">
        <v>15</v>
      </c>
      <c r="F20">
        <v>25</v>
      </c>
      <c r="G20" t="s">
        <v>10</v>
      </c>
      <c r="H20" t="s">
        <v>54</v>
      </c>
      <c r="I20" t="s">
        <v>53</v>
      </c>
      <c r="J20" t="s">
        <v>40</v>
      </c>
      <c r="K20">
        <v>4613446.9550000001</v>
      </c>
      <c r="L20">
        <v>413558.71100000001</v>
      </c>
      <c r="M20">
        <v>0.50700000000000001</v>
      </c>
    </row>
    <row r="21" spans="1:13" x14ac:dyDescent="0.25">
      <c r="A21" t="s">
        <v>37</v>
      </c>
      <c r="B21">
        <v>14</v>
      </c>
      <c r="C21" t="s">
        <v>38</v>
      </c>
      <c r="D21">
        <v>2019</v>
      </c>
      <c r="E21">
        <v>15</v>
      </c>
      <c r="F21">
        <v>26</v>
      </c>
      <c r="G21" t="s">
        <v>10</v>
      </c>
      <c r="H21" t="s">
        <v>54</v>
      </c>
      <c r="I21" t="s">
        <v>53</v>
      </c>
      <c r="J21" t="s">
        <v>40</v>
      </c>
      <c r="K21">
        <v>4613447.8420000002</v>
      </c>
      <c r="L21">
        <v>413558.35200000001</v>
      </c>
      <c r="M21">
        <v>0.50700000000000001</v>
      </c>
    </row>
    <row r="22" spans="1:13" x14ac:dyDescent="0.25">
      <c r="A22" t="s">
        <v>37</v>
      </c>
      <c r="B22">
        <v>14</v>
      </c>
      <c r="C22" t="s">
        <v>38</v>
      </c>
      <c r="D22">
        <v>2019</v>
      </c>
      <c r="E22">
        <v>16</v>
      </c>
      <c r="F22">
        <v>27</v>
      </c>
      <c r="G22" t="s">
        <v>14</v>
      </c>
      <c r="H22" t="s">
        <v>52</v>
      </c>
      <c r="I22" t="s">
        <v>51</v>
      </c>
      <c r="J22" t="s">
        <v>40</v>
      </c>
      <c r="K22">
        <v>4613449.9170000004</v>
      </c>
      <c r="L22">
        <v>413557.87800000003</v>
      </c>
      <c r="M22">
        <v>0.47799999999999998</v>
      </c>
    </row>
    <row r="23" spans="1:13" x14ac:dyDescent="0.25">
      <c r="A23" t="s">
        <v>37</v>
      </c>
      <c r="B23">
        <v>14</v>
      </c>
      <c r="C23" t="s">
        <v>38</v>
      </c>
      <c r="D23">
        <v>2019</v>
      </c>
      <c r="E23">
        <v>16</v>
      </c>
      <c r="F23">
        <v>28</v>
      </c>
      <c r="G23" t="s">
        <v>14</v>
      </c>
      <c r="H23" t="s">
        <v>52</v>
      </c>
      <c r="I23" t="s">
        <v>51</v>
      </c>
      <c r="J23" t="s">
        <v>40</v>
      </c>
      <c r="K23">
        <v>4613455.7699999996</v>
      </c>
      <c r="L23">
        <v>413555.97399999999</v>
      </c>
      <c r="M23">
        <v>0.47899999999999998</v>
      </c>
    </row>
    <row r="24" spans="1:13" x14ac:dyDescent="0.25">
      <c r="A24" t="s">
        <v>37</v>
      </c>
      <c r="B24">
        <v>14</v>
      </c>
      <c r="C24" t="s">
        <v>38</v>
      </c>
      <c r="D24">
        <v>2019</v>
      </c>
      <c r="E24">
        <v>17</v>
      </c>
      <c r="F24">
        <v>29</v>
      </c>
      <c r="G24" t="s">
        <v>12</v>
      </c>
      <c r="H24" t="s">
        <v>52</v>
      </c>
      <c r="I24" t="s">
        <v>53</v>
      </c>
      <c r="J24" t="s">
        <v>40</v>
      </c>
      <c r="K24">
        <v>4613459.1490000002</v>
      </c>
      <c r="L24">
        <v>413554.11900000001</v>
      </c>
      <c r="M24">
        <v>0.44400000000000001</v>
      </c>
    </row>
    <row r="25" spans="1:13" x14ac:dyDescent="0.25">
      <c r="A25" t="s">
        <v>37</v>
      </c>
      <c r="B25">
        <v>14</v>
      </c>
      <c r="C25" t="s">
        <v>38</v>
      </c>
      <c r="D25">
        <v>2019</v>
      </c>
      <c r="E25">
        <v>17</v>
      </c>
      <c r="F25">
        <v>30</v>
      </c>
      <c r="G25" t="s">
        <v>12</v>
      </c>
      <c r="H25" t="s">
        <v>52</v>
      </c>
      <c r="I25" t="s">
        <v>53</v>
      </c>
      <c r="J25" t="s">
        <v>40</v>
      </c>
      <c r="K25">
        <v>4613479.392</v>
      </c>
      <c r="L25">
        <v>413544.59399999998</v>
      </c>
      <c r="M25">
        <v>0.45300000000000001</v>
      </c>
    </row>
    <row r="26" spans="1:13" x14ac:dyDescent="0.25">
      <c r="A26" t="s">
        <v>37</v>
      </c>
      <c r="B26">
        <v>14</v>
      </c>
      <c r="C26" t="s">
        <v>38</v>
      </c>
      <c r="D26">
        <v>2019</v>
      </c>
      <c r="E26">
        <v>19</v>
      </c>
      <c r="F26">
        <v>32</v>
      </c>
      <c r="G26">
        <v>9</v>
      </c>
      <c r="H26" t="s">
        <v>56</v>
      </c>
      <c r="I26" t="s">
        <v>57</v>
      </c>
      <c r="J26" t="s">
        <v>40</v>
      </c>
      <c r="K26">
        <v>4613481.8559999997</v>
      </c>
      <c r="L26">
        <v>413543.11599999998</v>
      </c>
      <c r="M26">
        <v>0.57399999999999995</v>
      </c>
    </row>
    <row r="27" spans="1:13" x14ac:dyDescent="0.25">
      <c r="A27" t="s">
        <v>37</v>
      </c>
      <c r="B27">
        <v>14</v>
      </c>
      <c r="C27" t="s">
        <v>38</v>
      </c>
      <c r="D27">
        <v>2019</v>
      </c>
      <c r="E27">
        <v>19</v>
      </c>
      <c r="F27">
        <v>33</v>
      </c>
      <c r="G27">
        <v>9</v>
      </c>
      <c r="H27" t="s">
        <v>56</v>
      </c>
      <c r="I27" t="s">
        <v>57</v>
      </c>
      <c r="J27" t="s">
        <v>40</v>
      </c>
      <c r="K27">
        <v>4613480.3660000004</v>
      </c>
      <c r="L27">
        <v>413535.93900000001</v>
      </c>
      <c r="M27">
        <v>0.65200000000000002</v>
      </c>
    </row>
    <row r="28" spans="1:13" x14ac:dyDescent="0.25">
      <c r="A28" t="s">
        <v>37</v>
      </c>
      <c r="B28">
        <v>14</v>
      </c>
      <c r="C28" t="s">
        <v>38</v>
      </c>
      <c r="D28">
        <v>2019</v>
      </c>
      <c r="E28">
        <v>19</v>
      </c>
      <c r="F28">
        <v>34</v>
      </c>
      <c r="G28">
        <v>9</v>
      </c>
      <c r="H28" t="s">
        <v>56</v>
      </c>
      <c r="I28" t="s">
        <v>57</v>
      </c>
      <c r="J28" t="s">
        <v>40</v>
      </c>
      <c r="K28">
        <v>4613473.0319999997</v>
      </c>
      <c r="L28">
        <v>413525.11700000003</v>
      </c>
      <c r="M28">
        <v>0.68500000000000005</v>
      </c>
    </row>
    <row r="29" spans="1:13" x14ac:dyDescent="0.25">
      <c r="A29" t="s">
        <v>37</v>
      </c>
      <c r="B29">
        <v>14</v>
      </c>
      <c r="C29" t="s">
        <v>38</v>
      </c>
      <c r="D29">
        <v>2019</v>
      </c>
      <c r="E29">
        <v>19</v>
      </c>
      <c r="F29">
        <v>35</v>
      </c>
      <c r="G29">
        <v>9</v>
      </c>
      <c r="H29" t="s">
        <v>56</v>
      </c>
      <c r="I29" t="s">
        <v>57</v>
      </c>
      <c r="J29" t="s">
        <v>40</v>
      </c>
      <c r="K29">
        <v>4613471.9670000002</v>
      </c>
      <c r="L29">
        <v>413520.87099999998</v>
      </c>
      <c r="M29">
        <v>0.624</v>
      </c>
    </row>
    <row r="30" spans="1:13" x14ac:dyDescent="0.25">
      <c r="A30" t="s">
        <v>37</v>
      </c>
      <c r="B30">
        <v>14</v>
      </c>
      <c r="C30" t="s">
        <v>38</v>
      </c>
      <c r="D30">
        <v>2019</v>
      </c>
      <c r="E30">
        <v>19</v>
      </c>
      <c r="F30">
        <v>36</v>
      </c>
      <c r="G30">
        <v>9</v>
      </c>
      <c r="H30" t="s">
        <v>56</v>
      </c>
      <c r="I30" t="s">
        <v>57</v>
      </c>
      <c r="J30" t="s">
        <v>40</v>
      </c>
      <c r="K30">
        <v>4613474.9819999998</v>
      </c>
      <c r="L30">
        <v>413517.60200000001</v>
      </c>
      <c r="M30">
        <v>0.64100000000000001</v>
      </c>
    </row>
    <row r="31" spans="1:13" x14ac:dyDescent="0.25">
      <c r="A31" t="s">
        <v>37</v>
      </c>
      <c r="B31">
        <v>14</v>
      </c>
      <c r="C31" t="s">
        <v>38</v>
      </c>
      <c r="D31">
        <v>2019</v>
      </c>
      <c r="E31">
        <v>19</v>
      </c>
      <c r="F31">
        <v>37</v>
      </c>
      <c r="G31">
        <v>9</v>
      </c>
      <c r="H31" t="s">
        <v>56</v>
      </c>
      <c r="I31" t="s">
        <v>57</v>
      </c>
      <c r="J31" t="s">
        <v>40</v>
      </c>
      <c r="K31">
        <v>4613482.9529999997</v>
      </c>
      <c r="L31">
        <v>413515.23499999999</v>
      </c>
      <c r="M31">
        <v>0.70099999999999996</v>
      </c>
    </row>
    <row r="32" spans="1:13" x14ac:dyDescent="0.25">
      <c r="A32" t="s">
        <v>37</v>
      </c>
      <c r="B32">
        <v>14</v>
      </c>
      <c r="C32" t="s">
        <v>38</v>
      </c>
      <c r="D32">
        <v>2019</v>
      </c>
      <c r="E32">
        <v>19</v>
      </c>
      <c r="F32">
        <v>38</v>
      </c>
      <c r="G32">
        <v>9</v>
      </c>
      <c r="H32" t="s">
        <v>56</v>
      </c>
      <c r="I32" t="s">
        <v>57</v>
      </c>
      <c r="J32" t="s">
        <v>40</v>
      </c>
      <c r="K32">
        <v>4613490.4890000001</v>
      </c>
      <c r="L32">
        <v>413512.56800000003</v>
      </c>
      <c r="M32">
        <v>0.78500000000000003</v>
      </c>
    </row>
    <row r="33" spans="1:13" x14ac:dyDescent="0.25">
      <c r="A33" t="s">
        <v>37</v>
      </c>
      <c r="B33">
        <v>14</v>
      </c>
      <c r="C33" t="s">
        <v>38</v>
      </c>
      <c r="D33">
        <v>2019</v>
      </c>
      <c r="E33">
        <v>19</v>
      </c>
      <c r="F33">
        <v>39</v>
      </c>
      <c r="G33">
        <v>9</v>
      </c>
      <c r="H33" t="s">
        <v>56</v>
      </c>
      <c r="I33" t="s">
        <v>57</v>
      </c>
      <c r="J33" t="s">
        <v>40</v>
      </c>
      <c r="K33">
        <v>4613500.3959999997</v>
      </c>
      <c r="L33">
        <v>413508.61300000001</v>
      </c>
      <c r="M33">
        <v>0.71399999999999997</v>
      </c>
    </row>
    <row r="34" spans="1:13" x14ac:dyDescent="0.25">
      <c r="A34" t="s">
        <v>37</v>
      </c>
      <c r="B34">
        <v>14</v>
      </c>
      <c r="C34" t="s">
        <v>38</v>
      </c>
      <c r="D34">
        <v>2019</v>
      </c>
      <c r="E34">
        <v>19</v>
      </c>
      <c r="F34">
        <v>40</v>
      </c>
      <c r="G34">
        <v>9</v>
      </c>
      <c r="H34" t="s">
        <v>56</v>
      </c>
      <c r="I34" t="s">
        <v>57</v>
      </c>
      <c r="J34" t="s">
        <v>40</v>
      </c>
      <c r="K34">
        <v>4613510.4060000004</v>
      </c>
      <c r="L34">
        <v>413510.79800000001</v>
      </c>
      <c r="M34">
        <v>0.74</v>
      </c>
    </row>
    <row r="35" spans="1:13" x14ac:dyDescent="0.25">
      <c r="A35" t="s">
        <v>37</v>
      </c>
      <c r="B35">
        <v>14</v>
      </c>
      <c r="C35" t="s">
        <v>38</v>
      </c>
      <c r="D35">
        <v>2019</v>
      </c>
      <c r="E35">
        <v>19</v>
      </c>
      <c r="F35">
        <v>41</v>
      </c>
      <c r="G35">
        <v>9</v>
      </c>
      <c r="H35" t="s">
        <v>56</v>
      </c>
      <c r="I35" t="s">
        <v>57</v>
      </c>
      <c r="J35" t="s">
        <v>40</v>
      </c>
      <c r="K35">
        <v>4613516.9579999996</v>
      </c>
      <c r="L35">
        <v>413516.19400000002</v>
      </c>
      <c r="M35">
        <v>0.73199999999999998</v>
      </c>
    </row>
    <row r="36" spans="1:13" x14ac:dyDescent="0.25">
      <c r="A36" t="s">
        <v>37</v>
      </c>
      <c r="B36">
        <v>14</v>
      </c>
      <c r="C36" t="s">
        <v>38</v>
      </c>
      <c r="D36">
        <v>2019</v>
      </c>
      <c r="E36">
        <v>19</v>
      </c>
      <c r="F36">
        <v>42</v>
      </c>
      <c r="G36">
        <v>9</v>
      </c>
      <c r="H36" t="s">
        <v>56</v>
      </c>
      <c r="I36" t="s">
        <v>57</v>
      </c>
      <c r="J36" t="s">
        <v>40</v>
      </c>
      <c r="K36">
        <v>4613520.4780000001</v>
      </c>
      <c r="L36">
        <v>413519.85600000003</v>
      </c>
      <c r="M36">
        <v>0.66</v>
      </c>
    </row>
    <row r="37" spans="1:13" x14ac:dyDescent="0.25">
      <c r="A37" t="s">
        <v>37</v>
      </c>
      <c r="B37">
        <v>14</v>
      </c>
      <c r="C37" t="s">
        <v>38</v>
      </c>
      <c r="D37">
        <v>2019</v>
      </c>
      <c r="E37">
        <v>19</v>
      </c>
      <c r="F37">
        <v>43</v>
      </c>
      <c r="G37">
        <v>9</v>
      </c>
      <c r="H37" t="s">
        <v>56</v>
      </c>
      <c r="I37" t="s">
        <v>57</v>
      </c>
      <c r="J37" t="s">
        <v>40</v>
      </c>
      <c r="K37">
        <v>4613523.5669999998</v>
      </c>
      <c r="L37">
        <v>413526.32299999997</v>
      </c>
      <c r="M37">
        <v>0.69499999999999995</v>
      </c>
    </row>
    <row r="38" spans="1:13" x14ac:dyDescent="0.25">
      <c r="A38" t="s">
        <v>37</v>
      </c>
      <c r="B38">
        <v>14</v>
      </c>
      <c r="C38" t="s">
        <v>38</v>
      </c>
      <c r="D38">
        <v>2019</v>
      </c>
      <c r="E38">
        <v>19</v>
      </c>
      <c r="F38">
        <v>44</v>
      </c>
      <c r="G38">
        <v>9</v>
      </c>
      <c r="H38" t="s">
        <v>56</v>
      </c>
      <c r="I38" t="s">
        <v>57</v>
      </c>
      <c r="J38" t="s">
        <v>40</v>
      </c>
      <c r="K38">
        <v>4613526.8949999996</v>
      </c>
      <c r="L38">
        <v>413534.73100000003</v>
      </c>
      <c r="M38">
        <v>0.63200000000000001</v>
      </c>
    </row>
    <row r="39" spans="1:13" x14ac:dyDescent="0.25">
      <c r="A39" t="s">
        <v>37</v>
      </c>
      <c r="B39">
        <v>14</v>
      </c>
      <c r="C39" t="s">
        <v>38</v>
      </c>
      <c r="D39">
        <v>2019</v>
      </c>
      <c r="E39">
        <v>19</v>
      </c>
      <c r="F39">
        <v>45</v>
      </c>
      <c r="G39">
        <v>9</v>
      </c>
      <c r="H39" t="s">
        <v>56</v>
      </c>
      <c r="I39" t="s">
        <v>57</v>
      </c>
      <c r="J39" t="s">
        <v>40</v>
      </c>
      <c r="K39">
        <v>4613530.2829999998</v>
      </c>
      <c r="L39">
        <v>413543.80800000002</v>
      </c>
      <c r="M39">
        <v>0.69199999999999995</v>
      </c>
    </row>
    <row r="40" spans="1:13" x14ac:dyDescent="0.25">
      <c r="A40" t="s">
        <v>37</v>
      </c>
      <c r="B40">
        <v>14</v>
      </c>
      <c r="C40" t="s">
        <v>38</v>
      </c>
      <c r="D40">
        <v>2019</v>
      </c>
      <c r="E40">
        <v>19</v>
      </c>
      <c r="F40">
        <v>46</v>
      </c>
      <c r="G40">
        <v>9</v>
      </c>
      <c r="H40" t="s">
        <v>56</v>
      </c>
      <c r="I40" t="s">
        <v>57</v>
      </c>
      <c r="J40" t="s">
        <v>40</v>
      </c>
      <c r="K40">
        <v>4613531.8760000002</v>
      </c>
      <c r="L40">
        <v>413548.72200000001</v>
      </c>
      <c r="M40">
        <v>0.61899999999999999</v>
      </c>
    </row>
    <row r="41" spans="1:13" x14ac:dyDescent="0.25">
      <c r="A41" t="s">
        <v>37</v>
      </c>
      <c r="B41">
        <v>14</v>
      </c>
      <c r="C41" t="s">
        <v>38</v>
      </c>
      <c r="D41">
        <v>2019</v>
      </c>
      <c r="E41">
        <v>19</v>
      </c>
      <c r="F41">
        <v>47</v>
      </c>
      <c r="G41">
        <v>9</v>
      </c>
      <c r="H41" t="s">
        <v>56</v>
      </c>
      <c r="I41" t="s">
        <v>57</v>
      </c>
      <c r="J41" t="s">
        <v>40</v>
      </c>
      <c r="K41">
        <v>4613531.0199999996</v>
      </c>
      <c r="L41">
        <v>413553.495</v>
      </c>
      <c r="M41">
        <v>0.65600000000000003</v>
      </c>
    </row>
    <row r="42" spans="1:13" x14ac:dyDescent="0.25">
      <c r="A42" t="s">
        <v>37</v>
      </c>
      <c r="B42">
        <v>14</v>
      </c>
      <c r="C42" t="s">
        <v>38</v>
      </c>
      <c r="D42">
        <v>2019</v>
      </c>
      <c r="E42">
        <v>19</v>
      </c>
      <c r="F42">
        <v>48</v>
      </c>
      <c r="G42">
        <v>9</v>
      </c>
      <c r="H42" t="s">
        <v>56</v>
      </c>
      <c r="I42" t="s">
        <v>57</v>
      </c>
      <c r="J42" t="s">
        <v>40</v>
      </c>
      <c r="K42">
        <v>4613529.625</v>
      </c>
      <c r="L42">
        <v>413556.87</v>
      </c>
      <c r="M42">
        <v>0.66600000000000004</v>
      </c>
    </row>
    <row r="43" spans="1:13" x14ac:dyDescent="0.25">
      <c r="A43" t="s">
        <v>37</v>
      </c>
      <c r="B43">
        <v>14</v>
      </c>
      <c r="C43" t="s">
        <v>38</v>
      </c>
      <c r="D43">
        <v>2019</v>
      </c>
      <c r="E43">
        <v>19</v>
      </c>
      <c r="F43">
        <v>49</v>
      </c>
      <c r="G43">
        <v>9</v>
      </c>
      <c r="H43" t="s">
        <v>56</v>
      </c>
      <c r="I43" t="s">
        <v>57</v>
      </c>
      <c r="J43" t="s">
        <v>40</v>
      </c>
      <c r="K43">
        <v>4613527.2699999996</v>
      </c>
      <c r="L43">
        <v>413559.859</v>
      </c>
      <c r="M43">
        <v>0.68100000000000005</v>
      </c>
    </row>
    <row r="44" spans="1:13" x14ac:dyDescent="0.25">
      <c r="A44" t="s">
        <v>37</v>
      </c>
      <c r="B44">
        <v>14</v>
      </c>
      <c r="C44" t="s">
        <v>38</v>
      </c>
      <c r="D44">
        <v>2019</v>
      </c>
      <c r="E44">
        <v>19</v>
      </c>
      <c r="F44">
        <v>50</v>
      </c>
      <c r="G44">
        <v>9</v>
      </c>
      <c r="H44" t="s">
        <v>56</v>
      </c>
      <c r="I44" t="s">
        <v>57</v>
      </c>
      <c r="J44" t="s">
        <v>40</v>
      </c>
      <c r="K44">
        <v>4613520.7419999996</v>
      </c>
      <c r="L44">
        <v>413563.86499999999</v>
      </c>
      <c r="M44">
        <v>0.65800000000000003</v>
      </c>
    </row>
    <row r="45" spans="1:13" x14ac:dyDescent="0.25">
      <c r="A45" t="s">
        <v>37</v>
      </c>
      <c r="B45">
        <v>14</v>
      </c>
      <c r="C45" t="s">
        <v>38</v>
      </c>
      <c r="D45">
        <v>2019</v>
      </c>
      <c r="E45">
        <v>19</v>
      </c>
      <c r="F45">
        <v>51</v>
      </c>
      <c r="G45">
        <v>9</v>
      </c>
      <c r="H45" t="s">
        <v>56</v>
      </c>
      <c r="I45" t="s">
        <v>57</v>
      </c>
      <c r="J45" t="s">
        <v>40</v>
      </c>
      <c r="K45">
        <v>4613514.76</v>
      </c>
      <c r="L45">
        <v>413564.80599999998</v>
      </c>
      <c r="M45">
        <v>0.66900000000000004</v>
      </c>
    </row>
    <row r="46" spans="1:13" x14ac:dyDescent="0.25">
      <c r="A46" t="s">
        <v>37</v>
      </c>
      <c r="B46">
        <v>14</v>
      </c>
      <c r="C46" t="s">
        <v>38</v>
      </c>
      <c r="D46">
        <v>2019</v>
      </c>
      <c r="E46">
        <v>19</v>
      </c>
      <c r="F46">
        <v>52</v>
      </c>
      <c r="G46">
        <v>9</v>
      </c>
      <c r="H46" t="s">
        <v>56</v>
      </c>
      <c r="I46" t="s">
        <v>57</v>
      </c>
      <c r="J46" t="s">
        <v>40</v>
      </c>
      <c r="K46">
        <v>4613505.8370000003</v>
      </c>
      <c r="L46">
        <v>413565.03</v>
      </c>
      <c r="M46">
        <v>0.63600000000000001</v>
      </c>
    </row>
    <row r="47" spans="1:13" x14ac:dyDescent="0.25">
      <c r="A47" t="s">
        <v>37</v>
      </c>
      <c r="B47">
        <v>14</v>
      </c>
      <c r="C47" t="s">
        <v>38</v>
      </c>
      <c r="D47">
        <v>2019</v>
      </c>
      <c r="E47">
        <v>19</v>
      </c>
      <c r="F47">
        <v>53</v>
      </c>
      <c r="G47">
        <v>9</v>
      </c>
      <c r="H47" t="s">
        <v>56</v>
      </c>
      <c r="I47" t="s">
        <v>57</v>
      </c>
      <c r="J47" t="s">
        <v>40</v>
      </c>
      <c r="K47">
        <v>4613486.9419999998</v>
      </c>
      <c r="L47">
        <v>413549.67099999997</v>
      </c>
      <c r="M47">
        <v>0.64800000000000002</v>
      </c>
    </row>
    <row r="48" spans="1:13" x14ac:dyDescent="0.25">
      <c r="A48" t="s">
        <v>37</v>
      </c>
      <c r="B48">
        <v>14</v>
      </c>
      <c r="C48" t="s">
        <v>38</v>
      </c>
      <c r="D48">
        <v>2019</v>
      </c>
      <c r="E48">
        <v>19</v>
      </c>
      <c r="F48">
        <v>54</v>
      </c>
      <c r="G48">
        <v>9</v>
      </c>
      <c r="H48" t="s">
        <v>56</v>
      </c>
      <c r="I48" t="s">
        <v>57</v>
      </c>
      <c r="J48" t="s">
        <v>40</v>
      </c>
      <c r="K48">
        <v>4613482.5690000001</v>
      </c>
      <c r="L48">
        <v>413544.55800000002</v>
      </c>
      <c r="M48">
        <v>0.66500000000000004</v>
      </c>
    </row>
    <row r="49" spans="1:13" x14ac:dyDescent="0.25">
      <c r="A49" t="s">
        <v>37</v>
      </c>
      <c r="B49">
        <v>14</v>
      </c>
      <c r="C49" t="s">
        <v>38</v>
      </c>
      <c r="D49">
        <v>2019</v>
      </c>
      <c r="E49">
        <v>20</v>
      </c>
      <c r="F49">
        <v>55</v>
      </c>
      <c r="G49" t="s">
        <v>12</v>
      </c>
      <c r="H49" t="s">
        <v>52</v>
      </c>
      <c r="I49" t="s">
        <v>53</v>
      </c>
      <c r="J49" t="s">
        <v>40</v>
      </c>
      <c r="K49">
        <v>4613478.7379999999</v>
      </c>
      <c r="L49">
        <v>413539.88900000002</v>
      </c>
      <c r="M49">
        <v>0.57599999999999996</v>
      </c>
    </row>
    <row r="50" spans="1:13" x14ac:dyDescent="0.25">
      <c r="A50" t="s">
        <v>37</v>
      </c>
      <c r="B50">
        <v>14</v>
      </c>
      <c r="C50" t="s">
        <v>38</v>
      </c>
      <c r="D50">
        <v>2019</v>
      </c>
      <c r="E50">
        <v>20</v>
      </c>
      <c r="F50">
        <v>56</v>
      </c>
      <c r="G50" t="s">
        <v>12</v>
      </c>
      <c r="H50" t="s">
        <v>52</v>
      </c>
      <c r="I50" t="s">
        <v>53</v>
      </c>
      <c r="J50" t="s">
        <v>40</v>
      </c>
      <c r="K50">
        <v>4613470.6890000002</v>
      </c>
      <c r="L50">
        <v>413535.19500000001</v>
      </c>
      <c r="M50">
        <v>0.50600000000000001</v>
      </c>
    </row>
    <row r="51" spans="1:13" x14ac:dyDescent="0.25">
      <c r="A51" t="s">
        <v>37</v>
      </c>
      <c r="B51">
        <v>14</v>
      </c>
      <c r="C51" t="s">
        <v>38</v>
      </c>
      <c r="D51">
        <v>2019</v>
      </c>
      <c r="E51">
        <v>22</v>
      </c>
      <c r="F51">
        <v>58</v>
      </c>
      <c r="G51" t="s">
        <v>15</v>
      </c>
      <c r="H51" t="s">
        <v>58</v>
      </c>
      <c r="I51" t="s">
        <v>51</v>
      </c>
      <c r="J51" t="s">
        <v>40</v>
      </c>
      <c r="K51">
        <v>4613466.8250000002</v>
      </c>
      <c r="L51">
        <v>413533.49200000003</v>
      </c>
      <c r="M51">
        <v>0.56699999999999995</v>
      </c>
    </row>
    <row r="52" spans="1:13" x14ac:dyDescent="0.25">
      <c r="A52" t="s">
        <v>37</v>
      </c>
      <c r="B52">
        <v>14</v>
      </c>
      <c r="C52" t="s">
        <v>38</v>
      </c>
      <c r="D52">
        <v>2019</v>
      </c>
      <c r="E52">
        <v>22</v>
      </c>
      <c r="F52">
        <v>59</v>
      </c>
      <c r="G52" t="s">
        <v>15</v>
      </c>
      <c r="H52" t="s">
        <v>58</v>
      </c>
      <c r="I52" t="s">
        <v>51</v>
      </c>
      <c r="J52" t="s">
        <v>40</v>
      </c>
      <c r="K52">
        <v>4613457.4970000004</v>
      </c>
      <c r="L52">
        <v>413529.82500000001</v>
      </c>
      <c r="M52">
        <v>0.53600000000000003</v>
      </c>
    </row>
    <row r="53" spans="1:13" x14ac:dyDescent="0.25">
      <c r="A53" t="s">
        <v>37</v>
      </c>
      <c r="B53">
        <v>14</v>
      </c>
      <c r="C53" t="s">
        <v>38</v>
      </c>
      <c r="D53">
        <v>2019</v>
      </c>
      <c r="E53">
        <v>23</v>
      </c>
      <c r="F53">
        <v>60</v>
      </c>
      <c r="G53" t="s">
        <v>16</v>
      </c>
      <c r="H53" t="s">
        <v>59</v>
      </c>
      <c r="I53" t="s">
        <v>53</v>
      </c>
      <c r="J53" t="s">
        <v>40</v>
      </c>
      <c r="K53">
        <v>4613455.6100000003</v>
      </c>
      <c r="L53">
        <v>413529.90600000002</v>
      </c>
      <c r="M53">
        <v>0.59499999999999997</v>
      </c>
    </row>
    <row r="54" spans="1:13" x14ac:dyDescent="0.25">
      <c r="A54" t="s">
        <v>37</v>
      </c>
      <c r="B54">
        <v>14</v>
      </c>
      <c r="C54" t="s">
        <v>38</v>
      </c>
      <c r="D54">
        <v>2019</v>
      </c>
      <c r="E54">
        <v>23</v>
      </c>
      <c r="F54">
        <v>61</v>
      </c>
      <c r="G54" t="s">
        <v>16</v>
      </c>
      <c r="H54" t="s">
        <v>59</v>
      </c>
      <c r="I54" t="s">
        <v>53</v>
      </c>
      <c r="J54" t="s">
        <v>40</v>
      </c>
      <c r="K54">
        <v>4613453.773</v>
      </c>
      <c r="L54">
        <v>413530.04200000002</v>
      </c>
      <c r="M54">
        <v>0.77300000000000002</v>
      </c>
    </row>
    <row r="55" spans="1:13" x14ac:dyDescent="0.25">
      <c r="A55" t="s">
        <v>37</v>
      </c>
      <c r="B55">
        <v>14</v>
      </c>
      <c r="C55" t="s">
        <v>38</v>
      </c>
      <c r="D55">
        <v>2019</v>
      </c>
      <c r="E55">
        <v>24</v>
      </c>
      <c r="F55">
        <v>62</v>
      </c>
      <c r="G55" t="s">
        <v>8</v>
      </c>
      <c r="H55" t="s">
        <v>50</v>
      </c>
      <c r="I55" t="s">
        <v>53</v>
      </c>
      <c r="J55" t="s">
        <v>40</v>
      </c>
      <c r="K55">
        <v>4613451.8059999999</v>
      </c>
      <c r="L55">
        <v>413530.435</v>
      </c>
      <c r="M55">
        <v>0.83099999999999996</v>
      </c>
    </row>
    <row r="56" spans="1:13" x14ac:dyDescent="0.25">
      <c r="A56" t="s">
        <v>37</v>
      </c>
      <c r="B56">
        <v>14</v>
      </c>
      <c r="C56" t="s">
        <v>38</v>
      </c>
      <c r="D56">
        <v>2019</v>
      </c>
      <c r="E56">
        <v>24</v>
      </c>
      <c r="F56">
        <v>63</v>
      </c>
      <c r="G56" t="s">
        <v>8</v>
      </c>
      <c r="H56" t="s">
        <v>50</v>
      </c>
      <c r="I56" t="s">
        <v>53</v>
      </c>
      <c r="J56" t="s">
        <v>40</v>
      </c>
      <c r="K56">
        <v>4613451.5729999999</v>
      </c>
      <c r="L56">
        <v>413529.58199999999</v>
      </c>
      <c r="M56">
        <v>0.82699999999999996</v>
      </c>
    </row>
    <row r="57" spans="1:13" x14ac:dyDescent="0.25">
      <c r="A57" t="s">
        <v>37</v>
      </c>
      <c r="B57">
        <v>14</v>
      </c>
      <c r="C57" t="s">
        <v>38</v>
      </c>
      <c r="D57">
        <v>2019</v>
      </c>
      <c r="E57">
        <v>24</v>
      </c>
      <c r="F57">
        <v>64</v>
      </c>
      <c r="G57" t="s">
        <v>8</v>
      </c>
      <c r="H57" t="s">
        <v>50</v>
      </c>
      <c r="I57" t="s">
        <v>53</v>
      </c>
      <c r="J57" t="s">
        <v>40</v>
      </c>
      <c r="K57">
        <v>4613451.1490000002</v>
      </c>
      <c r="L57">
        <v>413528.12199999997</v>
      </c>
      <c r="M57">
        <v>0.72199999999999998</v>
      </c>
    </row>
    <row r="58" spans="1:13" x14ac:dyDescent="0.25">
      <c r="A58" t="s">
        <v>37</v>
      </c>
      <c r="B58">
        <v>14</v>
      </c>
      <c r="C58" t="s">
        <v>38</v>
      </c>
      <c r="D58">
        <v>2019</v>
      </c>
      <c r="E58">
        <v>24</v>
      </c>
      <c r="F58">
        <v>65</v>
      </c>
      <c r="G58" t="s">
        <v>8</v>
      </c>
      <c r="H58" t="s">
        <v>50</v>
      </c>
      <c r="I58" t="s">
        <v>53</v>
      </c>
      <c r="J58" t="s">
        <v>40</v>
      </c>
      <c r="K58">
        <v>4613451.04</v>
      </c>
      <c r="L58">
        <v>413528.07500000001</v>
      </c>
      <c r="M58">
        <v>0.72299999999999998</v>
      </c>
    </row>
    <row r="59" spans="1:13" x14ac:dyDescent="0.25">
      <c r="A59" t="s">
        <v>37</v>
      </c>
      <c r="B59">
        <v>14</v>
      </c>
      <c r="C59" t="s">
        <v>38</v>
      </c>
      <c r="D59">
        <v>2019</v>
      </c>
      <c r="E59">
        <v>27</v>
      </c>
      <c r="F59">
        <v>68</v>
      </c>
      <c r="G59" t="s">
        <v>15</v>
      </c>
      <c r="H59" t="s">
        <v>58</v>
      </c>
      <c r="I59" t="s">
        <v>51</v>
      </c>
      <c r="J59" t="s">
        <v>40</v>
      </c>
      <c r="K59">
        <v>4613457.4950000001</v>
      </c>
      <c r="L59">
        <v>413528.82400000002</v>
      </c>
      <c r="M59">
        <v>0.59799999999999998</v>
      </c>
    </row>
    <row r="60" spans="1:13" x14ac:dyDescent="0.25">
      <c r="A60" t="s">
        <v>37</v>
      </c>
      <c r="B60">
        <v>14</v>
      </c>
      <c r="C60" t="s">
        <v>38</v>
      </c>
      <c r="D60">
        <v>2019</v>
      </c>
      <c r="E60">
        <v>27</v>
      </c>
      <c r="F60">
        <v>69</v>
      </c>
      <c r="G60" t="s">
        <v>15</v>
      </c>
      <c r="H60" t="s">
        <v>58</v>
      </c>
      <c r="I60" t="s">
        <v>51</v>
      </c>
      <c r="J60" t="s">
        <v>40</v>
      </c>
      <c r="K60">
        <v>4613465.7529999996</v>
      </c>
      <c r="L60">
        <v>413530.31900000002</v>
      </c>
      <c r="M60">
        <v>0.60899999999999999</v>
      </c>
    </row>
    <row r="61" spans="1:13" x14ac:dyDescent="0.25">
      <c r="A61" t="s">
        <v>37</v>
      </c>
      <c r="B61">
        <v>14</v>
      </c>
      <c r="C61" t="s">
        <v>38</v>
      </c>
      <c r="D61">
        <v>2019</v>
      </c>
      <c r="E61">
        <v>28</v>
      </c>
      <c r="F61">
        <v>70</v>
      </c>
      <c r="G61" t="s">
        <v>12</v>
      </c>
      <c r="H61" t="s">
        <v>52</v>
      </c>
      <c r="I61" t="s">
        <v>53</v>
      </c>
      <c r="J61" t="s">
        <v>40</v>
      </c>
      <c r="K61">
        <v>4613467.74</v>
      </c>
      <c r="L61">
        <v>413530.59399999998</v>
      </c>
      <c r="M61">
        <v>0.504</v>
      </c>
    </row>
    <row r="62" spans="1:13" x14ac:dyDescent="0.25">
      <c r="A62" t="s">
        <v>37</v>
      </c>
      <c r="B62">
        <v>14</v>
      </c>
      <c r="C62" t="s">
        <v>38</v>
      </c>
      <c r="D62">
        <v>2019</v>
      </c>
      <c r="E62">
        <v>28</v>
      </c>
      <c r="F62">
        <v>71</v>
      </c>
      <c r="G62" t="s">
        <v>12</v>
      </c>
      <c r="H62" t="s">
        <v>52</v>
      </c>
      <c r="I62" t="s">
        <v>53</v>
      </c>
      <c r="J62" t="s">
        <v>40</v>
      </c>
      <c r="K62">
        <v>4613473.9460000005</v>
      </c>
      <c r="L62">
        <v>413529.973</v>
      </c>
      <c r="M62">
        <v>0.51600000000000001</v>
      </c>
    </row>
    <row r="63" spans="1:13" x14ac:dyDescent="0.25">
      <c r="A63" t="s">
        <v>37</v>
      </c>
      <c r="B63">
        <v>14</v>
      </c>
      <c r="C63" t="s">
        <v>38</v>
      </c>
      <c r="D63">
        <v>2019</v>
      </c>
      <c r="E63">
        <v>33</v>
      </c>
      <c r="F63">
        <v>91</v>
      </c>
      <c r="G63" t="s">
        <v>29</v>
      </c>
      <c r="H63" t="s">
        <v>60</v>
      </c>
      <c r="I63" t="s">
        <v>61</v>
      </c>
      <c r="J63" t="s">
        <v>40</v>
      </c>
      <c r="K63">
        <v>4613555.5020000003</v>
      </c>
      <c r="L63">
        <v>413579.46299999999</v>
      </c>
      <c r="M63">
        <v>0.42399999999999999</v>
      </c>
    </row>
    <row r="64" spans="1:13" x14ac:dyDescent="0.25">
      <c r="A64" t="s">
        <v>37</v>
      </c>
      <c r="B64">
        <v>14</v>
      </c>
      <c r="C64" t="s">
        <v>38</v>
      </c>
      <c r="D64">
        <v>2019</v>
      </c>
      <c r="E64">
        <v>33</v>
      </c>
      <c r="F64">
        <v>92</v>
      </c>
      <c r="G64" t="s">
        <v>29</v>
      </c>
      <c r="H64" t="s">
        <v>60</v>
      </c>
      <c r="I64" t="s">
        <v>61</v>
      </c>
      <c r="J64" t="s">
        <v>40</v>
      </c>
      <c r="K64">
        <v>4613554.5369999995</v>
      </c>
      <c r="L64">
        <v>413579.03399999999</v>
      </c>
      <c r="M64">
        <v>0.54200000000000004</v>
      </c>
    </row>
    <row r="65" spans="1:13" x14ac:dyDescent="0.25">
      <c r="A65" t="s">
        <v>37</v>
      </c>
      <c r="B65">
        <v>14</v>
      </c>
      <c r="C65" t="s">
        <v>38</v>
      </c>
      <c r="D65">
        <v>2019</v>
      </c>
      <c r="E65">
        <v>34</v>
      </c>
      <c r="F65">
        <v>93</v>
      </c>
      <c r="G65" t="s">
        <v>17</v>
      </c>
      <c r="H65" t="s">
        <v>60</v>
      </c>
      <c r="I65" t="s">
        <v>53</v>
      </c>
      <c r="J65" t="s">
        <v>40</v>
      </c>
      <c r="K65">
        <v>4613554.5369999995</v>
      </c>
      <c r="L65">
        <v>413579.03399999999</v>
      </c>
      <c r="M65">
        <v>0.54200000000000004</v>
      </c>
    </row>
    <row r="66" spans="1:13" x14ac:dyDescent="0.25">
      <c r="A66" t="s">
        <v>37</v>
      </c>
      <c r="B66">
        <v>14</v>
      </c>
      <c r="C66" t="s">
        <v>38</v>
      </c>
      <c r="D66">
        <v>2019</v>
      </c>
      <c r="E66">
        <v>34</v>
      </c>
      <c r="F66">
        <v>94</v>
      </c>
      <c r="G66" t="s">
        <v>17</v>
      </c>
      <c r="H66" t="s">
        <v>60</v>
      </c>
      <c r="I66" t="s">
        <v>53</v>
      </c>
      <c r="J66" t="s">
        <v>40</v>
      </c>
      <c r="K66">
        <v>4613547.1900000004</v>
      </c>
      <c r="L66">
        <v>413572.99400000001</v>
      </c>
      <c r="M66">
        <v>0.51800000000000002</v>
      </c>
    </row>
    <row r="67" spans="1:13" x14ac:dyDescent="0.25">
      <c r="A67" t="s">
        <v>37</v>
      </c>
      <c r="B67">
        <v>14</v>
      </c>
      <c r="C67" t="s">
        <v>38</v>
      </c>
      <c r="D67">
        <v>2019</v>
      </c>
      <c r="E67">
        <v>35</v>
      </c>
      <c r="F67">
        <v>95</v>
      </c>
      <c r="G67" t="s">
        <v>12</v>
      </c>
      <c r="H67" t="s">
        <v>52</v>
      </c>
      <c r="I67" t="s">
        <v>53</v>
      </c>
      <c r="J67" t="s">
        <v>40</v>
      </c>
      <c r="K67">
        <v>4613545.733</v>
      </c>
      <c r="L67">
        <v>413571.82900000003</v>
      </c>
      <c r="M67">
        <v>0.52500000000000002</v>
      </c>
    </row>
    <row r="68" spans="1:13" x14ac:dyDescent="0.25">
      <c r="A68" t="s">
        <v>37</v>
      </c>
      <c r="B68">
        <v>14</v>
      </c>
      <c r="C68" t="s">
        <v>38</v>
      </c>
      <c r="D68">
        <v>2019</v>
      </c>
      <c r="E68">
        <v>35</v>
      </c>
      <c r="F68">
        <v>96</v>
      </c>
      <c r="G68" t="s">
        <v>12</v>
      </c>
      <c r="H68" t="s">
        <v>52</v>
      </c>
      <c r="I68" t="s">
        <v>53</v>
      </c>
      <c r="J68" t="s">
        <v>40</v>
      </c>
      <c r="K68">
        <v>4613531.4630000005</v>
      </c>
      <c r="L68">
        <v>413560.16700000002</v>
      </c>
      <c r="M68">
        <v>0.48299999999999998</v>
      </c>
    </row>
    <row r="69" spans="1:13" x14ac:dyDescent="0.25">
      <c r="A69" t="s">
        <v>37</v>
      </c>
      <c r="B69">
        <v>14</v>
      </c>
      <c r="C69" t="s">
        <v>38</v>
      </c>
      <c r="D69">
        <v>2019</v>
      </c>
      <c r="E69">
        <v>36</v>
      </c>
      <c r="F69">
        <v>97</v>
      </c>
      <c r="G69" t="s">
        <v>17</v>
      </c>
      <c r="H69" t="s">
        <v>60</v>
      </c>
      <c r="I69" t="s">
        <v>53</v>
      </c>
      <c r="J69" t="s">
        <v>40</v>
      </c>
      <c r="K69">
        <v>4613529.727</v>
      </c>
      <c r="L69">
        <v>413559.21100000001</v>
      </c>
      <c r="M69">
        <v>0.622</v>
      </c>
    </row>
    <row r="70" spans="1:13" x14ac:dyDescent="0.25">
      <c r="A70" t="s">
        <v>37</v>
      </c>
      <c r="B70">
        <v>14</v>
      </c>
      <c r="C70" t="s">
        <v>38</v>
      </c>
      <c r="D70">
        <v>2019</v>
      </c>
      <c r="E70">
        <v>36</v>
      </c>
      <c r="F70">
        <v>98</v>
      </c>
      <c r="G70" t="s">
        <v>17</v>
      </c>
      <c r="H70" t="s">
        <v>60</v>
      </c>
      <c r="I70" t="s">
        <v>53</v>
      </c>
      <c r="J70" t="s">
        <v>40</v>
      </c>
      <c r="K70">
        <v>4613531.2180000003</v>
      </c>
      <c r="L70">
        <v>413556.147</v>
      </c>
      <c r="M70">
        <v>0.501</v>
      </c>
    </row>
    <row r="71" spans="1:13" x14ac:dyDescent="0.25">
      <c r="A71" t="s">
        <v>37</v>
      </c>
      <c r="B71">
        <v>14</v>
      </c>
      <c r="C71" t="s">
        <v>38</v>
      </c>
      <c r="D71">
        <v>2019</v>
      </c>
      <c r="E71">
        <v>38</v>
      </c>
      <c r="F71">
        <v>100</v>
      </c>
      <c r="G71" t="s">
        <v>12</v>
      </c>
      <c r="H71" t="s">
        <v>52</v>
      </c>
      <c r="I71" t="s">
        <v>53</v>
      </c>
      <c r="J71" t="s">
        <v>40</v>
      </c>
      <c r="K71">
        <v>4613534.4730000002</v>
      </c>
      <c r="L71">
        <v>413553.739</v>
      </c>
      <c r="M71">
        <v>0.40300000000000002</v>
      </c>
    </row>
    <row r="72" spans="1:13" x14ac:dyDescent="0.25">
      <c r="A72" t="s">
        <v>37</v>
      </c>
      <c r="B72">
        <v>14</v>
      </c>
      <c r="C72" t="s">
        <v>38</v>
      </c>
      <c r="D72">
        <v>2019</v>
      </c>
      <c r="E72">
        <v>38</v>
      </c>
      <c r="F72">
        <v>101</v>
      </c>
      <c r="G72" t="s">
        <v>12</v>
      </c>
      <c r="H72" t="s">
        <v>52</v>
      </c>
      <c r="I72" t="s">
        <v>53</v>
      </c>
      <c r="J72" t="s">
        <v>40</v>
      </c>
      <c r="K72">
        <v>4613541.2230000002</v>
      </c>
      <c r="L72">
        <v>413546.02600000001</v>
      </c>
      <c r="M72">
        <v>0.42499999999999999</v>
      </c>
    </row>
    <row r="73" spans="1:13" x14ac:dyDescent="0.25">
      <c r="A73" t="s">
        <v>37</v>
      </c>
      <c r="B73">
        <v>14</v>
      </c>
      <c r="C73" t="s">
        <v>38</v>
      </c>
      <c r="D73">
        <v>2019</v>
      </c>
      <c r="E73">
        <v>39</v>
      </c>
      <c r="F73">
        <v>102</v>
      </c>
      <c r="G73" t="s">
        <v>17</v>
      </c>
      <c r="H73" t="s">
        <v>60</v>
      </c>
      <c r="I73" t="s">
        <v>53</v>
      </c>
      <c r="J73" t="s">
        <v>40</v>
      </c>
      <c r="K73">
        <v>4613542.699</v>
      </c>
      <c r="L73">
        <v>413544.69300000003</v>
      </c>
      <c r="M73">
        <v>0.38100000000000001</v>
      </c>
    </row>
    <row r="74" spans="1:13" x14ac:dyDescent="0.25">
      <c r="A74" t="s">
        <v>37</v>
      </c>
      <c r="B74">
        <v>14</v>
      </c>
      <c r="C74" t="s">
        <v>38</v>
      </c>
      <c r="D74">
        <v>2019</v>
      </c>
      <c r="E74">
        <v>39</v>
      </c>
      <c r="F74">
        <v>103</v>
      </c>
      <c r="G74" t="s">
        <v>17</v>
      </c>
      <c r="H74" t="s">
        <v>60</v>
      </c>
      <c r="I74" t="s">
        <v>53</v>
      </c>
      <c r="J74" t="s">
        <v>40</v>
      </c>
      <c r="K74">
        <v>4613543.6979999999</v>
      </c>
      <c r="L74">
        <v>413545.30900000001</v>
      </c>
      <c r="M74">
        <v>0.317</v>
      </c>
    </row>
    <row r="75" spans="1:13" x14ac:dyDescent="0.25">
      <c r="A75" t="s">
        <v>37</v>
      </c>
      <c r="B75">
        <v>14</v>
      </c>
      <c r="C75" t="s">
        <v>38</v>
      </c>
      <c r="D75">
        <v>2019</v>
      </c>
      <c r="E75">
        <v>39</v>
      </c>
      <c r="F75">
        <v>104</v>
      </c>
      <c r="G75" t="s">
        <v>17</v>
      </c>
      <c r="H75" t="s">
        <v>60</v>
      </c>
      <c r="I75" t="s">
        <v>53</v>
      </c>
      <c r="J75" t="s">
        <v>40</v>
      </c>
      <c r="K75">
        <v>4613544.4029999999</v>
      </c>
      <c r="L75">
        <v>413547.23100000003</v>
      </c>
      <c r="M75">
        <v>0.42299999999999999</v>
      </c>
    </row>
    <row r="76" spans="1:13" x14ac:dyDescent="0.25">
      <c r="A76" t="s">
        <v>37</v>
      </c>
      <c r="B76">
        <v>14</v>
      </c>
      <c r="C76" t="s">
        <v>38</v>
      </c>
      <c r="D76">
        <v>2019</v>
      </c>
      <c r="E76">
        <v>41</v>
      </c>
      <c r="F76">
        <v>106</v>
      </c>
      <c r="G76" t="s">
        <v>17</v>
      </c>
      <c r="H76" t="s">
        <v>60</v>
      </c>
      <c r="I76" t="s">
        <v>53</v>
      </c>
      <c r="J76" t="s">
        <v>40</v>
      </c>
      <c r="K76">
        <v>4613546.0379999997</v>
      </c>
      <c r="L76">
        <v>413551.35100000002</v>
      </c>
      <c r="M76">
        <v>0.26200000000000001</v>
      </c>
    </row>
    <row r="77" spans="1:13" x14ac:dyDescent="0.25">
      <c r="A77" t="s">
        <v>37</v>
      </c>
      <c r="B77">
        <v>14</v>
      </c>
      <c r="C77" t="s">
        <v>38</v>
      </c>
      <c r="D77">
        <v>2019</v>
      </c>
      <c r="E77">
        <v>41</v>
      </c>
      <c r="F77">
        <v>107</v>
      </c>
      <c r="G77" t="s">
        <v>17</v>
      </c>
      <c r="H77" t="s">
        <v>60</v>
      </c>
      <c r="I77" t="s">
        <v>53</v>
      </c>
      <c r="J77" t="s">
        <v>40</v>
      </c>
      <c r="K77">
        <v>4613553.0779999997</v>
      </c>
      <c r="L77">
        <v>413575.62099999998</v>
      </c>
      <c r="M77">
        <v>0.38600000000000001</v>
      </c>
    </row>
    <row r="78" spans="1:13" x14ac:dyDescent="0.25">
      <c r="A78" t="s">
        <v>37</v>
      </c>
      <c r="B78">
        <v>15</v>
      </c>
      <c r="C78" t="s">
        <v>38</v>
      </c>
      <c r="D78">
        <v>2019</v>
      </c>
      <c r="E78">
        <v>41</v>
      </c>
      <c r="F78">
        <v>108</v>
      </c>
      <c r="G78" t="s">
        <v>17</v>
      </c>
      <c r="H78" t="s">
        <v>60</v>
      </c>
      <c r="I78" t="s">
        <v>53</v>
      </c>
      <c r="J78" t="s">
        <v>40</v>
      </c>
      <c r="K78">
        <v>4613877.801</v>
      </c>
      <c r="L78">
        <v>413859.84499999997</v>
      </c>
      <c r="M78">
        <v>0.30599999999999999</v>
      </c>
    </row>
    <row r="79" spans="1:13" x14ac:dyDescent="0.25">
      <c r="A79" t="s">
        <v>37</v>
      </c>
      <c r="B79">
        <v>15</v>
      </c>
      <c r="C79" t="s">
        <v>38</v>
      </c>
      <c r="D79">
        <v>2019</v>
      </c>
      <c r="E79">
        <v>42</v>
      </c>
      <c r="F79">
        <v>109</v>
      </c>
      <c r="G79" t="s">
        <v>12</v>
      </c>
      <c r="H79" t="s">
        <v>52</v>
      </c>
      <c r="I79" t="s">
        <v>53</v>
      </c>
      <c r="J79" t="s">
        <v>40</v>
      </c>
      <c r="K79">
        <v>4613876.7130000005</v>
      </c>
      <c r="L79">
        <v>413858.37599999999</v>
      </c>
      <c r="M79">
        <v>0.41299999999999998</v>
      </c>
    </row>
    <row r="80" spans="1:13" x14ac:dyDescent="0.25">
      <c r="A80" t="s">
        <v>37</v>
      </c>
      <c r="B80">
        <v>15</v>
      </c>
      <c r="C80" t="s">
        <v>38</v>
      </c>
      <c r="D80">
        <v>2019</v>
      </c>
      <c r="E80">
        <v>42</v>
      </c>
      <c r="F80">
        <v>110</v>
      </c>
      <c r="G80" t="s">
        <v>12</v>
      </c>
      <c r="H80" t="s">
        <v>52</v>
      </c>
      <c r="I80" t="s">
        <v>53</v>
      </c>
      <c r="J80" t="s">
        <v>40</v>
      </c>
      <c r="K80">
        <v>4613863.4790000003</v>
      </c>
      <c r="L80">
        <v>413817.32</v>
      </c>
      <c r="M80">
        <v>0.45100000000000001</v>
      </c>
    </row>
    <row r="81" spans="1:13" x14ac:dyDescent="0.25">
      <c r="A81" t="s">
        <v>37</v>
      </c>
      <c r="B81">
        <v>15</v>
      </c>
      <c r="C81" t="s">
        <v>38</v>
      </c>
      <c r="D81">
        <v>2019</v>
      </c>
      <c r="E81">
        <v>43</v>
      </c>
      <c r="F81">
        <v>111</v>
      </c>
      <c r="G81" t="s">
        <v>20</v>
      </c>
      <c r="H81" t="s">
        <v>62</v>
      </c>
      <c r="I81" t="s">
        <v>53</v>
      </c>
      <c r="J81" t="s">
        <v>40</v>
      </c>
      <c r="K81">
        <v>4613862.6629999997</v>
      </c>
      <c r="L81">
        <v>413815.44699999999</v>
      </c>
      <c r="M81">
        <v>0.41</v>
      </c>
    </row>
    <row r="82" spans="1:13" x14ac:dyDescent="0.25">
      <c r="A82" t="s">
        <v>37</v>
      </c>
      <c r="B82">
        <v>15</v>
      </c>
      <c r="C82" t="s">
        <v>38</v>
      </c>
      <c r="D82">
        <v>2019</v>
      </c>
      <c r="E82">
        <v>43</v>
      </c>
      <c r="F82">
        <v>112</v>
      </c>
      <c r="G82" t="s">
        <v>20</v>
      </c>
      <c r="H82" t="s">
        <v>62</v>
      </c>
      <c r="I82" t="s">
        <v>53</v>
      </c>
      <c r="J82" t="s">
        <v>40</v>
      </c>
      <c r="K82">
        <v>4613893.7170000002</v>
      </c>
      <c r="L82">
        <v>413808.97499999998</v>
      </c>
      <c r="M82">
        <v>0.46300000000000002</v>
      </c>
    </row>
    <row r="83" spans="1:13" x14ac:dyDescent="0.25">
      <c r="A83" t="s">
        <v>37</v>
      </c>
      <c r="B83">
        <v>15</v>
      </c>
      <c r="C83" t="s">
        <v>38</v>
      </c>
      <c r="D83">
        <v>2019</v>
      </c>
      <c r="E83">
        <v>45</v>
      </c>
      <c r="F83">
        <v>114</v>
      </c>
      <c r="G83" t="s">
        <v>10</v>
      </c>
      <c r="H83" t="s">
        <v>54</v>
      </c>
      <c r="I83" t="s">
        <v>53</v>
      </c>
      <c r="J83" t="s">
        <v>40</v>
      </c>
      <c r="K83">
        <v>4613893.6579999998</v>
      </c>
      <c r="L83">
        <v>413805.10600000003</v>
      </c>
      <c r="M83">
        <v>0.60099999999999998</v>
      </c>
    </row>
    <row r="84" spans="1:13" x14ac:dyDescent="0.25">
      <c r="A84" t="s">
        <v>37</v>
      </c>
      <c r="B84">
        <v>15</v>
      </c>
      <c r="C84" t="s">
        <v>38</v>
      </c>
      <c r="D84">
        <v>2019</v>
      </c>
      <c r="E84">
        <v>45</v>
      </c>
      <c r="F84">
        <v>115</v>
      </c>
      <c r="G84" t="s">
        <v>10</v>
      </c>
      <c r="H84" t="s">
        <v>54</v>
      </c>
      <c r="I84" t="s">
        <v>53</v>
      </c>
      <c r="J84" t="s">
        <v>40</v>
      </c>
      <c r="K84">
        <v>4613891.4460000005</v>
      </c>
      <c r="L84">
        <v>413794.38500000001</v>
      </c>
      <c r="M84">
        <v>0.58099999999999996</v>
      </c>
    </row>
    <row r="85" spans="1:13" x14ac:dyDescent="0.25">
      <c r="A85" t="s">
        <v>37</v>
      </c>
      <c r="B85">
        <v>15</v>
      </c>
      <c r="C85" t="s">
        <v>38</v>
      </c>
      <c r="D85">
        <v>2019</v>
      </c>
      <c r="E85">
        <v>46</v>
      </c>
      <c r="F85">
        <v>116</v>
      </c>
      <c r="G85" t="s">
        <v>12</v>
      </c>
      <c r="H85" t="s">
        <v>52</v>
      </c>
      <c r="I85" t="s">
        <v>53</v>
      </c>
      <c r="J85" t="s">
        <v>40</v>
      </c>
      <c r="K85">
        <v>4613890.9479999999</v>
      </c>
      <c r="L85">
        <v>413792.42099999997</v>
      </c>
      <c r="M85">
        <v>0.58899999999999997</v>
      </c>
    </row>
    <row r="86" spans="1:13" x14ac:dyDescent="0.25">
      <c r="A86" t="s">
        <v>37</v>
      </c>
      <c r="B86">
        <v>15</v>
      </c>
      <c r="C86" t="s">
        <v>38</v>
      </c>
      <c r="D86">
        <v>2019</v>
      </c>
      <c r="E86">
        <v>46</v>
      </c>
      <c r="F86">
        <v>117</v>
      </c>
      <c r="G86" t="s">
        <v>12</v>
      </c>
      <c r="H86" t="s">
        <v>52</v>
      </c>
      <c r="I86" t="s">
        <v>53</v>
      </c>
      <c r="J86" t="s">
        <v>40</v>
      </c>
      <c r="K86">
        <v>4613890.818</v>
      </c>
      <c r="L86">
        <v>413792.80499999999</v>
      </c>
      <c r="M86">
        <v>0.58599999999999997</v>
      </c>
    </row>
    <row r="87" spans="1:13" x14ac:dyDescent="0.25">
      <c r="A87" t="s">
        <v>37</v>
      </c>
      <c r="B87">
        <v>15</v>
      </c>
      <c r="C87" t="s">
        <v>38</v>
      </c>
      <c r="D87">
        <v>2019</v>
      </c>
      <c r="E87">
        <v>46</v>
      </c>
      <c r="F87">
        <v>118</v>
      </c>
      <c r="G87" t="s">
        <v>12</v>
      </c>
      <c r="H87" t="s">
        <v>52</v>
      </c>
      <c r="I87" t="s">
        <v>53</v>
      </c>
      <c r="J87" t="s">
        <v>40</v>
      </c>
      <c r="K87">
        <v>4613897.5930000003</v>
      </c>
      <c r="L87">
        <v>413791.71100000001</v>
      </c>
      <c r="M87">
        <v>0.60199999999999998</v>
      </c>
    </row>
    <row r="88" spans="1:13" x14ac:dyDescent="0.25">
      <c r="A88" t="s">
        <v>37</v>
      </c>
      <c r="B88">
        <v>15</v>
      </c>
      <c r="C88" t="s">
        <v>38</v>
      </c>
      <c r="D88">
        <v>2019</v>
      </c>
      <c r="E88">
        <v>47</v>
      </c>
      <c r="F88">
        <v>119</v>
      </c>
      <c r="G88" t="s">
        <v>23</v>
      </c>
      <c r="H88" t="s">
        <v>63</v>
      </c>
      <c r="I88" t="s">
        <v>53</v>
      </c>
      <c r="J88" t="s">
        <v>40</v>
      </c>
      <c r="K88">
        <v>4613898.8</v>
      </c>
      <c r="L88">
        <v>413791.44199999998</v>
      </c>
      <c r="M88">
        <v>0.54800000000000004</v>
      </c>
    </row>
    <row r="89" spans="1:13" x14ac:dyDescent="0.25">
      <c r="A89" t="s">
        <v>37</v>
      </c>
      <c r="B89">
        <v>15</v>
      </c>
      <c r="C89" t="s">
        <v>38</v>
      </c>
      <c r="D89">
        <v>2019</v>
      </c>
      <c r="E89">
        <v>47</v>
      </c>
      <c r="F89">
        <v>120</v>
      </c>
      <c r="G89" t="s">
        <v>23</v>
      </c>
      <c r="H89" t="s">
        <v>63</v>
      </c>
      <c r="I89" t="s">
        <v>53</v>
      </c>
      <c r="J89" t="s">
        <v>40</v>
      </c>
      <c r="K89">
        <v>4613902.2369999997</v>
      </c>
      <c r="L89">
        <v>413790.68400000001</v>
      </c>
      <c r="M89">
        <v>0.45300000000000001</v>
      </c>
    </row>
    <row r="90" spans="1:13" x14ac:dyDescent="0.25">
      <c r="A90" t="s">
        <v>37</v>
      </c>
      <c r="B90">
        <v>15</v>
      </c>
      <c r="C90" t="s">
        <v>38</v>
      </c>
      <c r="D90">
        <v>2019</v>
      </c>
      <c r="E90">
        <v>52</v>
      </c>
      <c r="F90">
        <v>152</v>
      </c>
      <c r="G90" t="s">
        <v>23</v>
      </c>
      <c r="H90" t="s">
        <v>63</v>
      </c>
      <c r="I90" t="s">
        <v>53</v>
      </c>
      <c r="J90" t="s">
        <v>40</v>
      </c>
      <c r="K90">
        <v>4613888.5779999997</v>
      </c>
      <c r="L90">
        <v>413705.06300000002</v>
      </c>
      <c r="M90">
        <v>0.45500000000000002</v>
      </c>
    </row>
    <row r="91" spans="1:13" x14ac:dyDescent="0.25">
      <c r="A91" t="s">
        <v>37</v>
      </c>
      <c r="B91">
        <v>15</v>
      </c>
      <c r="C91" t="s">
        <v>38</v>
      </c>
      <c r="D91">
        <v>2019</v>
      </c>
      <c r="E91">
        <v>52</v>
      </c>
      <c r="F91">
        <v>153</v>
      </c>
      <c r="G91" t="s">
        <v>23</v>
      </c>
      <c r="H91" t="s">
        <v>63</v>
      </c>
      <c r="I91" t="s">
        <v>53</v>
      </c>
      <c r="J91" t="s">
        <v>40</v>
      </c>
      <c r="K91">
        <v>4613883.057</v>
      </c>
      <c r="L91">
        <v>413708.80900000001</v>
      </c>
      <c r="M91">
        <v>0.53400000000000003</v>
      </c>
    </row>
    <row r="92" spans="1:13" x14ac:dyDescent="0.25">
      <c r="A92" t="s">
        <v>37</v>
      </c>
      <c r="B92">
        <v>15</v>
      </c>
      <c r="C92" t="s">
        <v>38</v>
      </c>
      <c r="D92">
        <v>2019</v>
      </c>
      <c r="E92">
        <v>54</v>
      </c>
      <c r="F92">
        <v>155</v>
      </c>
      <c r="G92" t="s">
        <v>22</v>
      </c>
      <c r="H92" t="s">
        <v>64</v>
      </c>
      <c r="I92" t="s">
        <v>51</v>
      </c>
      <c r="J92" t="s">
        <v>40</v>
      </c>
      <c r="K92">
        <v>4613880.1509999996</v>
      </c>
      <c r="L92">
        <v>413711.50699999998</v>
      </c>
      <c r="M92">
        <v>0.60399999999999998</v>
      </c>
    </row>
    <row r="93" spans="1:13" x14ac:dyDescent="0.25">
      <c r="A93" t="s">
        <v>37</v>
      </c>
      <c r="B93">
        <v>15</v>
      </c>
      <c r="C93" t="s">
        <v>38</v>
      </c>
      <c r="D93">
        <v>2019</v>
      </c>
      <c r="E93">
        <v>54</v>
      </c>
      <c r="F93">
        <v>156</v>
      </c>
      <c r="G93" t="s">
        <v>22</v>
      </c>
      <c r="H93" t="s">
        <v>64</v>
      </c>
      <c r="I93" t="s">
        <v>51</v>
      </c>
      <c r="J93" t="s">
        <v>40</v>
      </c>
      <c r="K93">
        <v>4613878.949</v>
      </c>
      <c r="L93">
        <v>413715.42700000003</v>
      </c>
      <c r="M93">
        <v>0.67600000000000005</v>
      </c>
    </row>
    <row r="94" spans="1:13" x14ac:dyDescent="0.25">
      <c r="A94" t="s">
        <v>37</v>
      </c>
      <c r="B94">
        <v>15</v>
      </c>
      <c r="C94" t="s">
        <v>38</v>
      </c>
      <c r="D94">
        <v>2019</v>
      </c>
      <c r="E94">
        <v>55</v>
      </c>
      <c r="F94">
        <v>157</v>
      </c>
      <c r="G94" t="s">
        <v>14</v>
      </c>
      <c r="H94" t="s">
        <v>52</v>
      </c>
      <c r="I94" t="s">
        <v>51</v>
      </c>
      <c r="J94" t="s">
        <v>40</v>
      </c>
      <c r="K94">
        <v>4613878.9369999999</v>
      </c>
      <c r="L94">
        <v>413717.45</v>
      </c>
      <c r="M94">
        <v>0.66600000000000004</v>
      </c>
    </row>
    <row r="95" spans="1:13" x14ac:dyDescent="0.25">
      <c r="A95" t="s">
        <v>37</v>
      </c>
      <c r="B95">
        <v>15</v>
      </c>
      <c r="C95" t="s">
        <v>38</v>
      </c>
      <c r="D95">
        <v>2019</v>
      </c>
      <c r="E95">
        <v>55</v>
      </c>
      <c r="F95">
        <v>158</v>
      </c>
      <c r="G95" t="s">
        <v>14</v>
      </c>
      <c r="H95" t="s">
        <v>52</v>
      </c>
      <c r="I95" t="s">
        <v>51</v>
      </c>
      <c r="J95" t="s">
        <v>40</v>
      </c>
      <c r="K95">
        <v>4613878.8609999996</v>
      </c>
      <c r="L95">
        <v>413720.33500000002</v>
      </c>
      <c r="M95">
        <v>0.68500000000000005</v>
      </c>
    </row>
    <row r="96" spans="1:13" x14ac:dyDescent="0.25">
      <c r="A96" t="s">
        <v>37</v>
      </c>
      <c r="B96">
        <v>15</v>
      </c>
      <c r="C96" t="s">
        <v>38</v>
      </c>
      <c r="D96">
        <v>2019</v>
      </c>
      <c r="E96">
        <v>58</v>
      </c>
      <c r="F96">
        <v>161</v>
      </c>
      <c r="G96" t="s">
        <v>12</v>
      </c>
      <c r="H96" t="s">
        <v>52</v>
      </c>
      <c r="I96" t="s">
        <v>53</v>
      </c>
      <c r="J96" t="s">
        <v>40</v>
      </c>
      <c r="K96">
        <v>4613875.068</v>
      </c>
      <c r="L96">
        <v>413731.56900000002</v>
      </c>
      <c r="M96">
        <v>0.67500000000000004</v>
      </c>
    </row>
    <row r="97" spans="1:13" x14ac:dyDescent="0.25">
      <c r="A97" t="s">
        <v>37</v>
      </c>
      <c r="B97">
        <v>15</v>
      </c>
      <c r="C97" t="s">
        <v>38</v>
      </c>
      <c r="D97">
        <v>2019</v>
      </c>
      <c r="E97">
        <v>58</v>
      </c>
      <c r="F97">
        <v>162</v>
      </c>
      <c r="G97" t="s">
        <v>12</v>
      </c>
      <c r="H97" t="s">
        <v>52</v>
      </c>
      <c r="I97" t="s">
        <v>53</v>
      </c>
      <c r="J97" t="s">
        <v>40</v>
      </c>
      <c r="K97">
        <v>4613838.7060000002</v>
      </c>
      <c r="L97">
        <v>413735.95600000001</v>
      </c>
      <c r="M97">
        <v>0.307</v>
      </c>
    </row>
    <row r="98" spans="1:13" x14ac:dyDescent="0.25">
      <c r="A98" t="s">
        <v>37</v>
      </c>
      <c r="B98">
        <v>15</v>
      </c>
      <c r="C98" t="s">
        <v>38</v>
      </c>
      <c r="D98">
        <v>2019</v>
      </c>
      <c r="E98">
        <v>59</v>
      </c>
      <c r="F98">
        <v>163</v>
      </c>
      <c r="G98" t="s">
        <v>17</v>
      </c>
      <c r="H98" t="s">
        <v>60</v>
      </c>
      <c r="I98" t="s">
        <v>53</v>
      </c>
      <c r="J98" t="s">
        <v>40</v>
      </c>
      <c r="K98">
        <v>4613836.8909999998</v>
      </c>
      <c r="L98">
        <v>413736.745</v>
      </c>
      <c r="M98">
        <v>0.28299999999999997</v>
      </c>
    </row>
    <row r="99" spans="1:13" x14ac:dyDescent="0.25">
      <c r="A99" t="s">
        <v>37</v>
      </c>
      <c r="B99">
        <v>15</v>
      </c>
      <c r="C99" t="s">
        <v>38</v>
      </c>
      <c r="D99">
        <v>2019</v>
      </c>
      <c r="E99">
        <v>59</v>
      </c>
      <c r="F99">
        <v>164</v>
      </c>
      <c r="G99" t="s">
        <v>17</v>
      </c>
      <c r="H99" t="s">
        <v>60</v>
      </c>
      <c r="I99" t="s">
        <v>53</v>
      </c>
      <c r="J99" t="s">
        <v>40</v>
      </c>
      <c r="K99">
        <v>4613835.3329999996</v>
      </c>
      <c r="L99">
        <v>413737.27</v>
      </c>
      <c r="M99">
        <v>0.222</v>
      </c>
    </row>
    <row r="100" spans="1:13" x14ac:dyDescent="0.25">
      <c r="A100" t="s">
        <v>37</v>
      </c>
      <c r="B100">
        <v>15</v>
      </c>
      <c r="C100" t="s">
        <v>38</v>
      </c>
      <c r="D100">
        <v>2019</v>
      </c>
      <c r="E100">
        <v>59</v>
      </c>
      <c r="F100">
        <v>165</v>
      </c>
      <c r="G100" t="s">
        <v>17</v>
      </c>
      <c r="H100" t="s">
        <v>60</v>
      </c>
      <c r="I100" t="s">
        <v>53</v>
      </c>
      <c r="J100" t="s">
        <v>40</v>
      </c>
      <c r="K100">
        <v>4613827.3320000004</v>
      </c>
      <c r="L100">
        <v>413722.83100000001</v>
      </c>
      <c r="M100">
        <v>0.25</v>
      </c>
    </row>
    <row r="101" spans="1:13" x14ac:dyDescent="0.25">
      <c r="A101" t="s">
        <v>37</v>
      </c>
      <c r="B101">
        <v>15</v>
      </c>
      <c r="C101" t="s">
        <v>38</v>
      </c>
      <c r="D101">
        <v>2019</v>
      </c>
      <c r="E101">
        <v>59</v>
      </c>
      <c r="F101">
        <v>166</v>
      </c>
      <c r="G101" t="s">
        <v>17</v>
      </c>
      <c r="H101" t="s">
        <v>60</v>
      </c>
      <c r="I101" t="s">
        <v>53</v>
      </c>
      <c r="J101" t="s">
        <v>40</v>
      </c>
      <c r="K101">
        <v>4613829.62</v>
      </c>
      <c r="L101">
        <v>413720.087</v>
      </c>
      <c r="M101">
        <v>0.316</v>
      </c>
    </row>
    <row r="102" spans="1:13" x14ac:dyDescent="0.25">
      <c r="A102" t="s">
        <v>37</v>
      </c>
      <c r="B102">
        <v>15</v>
      </c>
      <c r="C102" t="s">
        <v>38</v>
      </c>
      <c r="D102">
        <v>2019</v>
      </c>
      <c r="E102">
        <v>59</v>
      </c>
      <c r="F102">
        <v>167</v>
      </c>
      <c r="G102" t="s">
        <v>17</v>
      </c>
      <c r="H102" t="s">
        <v>60</v>
      </c>
      <c r="I102" t="s">
        <v>53</v>
      </c>
      <c r="J102" t="s">
        <v>40</v>
      </c>
      <c r="K102">
        <v>4613813.6119999997</v>
      </c>
      <c r="L102">
        <v>413712.19</v>
      </c>
      <c r="M102">
        <v>0.29599999999999999</v>
      </c>
    </row>
    <row r="103" spans="1:13" x14ac:dyDescent="0.25">
      <c r="A103" t="s">
        <v>37</v>
      </c>
      <c r="B103">
        <v>15</v>
      </c>
      <c r="C103" t="s">
        <v>38</v>
      </c>
      <c r="D103">
        <v>2019</v>
      </c>
      <c r="E103">
        <v>59</v>
      </c>
      <c r="F103">
        <v>168</v>
      </c>
      <c r="G103" t="s">
        <v>17</v>
      </c>
      <c r="H103" t="s">
        <v>60</v>
      </c>
      <c r="I103" t="s">
        <v>53</v>
      </c>
      <c r="J103" t="s">
        <v>40</v>
      </c>
      <c r="K103">
        <v>4613814.4879999999</v>
      </c>
      <c r="L103">
        <v>413711.02100000001</v>
      </c>
      <c r="M103">
        <v>0.29699999999999999</v>
      </c>
    </row>
    <row r="104" spans="1:13" x14ac:dyDescent="0.25">
      <c r="A104" t="s">
        <v>37</v>
      </c>
      <c r="B104">
        <v>15</v>
      </c>
      <c r="C104" t="s">
        <v>38</v>
      </c>
      <c r="D104">
        <v>2019</v>
      </c>
      <c r="E104">
        <v>60</v>
      </c>
      <c r="F104">
        <v>169</v>
      </c>
      <c r="G104" t="s">
        <v>12</v>
      </c>
      <c r="H104" t="s">
        <v>52</v>
      </c>
      <c r="I104" t="s">
        <v>53</v>
      </c>
      <c r="J104" t="s">
        <v>40</v>
      </c>
      <c r="K104">
        <v>4613815.3909999998</v>
      </c>
      <c r="L104">
        <v>413709.26</v>
      </c>
      <c r="M104">
        <v>0.27500000000000002</v>
      </c>
    </row>
    <row r="105" spans="1:13" x14ac:dyDescent="0.25">
      <c r="A105" t="s">
        <v>37</v>
      </c>
      <c r="B105">
        <v>15</v>
      </c>
      <c r="C105" t="s">
        <v>38</v>
      </c>
      <c r="D105">
        <v>2019</v>
      </c>
      <c r="E105">
        <v>60</v>
      </c>
      <c r="F105">
        <v>170</v>
      </c>
      <c r="G105" t="s">
        <v>12</v>
      </c>
      <c r="H105" t="s">
        <v>52</v>
      </c>
      <c r="I105" t="s">
        <v>53</v>
      </c>
      <c r="J105" t="s">
        <v>40</v>
      </c>
      <c r="K105">
        <v>4613826.1789999995</v>
      </c>
      <c r="L105">
        <v>413683.41700000002</v>
      </c>
      <c r="M105">
        <v>0.61</v>
      </c>
    </row>
    <row r="106" spans="1:13" x14ac:dyDescent="0.25">
      <c r="A106" t="s">
        <v>37</v>
      </c>
      <c r="B106">
        <v>15</v>
      </c>
      <c r="C106" t="s">
        <v>38</v>
      </c>
      <c r="D106">
        <v>2019</v>
      </c>
      <c r="E106">
        <v>61</v>
      </c>
      <c r="F106">
        <v>171</v>
      </c>
      <c r="G106" t="s">
        <v>10</v>
      </c>
      <c r="H106" t="s">
        <v>54</v>
      </c>
      <c r="I106" t="s">
        <v>53</v>
      </c>
      <c r="J106" t="s">
        <v>40</v>
      </c>
      <c r="K106">
        <v>4613827.2280000001</v>
      </c>
      <c r="L106">
        <v>413681.52500000002</v>
      </c>
      <c r="M106">
        <v>0.64100000000000001</v>
      </c>
    </row>
    <row r="107" spans="1:13" x14ac:dyDescent="0.25">
      <c r="A107" t="s">
        <v>37</v>
      </c>
      <c r="B107">
        <v>15</v>
      </c>
      <c r="C107" t="s">
        <v>38</v>
      </c>
      <c r="D107">
        <v>2019</v>
      </c>
      <c r="E107">
        <v>61</v>
      </c>
      <c r="F107">
        <v>172</v>
      </c>
      <c r="G107" t="s">
        <v>10</v>
      </c>
      <c r="H107" t="s">
        <v>54</v>
      </c>
      <c r="I107" t="s">
        <v>53</v>
      </c>
      <c r="J107" t="s">
        <v>40</v>
      </c>
      <c r="K107">
        <v>4613827.8569999998</v>
      </c>
      <c r="L107">
        <v>413679.56</v>
      </c>
      <c r="M107">
        <v>0.64600000000000002</v>
      </c>
    </row>
    <row r="108" spans="1:13" x14ac:dyDescent="0.25">
      <c r="A108" t="s">
        <v>37</v>
      </c>
      <c r="B108">
        <v>15</v>
      </c>
      <c r="C108" t="s">
        <v>38</v>
      </c>
      <c r="D108">
        <v>2019</v>
      </c>
      <c r="E108">
        <v>62</v>
      </c>
      <c r="F108">
        <v>173</v>
      </c>
      <c r="G108" t="s">
        <v>23</v>
      </c>
      <c r="H108" t="s">
        <v>63</v>
      </c>
      <c r="I108" t="s">
        <v>53</v>
      </c>
      <c r="J108" t="s">
        <v>40</v>
      </c>
      <c r="K108">
        <v>4613828.3250000002</v>
      </c>
      <c r="L108">
        <v>413677.65500000003</v>
      </c>
      <c r="M108">
        <v>0.64100000000000001</v>
      </c>
    </row>
    <row r="109" spans="1:13" x14ac:dyDescent="0.25">
      <c r="A109" t="s">
        <v>37</v>
      </c>
      <c r="B109">
        <v>15</v>
      </c>
      <c r="C109" t="s">
        <v>38</v>
      </c>
      <c r="D109">
        <v>2019</v>
      </c>
      <c r="E109">
        <v>62</v>
      </c>
      <c r="F109">
        <v>174</v>
      </c>
      <c r="G109" t="s">
        <v>23</v>
      </c>
      <c r="H109" t="s">
        <v>63</v>
      </c>
      <c r="I109" t="s">
        <v>53</v>
      </c>
      <c r="J109" t="s">
        <v>40</v>
      </c>
      <c r="K109">
        <v>4613831.8099999996</v>
      </c>
      <c r="L109">
        <v>413666.88</v>
      </c>
      <c r="M109">
        <v>0.55300000000000005</v>
      </c>
    </row>
    <row r="110" spans="1:13" x14ac:dyDescent="0.25">
      <c r="A110" t="s">
        <v>37</v>
      </c>
      <c r="B110">
        <v>15</v>
      </c>
      <c r="C110" t="s">
        <v>38</v>
      </c>
      <c r="D110">
        <v>2019</v>
      </c>
      <c r="E110">
        <v>63</v>
      </c>
      <c r="F110">
        <v>175</v>
      </c>
      <c r="G110" t="s">
        <v>13</v>
      </c>
      <c r="H110" t="s">
        <v>55</v>
      </c>
      <c r="I110" t="s">
        <v>53</v>
      </c>
      <c r="J110" t="s">
        <v>40</v>
      </c>
      <c r="K110">
        <v>4613832.0060000001</v>
      </c>
      <c r="L110">
        <v>413664.73800000001</v>
      </c>
      <c r="M110">
        <v>0.58099999999999996</v>
      </c>
    </row>
    <row r="111" spans="1:13" x14ac:dyDescent="0.25">
      <c r="A111" t="s">
        <v>37</v>
      </c>
      <c r="B111">
        <v>15</v>
      </c>
      <c r="C111" t="s">
        <v>38</v>
      </c>
      <c r="D111">
        <v>2019</v>
      </c>
      <c r="E111">
        <v>63</v>
      </c>
      <c r="F111">
        <v>176</v>
      </c>
      <c r="G111" t="s">
        <v>13</v>
      </c>
      <c r="H111" t="s">
        <v>55</v>
      </c>
      <c r="I111" t="s">
        <v>53</v>
      </c>
      <c r="J111" t="s">
        <v>40</v>
      </c>
      <c r="K111">
        <v>4613832.3509999998</v>
      </c>
      <c r="L111">
        <v>413658.93400000001</v>
      </c>
      <c r="M111">
        <v>0.54200000000000004</v>
      </c>
    </row>
    <row r="112" spans="1:13" x14ac:dyDescent="0.25">
      <c r="A112" t="s">
        <v>37</v>
      </c>
      <c r="B112">
        <v>15</v>
      </c>
      <c r="C112" t="s">
        <v>38</v>
      </c>
      <c r="D112">
        <v>2019</v>
      </c>
      <c r="E112">
        <v>64</v>
      </c>
      <c r="F112">
        <v>177</v>
      </c>
      <c r="G112" t="s">
        <v>25</v>
      </c>
      <c r="H112" t="s">
        <v>65</v>
      </c>
      <c r="I112" t="s">
        <v>53</v>
      </c>
      <c r="J112" t="s">
        <v>40</v>
      </c>
      <c r="K112">
        <v>4613832.6189999999</v>
      </c>
      <c r="L112">
        <v>413656.80800000002</v>
      </c>
      <c r="M112">
        <v>0.52500000000000002</v>
      </c>
    </row>
    <row r="113" spans="1:13" x14ac:dyDescent="0.25">
      <c r="A113" t="s">
        <v>37</v>
      </c>
      <c r="B113">
        <v>15</v>
      </c>
      <c r="C113" t="s">
        <v>38</v>
      </c>
      <c r="D113">
        <v>2019</v>
      </c>
      <c r="E113">
        <v>64</v>
      </c>
      <c r="F113">
        <v>178</v>
      </c>
      <c r="G113" t="s">
        <v>25</v>
      </c>
      <c r="H113" t="s">
        <v>65</v>
      </c>
      <c r="I113" t="s">
        <v>53</v>
      </c>
      <c r="J113" t="s">
        <v>40</v>
      </c>
      <c r="K113">
        <v>4613820.4239999996</v>
      </c>
      <c r="L113">
        <v>413652.50900000002</v>
      </c>
      <c r="M113">
        <v>0.59499999999999997</v>
      </c>
    </row>
    <row r="114" spans="1:13" x14ac:dyDescent="0.25">
      <c r="A114" t="s">
        <v>37</v>
      </c>
      <c r="B114">
        <v>15</v>
      </c>
      <c r="C114" t="s">
        <v>38</v>
      </c>
      <c r="D114">
        <v>2019</v>
      </c>
      <c r="E114">
        <v>65</v>
      </c>
      <c r="F114">
        <v>179</v>
      </c>
      <c r="G114" t="s">
        <v>13</v>
      </c>
      <c r="H114" t="s">
        <v>55</v>
      </c>
      <c r="I114" t="s">
        <v>53</v>
      </c>
      <c r="J114" t="s">
        <v>40</v>
      </c>
      <c r="K114">
        <v>4613818.4970000004</v>
      </c>
      <c r="L114">
        <v>413651.95899999997</v>
      </c>
      <c r="M114">
        <v>0.59399999999999997</v>
      </c>
    </row>
    <row r="115" spans="1:13" x14ac:dyDescent="0.25">
      <c r="A115" t="s">
        <v>37</v>
      </c>
      <c r="B115">
        <v>15</v>
      </c>
      <c r="C115" t="s">
        <v>38</v>
      </c>
      <c r="D115">
        <v>2019</v>
      </c>
      <c r="E115">
        <v>65</v>
      </c>
      <c r="F115">
        <v>180</v>
      </c>
      <c r="G115" t="s">
        <v>13</v>
      </c>
      <c r="H115" t="s">
        <v>55</v>
      </c>
      <c r="I115" t="s">
        <v>53</v>
      </c>
      <c r="J115" t="s">
        <v>40</v>
      </c>
      <c r="K115">
        <v>4613809.8619999997</v>
      </c>
      <c r="L115">
        <v>413649.55800000002</v>
      </c>
      <c r="M115">
        <v>0.53800000000000003</v>
      </c>
    </row>
    <row r="116" spans="1:13" x14ac:dyDescent="0.25">
      <c r="A116" t="s">
        <v>37</v>
      </c>
      <c r="B116">
        <v>15</v>
      </c>
      <c r="C116" t="s">
        <v>38</v>
      </c>
      <c r="D116">
        <v>2019</v>
      </c>
      <c r="E116">
        <v>66</v>
      </c>
      <c r="F116">
        <v>181</v>
      </c>
      <c r="G116" t="s">
        <v>25</v>
      </c>
      <c r="H116" t="s">
        <v>65</v>
      </c>
      <c r="I116" t="s">
        <v>53</v>
      </c>
      <c r="J116" t="s">
        <v>40</v>
      </c>
      <c r="K116">
        <v>4613807.943</v>
      </c>
      <c r="L116">
        <v>413648.67099999997</v>
      </c>
      <c r="M116">
        <v>0.52800000000000002</v>
      </c>
    </row>
    <row r="117" spans="1:13" x14ac:dyDescent="0.25">
      <c r="A117" t="s">
        <v>37</v>
      </c>
      <c r="B117">
        <v>15</v>
      </c>
      <c r="C117" t="s">
        <v>38</v>
      </c>
      <c r="D117">
        <v>2019</v>
      </c>
      <c r="E117">
        <v>66</v>
      </c>
      <c r="F117">
        <v>182</v>
      </c>
      <c r="G117" t="s">
        <v>25</v>
      </c>
      <c r="H117" t="s">
        <v>65</v>
      </c>
      <c r="I117" t="s">
        <v>53</v>
      </c>
      <c r="J117" t="s">
        <v>40</v>
      </c>
      <c r="K117">
        <v>4613806.1390000004</v>
      </c>
      <c r="L117">
        <v>413647.163</v>
      </c>
      <c r="M117">
        <v>0.48299999999999998</v>
      </c>
    </row>
    <row r="118" spans="1:13" x14ac:dyDescent="0.25">
      <c r="A118" t="s">
        <v>37</v>
      </c>
      <c r="B118">
        <v>15</v>
      </c>
      <c r="C118" t="s">
        <v>38</v>
      </c>
      <c r="D118">
        <v>2019</v>
      </c>
      <c r="E118">
        <v>67</v>
      </c>
      <c r="F118">
        <v>183</v>
      </c>
      <c r="G118" t="s">
        <v>17</v>
      </c>
      <c r="H118" t="s">
        <v>60</v>
      </c>
      <c r="I118" t="s">
        <v>53</v>
      </c>
      <c r="J118" t="s">
        <v>40</v>
      </c>
      <c r="K118">
        <v>4613804.6550000003</v>
      </c>
      <c r="L118">
        <v>413646.31099999999</v>
      </c>
      <c r="M118">
        <v>0.377</v>
      </c>
    </row>
    <row r="119" spans="1:13" x14ac:dyDescent="0.25">
      <c r="A119" t="s">
        <v>37</v>
      </c>
      <c r="B119">
        <v>15</v>
      </c>
      <c r="C119" t="s">
        <v>38</v>
      </c>
      <c r="D119">
        <v>2019</v>
      </c>
      <c r="E119">
        <v>67</v>
      </c>
      <c r="F119">
        <v>184</v>
      </c>
      <c r="G119" t="s">
        <v>17</v>
      </c>
      <c r="H119" t="s">
        <v>60</v>
      </c>
      <c r="I119" t="s">
        <v>53</v>
      </c>
      <c r="J119" t="s">
        <v>40</v>
      </c>
      <c r="K119">
        <v>4613796.1090000002</v>
      </c>
      <c r="L119">
        <v>413642.22200000001</v>
      </c>
      <c r="M119">
        <v>0.38600000000000001</v>
      </c>
    </row>
    <row r="120" spans="1:13" x14ac:dyDescent="0.25">
      <c r="A120" t="s">
        <v>37</v>
      </c>
      <c r="B120">
        <v>15</v>
      </c>
      <c r="C120" t="s">
        <v>38</v>
      </c>
      <c r="D120">
        <v>2019</v>
      </c>
      <c r="E120">
        <v>68</v>
      </c>
      <c r="F120">
        <v>185</v>
      </c>
      <c r="G120" t="s">
        <v>20</v>
      </c>
      <c r="H120" t="s">
        <v>62</v>
      </c>
      <c r="I120" t="s">
        <v>53</v>
      </c>
      <c r="J120" t="s">
        <v>40</v>
      </c>
      <c r="K120">
        <v>4613795.2110000001</v>
      </c>
      <c r="L120">
        <v>413641.9</v>
      </c>
      <c r="M120">
        <v>0.42599999999999999</v>
      </c>
    </row>
    <row r="121" spans="1:13" x14ac:dyDescent="0.25">
      <c r="A121" t="s">
        <v>37</v>
      </c>
      <c r="B121">
        <v>15</v>
      </c>
      <c r="C121" t="s">
        <v>38</v>
      </c>
      <c r="D121">
        <v>2019</v>
      </c>
      <c r="E121">
        <v>68</v>
      </c>
      <c r="F121">
        <v>186</v>
      </c>
      <c r="G121" t="s">
        <v>20</v>
      </c>
      <c r="H121" t="s">
        <v>62</v>
      </c>
      <c r="I121" t="s">
        <v>53</v>
      </c>
      <c r="J121" t="s">
        <v>40</v>
      </c>
      <c r="K121">
        <v>4613791.09</v>
      </c>
      <c r="L121">
        <v>413640.96600000001</v>
      </c>
      <c r="M121">
        <v>0.52400000000000002</v>
      </c>
    </row>
    <row r="122" spans="1:13" x14ac:dyDescent="0.25">
      <c r="A122" t="s">
        <v>37</v>
      </c>
      <c r="B122">
        <v>15</v>
      </c>
      <c r="C122" t="s">
        <v>38</v>
      </c>
      <c r="D122">
        <v>2019</v>
      </c>
      <c r="E122">
        <v>69</v>
      </c>
      <c r="F122">
        <v>187</v>
      </c>
      <c r="G122" t="s">
        <v>10</v>
      </c>
      <c r="H122" t="s">
        <v>54</v>
      </c>
      <c r="I122" t="s">
        <v>53</v>
      </c>
      <c r="J122" t="s">
        <v>40</v>
      </c>
      <c r="K122">
        <v>4613789.1239999998</v>
      </c>
      <c r="L122">
        <v>413640.91600000003</v>
      </c>
      <c r="M122">
        <v>0.51400000000000001</v>
      </c>
    </row>
    <row r="123" spans="1:13" x14ac:dyDescent="0.25">
      <c r="A123" t="s">
        <v>37</v>
      </c>
      <c r="B123">
        <v>15</v>
      </c>
      <c r="C123" t="s">
        <v>38</v>
      </c>
      <c r="D123">
        <v>2019</v>
      </c>
      <c r="E123">
        <v>69</v>
      </c>
      <c r="F123">
        <v>188</v>
      </c>
      <c r="G123" t="s">
        <v>10</v>
      </c>
      <c r="H123" t="s">
        <v>54</v>
      </c>
      <c r="I123" t="s">
        <v>53</v>
      </c>
      <c r="J123" t="s">
        <v>40</v>
      </c>
      <c r="K123">
        <v>4613779.5259999996</v>
      </c>
      <c r="L123">
        <v>413640.86700000003</v>
      </c>
      <c r="M123">
        <v>0.60499999999999998</v>
      </c>
    </row>
    <row r="124" spans="1:13" x14ac:dyDescent="0.25">
      <c r="A124" t="s">
        <v>37</v>
      </c>
      <c r="B124">
        <v>15</v>
      </c>
      <c r="C124" t="s">
        <v>38</v>
      </c>
      <c r="D124">
        <v>2019</v>
      </c>
      <c r="E124">
        <v>71</v>
      </c>
      <c r="F124">
        <v>190</v>
      </c>
      <c r="G124" t="s">
        <v>26</v>
      </c>
      <c r="H124" t="s">
        <v>52</v>
      </c>
      <c r="I124" t="s">
        <v>66</v>
      </c>
      <c r="J124" t="s">
        <v>40</v>
      </c>
      <c r="K124">
        <v>4613776.6619999995</v>
      </c>
      <c r="L124">
        <v>413639.17200000002</v>
      </c>
      <c r="M124">
        <v>0.58499999999999996</v>
      </c>
    </row>
    <row r="125" spans="1:13" x14ac:dyDescent="0.25">
      <c r="A125" t="s">
        <v>37</v>
      </c>
      <c r="B125">
        <v>15</v>
      </c>
      <c r="C125" t="s">
        <v>38</v>
      </c>
      <c r="D125">
        <v>2019</v>
      </c>
      <c r="E125">
        <v>71</v>
      </c>
      <c r="F125">
        <v>191</v>
      </c>
      <c r="G125" t="s">
        <v>26</v>
      </c>
      <c r="H125" t="s">
        <v>52</v>
      </c>
      <c r="I125" t="s">
        <v>66</v>
      </c>
      <c r="J125" t="s">
        <v>40</v>
      </c>
      <c r="K125">
        <v>4613775.6239999998</v>
      </c>
      <c r="L125">
        <v>413637.34899999999</v>
      </c>
      <c r="M125">
        <v>0.623</v>
      </c>
    </row>
    <row r="126" spans="1:13" x14ac:dyDescent="0.25">
      <c r="A126" t="s">
        <v>37</v>
      </c>
      <c r="B126">
        <v>15</v>
      </c>
      <c r="C126" t="s">
        <v>38</v>
      </c>
      <c r="D126">
        <v>2019</v>
      </c>
      <c r="E126">
        <v>72</v>
      </c>
      <c r="F126">
        <v>192</v>
      </c>
      <c r="G126" t="s">
        <v>27</v>
      </c>
      <c r="H126" t="s">
        <v>67</v>
      </c>
      <c r="I126" t="s">
        <v>68</v>
      </c>
      <c r="J126" t="s">
        <v>40</v>
      </c>
      <c r="K126">
        <v>4613774.3689999999</v>
      </c>
      <c r="L126">
        <v>413635.761</v>
      </c>
      <c r="M126">
        <v>0.61799999999999999</v>
      </c>
    </row>
    <row r="127" spans="1:13" x14ac:dyDescent="0.25">
      <c r="A127" t="s">
        <v>37</v>
      </c>
      <c r="B127">
        <v>15</v>
      </c>
      <c r="C127" t="s">
        <v>38</v>
      </c>
      <c r="D127">
        <v>2019</v>
      </c>
      <c r="E127">
        <v>72</v>
      </c>
      <c r="F127">
        <v>193</v>
      </c>
      <c r="G127" t="s">
        <v>27</v>
      </c>
      <c r="H127" t="s">
        <v>67</v>
      </c>
      <c r="I127" t="s">
        <v>68</v>
      </c>
      <c r="J127" t="s">
        <v>40</v>
      </c>
      <c r="K127">
        <v>4613773.1720000003</v>
      </c>
      <c r="L127">
        <v>413634.44099999999</v>
      </c>
      <c r="M127">
        <v>0.58299999999999996</v>
      </c>
    </row>
    <row r="128" spans="1:13" x14ac:dyDescent="0.25">
      <c r="A128" t="s">
        <v>37</v>
      </c>
      <c r="B128">
        <v>15</v>
      </c>
      <c r="C128" t="s">
        <v>38</v>
      </c>
      <c r="D128">
        <v>2019</v>
      </c>
      <c r="E128">
        <v>72</v>
      </c>
      <c r="F128">
        <v>194</v>
      </c>
      <c r="G128" t="s">
        <v>27</v>
      </c>
      <c r="H128" t="s">
        <v>67</v>
      </c>
      <c r="I128" t="s">
        <v>68</v>
      </c>
      <c r="J128" t="s">
        <v>40</v>
      </c>
      <c r="K128">
        <v>4613772.0350000001</v>
      </c>
      <c r="L128">
        <v>413632.8</v>
      </c>
      <c r="M128">
        <v>0.59299999999999997</v>
      </c>
    </row>
    <row r="129" spans="1:13" x14ac:dyDescent="0.25">
      <c r="A129" t="s">
        <v>37</v>
      </c>
      <c r="B129">
        <v>15</v>
      </c>
      <c r="C129" t="s">
        <v>38</v>
      </c>
      <c r="D129">
        <v>2019</v>
      </c>
      <c r="E129">
        <v>73</v>
      </c>
      <c r="F129">
        <v>195</v>
      </c>
      <c r="G129" t="s">
        <v>10</v>
      </c>
      <c r="H129" t="s">
        <v>54</v>
      </c>
      <c r="I129" t="s">
        <v>53</v>
      </c>
      <c r="J129" t="s">
        <v>40</v>
      </c>
      <c r="K129">
        <v>4613770.6270000003</v>
      </c>
      <c r="L129">
        <v>413631.22499999998</v>
      </c>
      <c r="M129">
        <v>0.60099999999999998</v>
      </c>
    </row>
    <row r="130" spans="1:13" x14ac:dyDescent="0.25">
      <c r="A130" t="s">
        <v>37</v>
      </c>
      <c r="B130">
        <v>15</v>
      </c>
      <c r="C130" t="s">
        <v>38</v>
      </c>
      <c r="D130">
        <v>2019</v>
      </c>
      <c r="E130">
        <v>73</v>
      </c>
      <c r="F130">
        <v>196</v>
      </c>
      <c r="G130" t="s">
        <v>10</v>
      </c>
      <c r="H130" t="s">
        <v>54</v>
      </c>
      <c r="I130" t="s">
        <v>53</v>
      </c>
      <c r="J130" t="s">
        <v>40</v>
      </c>
      <c r="K130">
        <v>4613768.7369999997</v>
      </c>
      <c r="L130">
        <v>413629.72100000002</v>
      </c>
      <c r="M130">
        <v>0.60699999999999998</v>
      </c>
    </row>
    <row r="131" spans="1:13" x14ac:dyDescent="0.25">
      <c r="A131" t="s">
        <v>37</v>
      </c>
      <c r="B131">
        <v>15</v>
      </c>
      <c r="C131" t="s">
        <v>38</v>
      </c>
      <c r="D131">
        <v>2019</v>
      </c>
      <c r="E131">
        <v>73</v>
      </c>
      <c r="F131">
        <v>197</v>
      </c>
      <c r="G131" t="s">
        <v>10</v>
      </c>
      <c r="H131" t="s">
        <v>54</v>
      </c>
      <c r="I131" t="s">
        <v>53</v>
      </c>
      <c r="J131" t="s">
        <v>40</v>
      </c>
      <c r="K131">
        <v>4613769.3569999998</v>
      </c>
      <c r="L131">
        <v>413627.625</v>
      </c>
      <c r="M131">
        <v>0.61499999999999999</v>
      </c>
    </row>
    <row r="132" spans="1:13" x14ac:dyDescent="0.25">
      <c r="A132" t="s">
        <v>37</v>
      </c>
      <c r="B132">
        <v>15</v>
      </c>
      <c r="C132" t="s">
        <v>38</v>
      </c>
      <c r="D132">
        <v>2019</v>
      </c>
      <c r="E132">
        <v>73</v>
      </c>
      <c r="F132">
        <v>198</v>
      </c>
      <c r="G132" t="s">
        <v>10</v>
      </c>
      <c r="H132" t="s">
        <v>54</v>
      </c>
      <c r="I132" t="s">
        <v>53</v>
      </c>
      <c r="J132" t="s">
        <v>40</v>
      </c>
      <c r="K132">
        <v>4613771.1909999996</v>
      </c>
      <c r="L132">
        <v>413623.57199999999</v>
      </c>
      <c r="M132">
        <v>0.622</v>
      </c>
    </row>
    <row r="133" spans="1:13" x14ac:dyDescent="0.25">
      <c r="A133" t="s">
        <v>37</v>
      </c>
      <c r="B133">
        <v>15</v>
      </c>
      <c r="C133" t="s">
        <v>38</v>
      </c>
      <c r="D133">
        <v>2019</v>
      </c>
      <c r="E133">
        <v>74</v>
      </c>
      <c r="F133">
        <v>199</v>
      </c>
      <c r="G133" t="s">
        <v>27</v>
      </c>
      <c r="H133" t="s">
        <v>67</v>
      </c>
      <c r="I133" t="s">
        <v>68</v>
      </c>
      <c r="J133" t="s">
        <v>40</v>
      </c>
      <c r="K133">
        <v>4613771.9460000005</v>
      </c>
      <c r="L133">
        <v>413621.60399999999</v>
      </c>
      <c r="M133">
        <v>0.628</v>
      </c>
    </row>
    <row r="134" spans="1:13" x14ac:dyDescent="0.25">
      <c r="A134" t="s">
        <v>37</v>
      </c>
      <c r="B134">
        <v>15</v>
      </c>
      <c r="C134" t="s">
        <v>38</v>
      </c>
      <c r="D134">
        <v>2019</v>
      </c>
      <c r="E134">
        <v>74</v>
      </c>
      <c r="F134">
        <v>200</v>
      </c>
      <c r="G134" t="s">
        <v>27</v>
      </c>
      <c r="H134" t="s">
        <v>67</v>
      </c>
      <c r="I134" t="s">
        <v>68</v>
      </c>
      <c r="J134" t="s">
        <v>40</v>
      </c>
      <c r="K134">
        <v>4613772.858</v>
      </c>
      <c r="L134">
        <v>413618.97</v>
      </c>
      <c r="M134">
        <v>0.61899999999999999</v>
      </c>
    </row>
    <row r="135" spans="1:13" x14ac:dyDescent="0.25">
      <c r="A135" t="s">
        <v>37</v>
      </c>
      <c r="B135">
        <v>15</v>
      </c>
      <c r="C135" t="s">
        <v>38</v>
      </c>
      <c r="D135">
        <v>2019</v>
      </c>
      <c r="E135">
        <v>78</v>
      </c>
      <c r="F135">
        <v>204</v>
      </c>
      <c r="G135" t="s">
        <v>12</v>
      </c>
      <c r="H135" t="s">
        <v>52</v>
      </c>
      <c r="I135" t="s">
        <v>53</v>
      </c>
      <c r="J135" t="s">
        <v>40</v>
      </c>
      <c r="K135">
        <v>4613777.7039999999</v>
      </c>
      <c r="L135">
        <v>413613.598</v>
      </c>
      <c r="M135">
        <v>0.621</v>
      </c>
    </row>
    <row r="136" spans="1:13" x14ac:dyDescent="0.25">
      <c r="A136" t="s">
        <v>37</v>
      </c>
      <c r="B136">
        <v>15</v>
      </c>
      <c r="C136" t="s">
        <v>38</v>
      </c>
      <c r="D136">
        <v>2019</v>
      </c>
      <c r="E136">
        <v>78</v>
      </c>
      <c r="F136">
        <v>205</v>
      </c>
      <c r="G136" t="s">
        <v>12</v>
      </c>
      <c r="H136" t="s">
        <v>52</v>
      </c>
      <c r="I136" t="s">
        <v>53</v>
      </c>
      <c r="J136" t="s">
        <v>40</v>
      </c>
      <c r="K136">
        <v>4613787.7779999999</v>
      </c>
      <c r="L136">
        <v>413617.228</v>
      </c>
      <c r="M136">
        <v>0.61799999999999999</v>
      </c>
    </row>
    <row r="137" spans="1:13" x14ac:dyDescent="0.25">
      <c r="A137" t="s">
        <v>37</v>
      </c>
      <c r="B137">
        <v>15</v>
      </c>
      <c r="C137" t="s">
        <v>38</v>
      </c>
      <c r="D137">
        <v>2019</v>
      </c>
      <c r="E137">
        <v>81</v>
      </c>
      <c r="F137">
        <v>208</v>
      </c>
      <c r="G137" t="s">
        <v>13</v>
      </c>
      <c r="H137" t="s">
        <v>55</v>
      </c>
      <c r="I137" t="s">
        <v>53</v>
      </c>
      <c r="J137" t="s">
        <v>40</v>
      </c>
      <c r="K137">
        <v>4613792.4309999999</v>
      </c>
      <c r="L137">
        <v>413616.364</v>
      </c>
      <c r="M137">
        <v>0.59199999999999997</v>
      </c>
    </row>
    <row r="138" spans="1:13" x14ac:dyDescent="0.25">
      <c r="A138" t="s">
        <v>37</v>
      </c>
      <c r="B138">
        <v>15</v>
      </c>
      <c r="C138" t="s">
        <v>38</v>
      </c>
      <c r="D138">
        <v>2019</v>
      </c>
      <c r="E138">
        <v>81</v>
      </c>
      <c r="F138">
        <v>209</v>
      </c>
      <c r="G138" t="s">
        <v>13</v>
      </c>
      <c r="H138" t="s">
        <v>55</v>
      </c>
      <c r="I138" t="s">
        <v>53</v>
      </c>
      <c r="J138" t="s">
        <v>40</v>
      </c>
      <c r="K138">
        <v>4613794.0630000001</v>
      </c>
      <c r="L138">
        <v>413610.55900000001</v>
      </c>
      <c r="M138">
        <v>0.61599999999999999</v>
      </c>
    </row>
    <row r="139" spans="1:13" x14ac:dyDescent="0.25">
      <c r="A139" t="s">
        <v>37</v>
      </c>
      <c r="B139">
        <v>15</v>
      </c>
      <c r="C139" t="s">
        <v>38</v>
      </c>
      <c r="D139">
        <v>2019</v>
      </c>
      <c r="E139">
        <v>82</v>
      </c>
      <c r="F139">
        <v>210</v>
      </c>
      <c r="G139" t="s">
        <v>10</v>
      </c>
      <c r="H139" t="s">
        <v>54</v>
      </c>
      <c r="I139" t="s">
        <v>53</v>
      </c>
      <c r="J139" t="s">
        <v>40</v>
      </c>
      <c r="K139">
        <v>4613794.3679999998</v>
      </c>
      <c r="L139">
        <v>413608.51699999999</v>
      </c>
      <c r="M139">
        <v>0.57399999999999995</v>
      </c>
    </row>
    <row r="140" spans="1:13" x14ac:dyDescent="0.25">
      <c r="A140" t="s">
        <v>37</v>
      </c>
      <c r="B140">
        <v>15</v>
      </c>
      <c r="C140" t="s">
        <v>38</v>
      </c>
      <c r="D140">
        <v>2019</v>
      </c>
      <c r="E140">
        <v>82</v>
      </c>
      <c r="F140">
        <v>211</v>
      </c>
      <c r="G140" t="s">
        <v>10</v>
      </c>
      <c r="H140" t="s">
        <v>54</v>
      </c>
      <c r="I140" t="s">
        <v>53</v>
      </c>
      <c r="J140" t="s">
        <v>40</v>
      </c>
      <c r="K140">
        <v>4613796.216</v>
      </c>
      <c r="L140">
        <v>413601.31800000003</v>
      </c>
      <c r="M140">
        <v>0.55100000000000005</v>
      </c>
    </row>
    <row r="141" spans="1:13" x14ac:dyDescent="0.25">
      <c r="A141" t="s">
        <v>37</v>
      </c>
      <c r="B141">
        <v>15</v>
      </c>
      <c r="C141" t="s">
        <v>38</v>
      </c>
      <c r="D141">
        <v>2019</v>
      </c>
      <c r="E141">
        <v>83</v>
      </c>
      <c r="F141">
        <v>212</v>
      </c>
      <c r="G141" t="s">
        <v>20</v>
      </c>
      <c r="H141" t="s">
        <v>62</v>
      </c>
      <c r="I141" t="s">
        <v>53</v>
      </c>
      <c r="J141" t="s">
        <v>40</v>
      </c>
      <c r="K141">
        <v>4613797.0860000001</v>
      </c>
      <c r="L141">
        <v>413599.51799999998</v>
      </c>
      <c r="M141">
        <v>0.55500000000000005</v>
      </c>
    </row>
    <row r="142" spans="1:13" x14ac:dyDescent="0.25">
      <c r="A142" t="s">
        <v>37</v>
      </c>
      <c r="B142">
        <v>15</v>
      </c>
      <c r="C142" t="s">
        <v>38</v>
      </c>
      <c r="D142">
        <v>2019</v>
      </c>
      <c r="E142">
        <v>83</v>
      </c>
      <c r="F142">
        <v>213</v>
      </c>
      <c r="G142" t="s">
        <v>20</v>
      </c>
      <c r="H142" t="s">
        <v>62</v>
      </c>
      <c r="I142" t="s">
        <v>53</v>
      </c>
      <c r="J142" t="s">
        <v>40</v>
      </c>
      <c r="K142">
        <v>4613807.03</v>
      </c>
      <c r="L142">
        <v>413604.54800000001</v>
      </c>
      <c r="M142">
        <v>0.49099999999999999</v>
      </c>
    </row>
    <row r="143" spans="1:13" x14ac:dyDescent="0.25">
      <c r="A143" t="s">
        <v>37</v>
      </c>
      <c r="B143">
        <v>15</v>
      </c>
      <c r="C143" t="s">
        <v>38</v>
      </c>
      <c r="D143">
        <v>2019</v>
      </c>
      <c r="E143">
        <v>83</v>
      </c>
      <c r="F143">
        <v>214</v>
      </c>
      <c r="G143" t="s">
        <v>20</v>
      </c>
      <c r="H143" t="s">
        <v>62</v>
      </c>
      <c r="I143" t="s">
        <v>53</v>
      </c>
      <c r="J143" t="s">
        <v>40</v>
      </c>
      <c r="K143">
        <v>4613812.1509999996</v>
      </c>
      <c r="L143">
        <v>413618.75099999999</v>
      </c>
      <c r="M143">
        <v>0.498</v>
      </c>
    </row>
    <row r="144" spans="1:13" x14ac:dyDescent="0.25">
      <c r="A144" t="s">
        <v>37</v>
      </c>
      <c r="B144">
        <v>15</v>
      </c>
      <c r="C144" t="s">
        <v>38</v>
      </c>
      <c r="D144">
        <v>2019</v>
      </c>
      <c r="E144">
        <v>83</v>
      </c>
      <c r="F144">
        <v>215</v>
      </c>
      <c r="G144" t="s">
        <v>20</v>
      </c>
      <c r="H144" t="s">
        <v>62</v>
      </c>
      <c r="I144" t="s">
        <v>53</v>
      </c>
      <c r="J144" t="s">
        <v>40</v>
      </c>
      <c r="K144">
        <v>4613807.6880000001</v>
      </c>
      <c r="L144">
        <v>413631.00900000002</v>
      </c>
      <c r="M144">
        <v>0.47499999999999998</v>
      </c>
    </row>
    <row r="145" spans="1:13" x14ac:dyDescent="0.25">
      <c r="A145" t="s">
        <v>37</v>
      </c>
      <c r="B145">
        <v>15</v>
      </c>
      <c r="C145" t="s">
        <v>38</v>
      </c>
      <c r="D145">
        <v>2019</v>
      </c>
      <c r="E145">
        <v>84</v>
      </c>
      <c r="F145">
        <v>216</v>
      </c>
      <c r="G145" t="s">
        <v>28</v>
      </c>
      <c r="H145" t="s">
        <v>60</v>
      </c>
      <c r="I145" t="s">
        <v>69</v>
      </c>
      <c r="J145" t="s">
        <v>40</v>
      </c>
      <c r="K145">
        <v>4613809.2690000003</v>
      </c>
      <c r="L145">
        <v>413632.28499999997</v>
      </c>
      <c r="M145">
        <v>0.39300000000000002</v>
      </c>
    </row>
    <row r="146" spans="1:13" x14ac:dyDescent="0.25">
      <c r="A146" t="s">
        <v>37</v>
      </c>
      <c r="B146">
        <v>15</v>
      </c>
      <c r="C146" t="s">
        <v>38</v>
      </c>
      <c r="D146">
        <v>2019</v>
      </c>
      <c r="E146">
        <v>84</v>
      </c>
      <c r="F146">
        <v>217</v>
      </c>
      <c r="G146" t="s">
        <v>28</v>
      </c>
      <c r="H146" t="s">
        <v>60</v>
      </c>
      <c r="I146" t="s">
        <v>69</v>
      </c>
      <c r="J146" t="s">
        <v>40</v>
      </c>
      <c r="K146">
        <v>4613812.3839999996</v>
      </c>
      <c r="L146">
        <v>413627.79100000003</v>
      </c>
      <c r="M146">
        <v>0.26400000000000001</v>
      </c>
    </row>
    <row r="147" spans="1:13" x14ac:dyDescent="0.25">
      <c r="A147" t="s">
        <v>37</v>
      </c>
      <c r="B147">
        <v>15</v>
      </c>
      <c r="C147" t="s">
        <v>38</v>
      </c>
      <c r="D147">
        <v>2019</v>
      </c>
      <c r="E147">
        <v>85</v>
      </c>
      <c r="F147">
        <v>218</v>
      </c>
      <c r="G147" t="s">
        <v>17</v>
      </c>
      <c r="H147" t="s">
        <v>60</v>
      </c>
      <c r="I147" t="s">
        <v>53</v>
      </c>
      <c r="J147" t="s">
        <v>40</v>
      </c>
      <c r="K147">
        <v>4613813.3480000002</v>
      </c>
      <c r="L147">
        <v>413625.58899999998</v>
      </c>
      <c r="M147">
        <v>0.33200000000000002</v>
      </c>
    </row>
    <row r="148" spans="1:13" x14ac:dyDescent="0.25">
      <c r="A148" t="s">
        <v>37</v>
      </c>
      <c r="B148">
        <v>15</v>
      </c>
      <c r="C148" t="s">
        <v>38</v>
      </c>
      <c r="D148">
        <v>2019</v>
      </c>
      <c r="E148">
        <v>85</v>
      </c>
      <c r="F148">
        <v>219</v>
      </c>
      <c r="G148" t="s">
        <v>17</v>
      </c>
      <c r="H148" t="s">
        <v>60</v>
      </c>
      <c r="I148" t="s">
        <v>53</v>
      </c>
      <c r="J148" t="s">
        <v>40</v>
      </c>
      <c r="K148">
        <v>4613814.7719999999</v>
      </c>
      <c r="L148">
        <v>413619.57199999999</v>
      </c>
      <c r="M148">
        <v>0.23</v>
      </c>
    </row>
    <row r="149" spans="1:13" x14ac:dyDescent="0.25">
      <c r="A149" t="s">
        <v>37</v>
      </c>
      <c r="B149">
        <v>15</v>
      </c>
      <c r="C149" t="s">
        <v>38</v>
      </c>
      <c r="D149">
        <v>2019</v>
      </c>
      <c r="E149">
        <v>85</v>
      </c>
      <c r="F149">
        <v>220</v>
      </c>
      <c r="G149" t="s">
        <v>17</v>
      </c>
      <c r="H149" t="s">
        <v>60</v>
      </c>
      <c r="I149" t="s">
        <v>53</v>
      </c>
      <c r="J149" t="s">
        <v>40</v>
      </c>
      <c r="K149">
        <v>4613806.7319999998</v>
      </c>
      <c r="L149">
        <v>413601.50900000002</v>
      </c>
      <c r="M149">
        <v>0.314</v>
      </c>
    </row>
    <row r="150" spans="1:13" x14ac:dyDescent="0.25">
      <c r="A150" t="s">
        <v>37</v>
      </c>
      <c r="B150">
        <v>15</v>
      </c>
      <c r="C150" t="s">
        <v>38</v>
      </c>
      <c r="D150">
        <v>2019</v>
      </c>
      <c r="E150">
        <v>85</v>
      </c>
      <c r="F150">
        <v>221</v>
      </c>
      <c r="G150" t="s">
        <v>17</v>
      </c>
      <c r="H150" t="s">
        <v>60</v>
      </c>
      <c r="I150" t="s">
        <v>53</v>
      </c>
      <c r="J150" t="s">
        <v>40</v>
      </c>
      <c r="K150">
        <v>4613794.9960000003</v>
      </c>
      <c r="L150">
        <v>413594.815</v>
      </c>
      <c r="M150">
        <v>8.3000000000000004E-2</v>
      </c>
    </row>
    <row r="151" spans="1:13" x14ac:dyDescent="0.25">
      <c r="A151" t="s">
        <v>37</v>
      </c>
      <c r="B151">
        <v>15</v>
      </c>
      <c r="C151" t="s">
        <v>38</v>
      </c>
      <c r="D151">
        <v>2019</v>
      </c>
      <c r="E151">
        <v>86</v>
      </c>
      <c r="F151">
        <v>222</v>
      </c>
      <c r="G151" t="s">
        <v>23</v>
      </c>
      <c r="H151" t="s">
        <v>63</v>
      </c>
      <c r="I151" t="s">
        <v>53</v>
      </c>
      <c r="J151" t="s">
        <v>40</v>
      </c>
      <c r="K151">
        <v>4613845.25</v>
      </c>
      <c r="L151">
        <v>413683.92700000003</v>
      </c>
      <c r="M151">
        <v>0.51200000000000001</v>
      </c>
    </row>
    <row r="152" spans="1:13" x14ac:dyDescent="0.25">
      <c r="A152" t="s">
        <v>37</v>
      </c>
      <c r="B152">
        <v>15</v>
      </c>
      <c r="C152" t="s">
        <v>38</v>
      </c>
      <c r="D152">
        <v>2019</v>
      </c>
      <c r="E152">
        <v>86</v>
      </c>
      <c r="F152">
        <v>223</v>
      </c>
      <c r="G152" t="s">
        <v>23</v>
      </c>
      <c r="H152" t="s">
        <v>63</v>
      </c>
      <c r="I152" t="s">
        <v>53</v>
      </c>
      <c r="J152" t="s">
        <v>40</v>
      </c>
      <c r="K152">
        <v>4613853.3109999998</v>
      </c>
      <c r="L152">
        <v>413683.89299999998</v>
      </c>
      <c r="M152">
        <v>0.48499999999999999</v>
      </c>
    </row>
    <row r="153" spans="1:13" x14ac:dyDescent="0.25">
      <c r="A153" t="s">
        <v>37</v>
      </c>
      <c r="B153">
        <v>15</v>
      </c>
      <c r="C153" t="s">
        <v>38</v>
      </c>
      <c r="D153">
        <v>2019</v>
      </c>
      <c r="E153">
        <v>87</v>
      </c>
      <c r="F153">
        <v>224</v>
      </c>
      <c r="G153" t="s">
        <v>12</v>
      </c>
      <c r="H153" t="s">
        <v>52</v>
      </c>
      <c r="I153" t="s">
        <v>53</v>
      </c>
      <c r="J153" t="s">
        <v>40</v>
      </c>
      <c r="K153">
        <v>4613853.6710000001</v>
      </c>
      <c r="L153">
        <v>413685.47700000001</v>
      </c>
      <c r="M153">
        <v>0.45</v>
      </c>
    </row>
    <row r="154" spans="1:13" x14ac:dyDescent="0.25">
      <c r="A154" t="s">
        <v>37</v>
      </c>
      <c r="B154">
        <v>15</v>
      </c>
      <c r="C154" t="s">
        <v>38</v>
      </c>
      <c r="D154">
        <v>2019</v>
      </c>
      <c r="E154">
        <v>87</v>
      </c>
      <c r="F154">
        <v>225</v>
      </c>
      <c r="G154" t="s">
        <v>12</v>
      </c>
      <c r="H154" t="s">
        <v>52</v>
      </c>
      <c r="I154" t="s">
        <v>53</v>
      </c>
      <c r="J154" t="s">
        <v>40</v>
      </c>
      <c r="K154">
        <v>4613856.0379999997</v>
      </c>
      <c r="L154">
        <v>413688.54800000001</v>
      </c>
      <c r="M154">
        <v>0.47799999999999998</v>
      </c>
    </row>
    <row r="155" spans="1:13" x14ac:dyDescent="0.25">
      <c r="A155" t="s">
        <v>37</v>
      </c>
      <c r="B155">
        <v>15</v>
      </c>
      <c r="C155" t="s">
        <v>38</v>
      </c>
      <c r="D155">
        <v>2019</v>
      </c>
      <c r="E155">
        <v>88</v>
      </c>
      <c r="F155">
        <v>226</v>
      </c>
      <c r="G155" t="s">
        <v>23</v>
      </c>
      <c r="H155" t="s">
        <v>63</v>
      </c>
      <c r="I155" t="s">
        <v>53</v>
      </c>
      <c r="J155" t="s">
        <v>40</v>
      </c>
      <c r="K155">
        <v>4613856.0839999998</v>
      </c>
      <c r="L155">
        <v>413690.64199999999</v>
      </c>
      <c r="M155">
        <v>0.58799999999999997</v>
      </c>
    </row>
    <row r="156" spans="1:13" x14ac:dyDescent="0.25">
      <c r="A156" t="s">
        <v>37</v>
      </c>
      <c r="B156">
        <v>15</v>
      </c>
      <c r="C156" t="s">
        <v>38</v>
      </c>
      <c r="D156">
        <v>2019</v>
      </c>
      <c r="E156">
        <v>88</v>
      </c>
      <c r="F156">
        <v>227</v>
      </c>
      <c r="G156" t="s">
        <v>23</v>
      </c>
      <c r="H156" t="s">
        <v>63</v>
      </c>
      <c r="I156" t="s">
        <v>53</v>
      </c>
      <c r="J156" t="s">
        <v>40</v>
      </c>
      <c r="K156">
        <v>4613863.3530000001</v>
      </c>
      <c r="L156">
        <v>413694.48800000001</v>
      </c>
      <c r="M156">
        <v>0.59899999999999998</v>
      </c>
    </row>
    <row r="157" spans="1:13" x14ac:dyDescent="0.25">
      <c r="A157" t="s">
        <v>37</v>
      </c>
      <c r="B157">
        <v>15</v>
      </c>
      <c r="C157" t="s">
        <v>38</v>
      </c>
      <c r="D157">
        <v>2019</v>
      </c>
      <c r="E157">
        <v>90</v>
      </c>
      <c r="F157">
        <v>229</v>
      </c>
      <c r="G157" t="s">
        <v>23</v>
      </c>
      <c r="H157" t="s">
        <v>63</v>
      </c>
      <c r="I157" t="s">
        <v>53</v>
      </c>
      <c r="J157" t="s">
        <v>40</v>
      </c>
      <c r="K157">
        <v>4613867.0489999996</v>
      </c>
      <c r="L157">
        <v>413697.109</v>
      </c>
      <c r="M157">
        <v>0.61</v>
      </c>
    </row>
    <row r="158" spans="1:13" x14ac:dyDescent="0.25">
      <c r="A158" t="s">
        <v>37</v>
      </c>
      <c r="B158">
        <v>15</v>
      </c>
      <c r="C158" t="s">
        <v>38</v>
      </c>
      <c r="D158">
        <v>2019</v>
      </c>
      <c r="E158">
        <v>90</v>
      </c>
      <c r="F158">
        <v>230</v>
      </c>
      <c r="G158" t="s">
        <v>23</v>
      </c>
      <c r="H158" t="s">
        <v>63</v>
      </c>
      <c r="I158" t="s">
        <v>53</v>
      </c>
      <c r="J158" t="s">
        <v>40</v>
      </c>
      <c r="K158">
        <v>4613878.9939999999</v>
      </c>
      <c r="L158">
        <v>413700.701</v>
      </c>
      <c r="M158">
        <v>0.50600000000000001</v>
      </c>
    </row>
    <row r="159" spans="1:13" x14ac:dyDescent="0.25">
      <c r="A159" t="s">
        <v>37</v>
      </c>
      <c r="B159">
        <v>15</v>
      </c>
      <c r="C159" t="s">
        <v>38</v>
      </c>
      <c r="D159">
        <v>2019</v>
      </c>
      <c r="E159">
        <v>92</v>
      </c>
      <c r="F159">
        <v>239</v>
      </c>
      <c r="G159" t="s">
        <v>24</v>
      </c>
      <c r="H159" t="s">
        <v>70</v>
      </c>
      <c r="I159" t="s">
        <v>53</v>
      </c>
      <c r="J159" t="s">
        <v>40</v>
      </c>
      <c r="K159">
        <v>4613951.7920000004</v>
      </c>
      <c r="L159">
        <v>413721.77299999999</v>
      </c>
      <c r="M159">
        <v>0.68300000000000005</v>
      </c>
    </row>
    <row r="160" spans="1:13" x14ac:dyDescent="0.25">
      <c r="A160" t="s">
        <v>37</v>
      </c>
      <c r="B160">
        <v>15</v>
      </c>
      <c r="C160" t="s">
        <v>38</v>
      </c>
      <c r="D160">
        <v>2019</v>
      </c>
      <c r="E160">
        <v>92</v>
      </c>
      <c r="F160">
        <v>240</v>
      </c>
      <c r="G160" t="s">
        <v>24</v>
      </c>
      <c r="H160" t="s">
        <v>70</v>
      </c>
      <c r="I160" t="s">
        <v>53</v>
      </c>
      <c r="J160" t="s">
        <v>40</v>
      </c>
      <c r="K160">
        <v>4613957.4009999996</v>
      </c>
      <c r="L160">
        <v>413726.413</v>
      </c>
      <c r="M160">
        <v>0.67400000000000004</v>
      </c>
    </row>
    <row r="161" spans="1:13" x14ac:dyDescent="0.25">
      <c r="A161" t="s">
        <v>37</v>
      </c>
      <c r="B161">
        <v>15</v>
      </c>
      <c r="C161" t="s">
        <v>38</v>
      </c>
      <c r="D161">
        <v>2019</v>
      </c>
      <c r="E161">
        <v>93</v>
      </c>
      <c r="F161">
        <v>241</v>
      </c>
      <c r="G161" t="s">
        <v>23</v>
      </c>
      <c r="H161" t="s">
        <v>63</v>
      </c>
      <c r="I161" t="s">
        <v>53</v>
      </c>
      <c r="J161" t="s">
        <v>40</v>
      </c>
      <c r="K161">
        <v>4613992.3049999997</v>
      </c>
      <c r="L161">
        <v>413693.53399999999</v>
      </c>
      <c r="M161">
        <v>0.40899999999999997</v>
      </c>
    </row>
    <row r="162" spans="1:13" x14ac:dyDescent="0.25">
      <c r="A162" t="s">
        <v>37</v>
      </c>
      <c r="B162">
        <v>15</v>
      </c>
      <c r="C162" t="s">
        <v>38</v>
      </c>
      <c r="D162">
        <v>2019</v>
      </c>
      <c r="E162">
        <v>93</v>
      </c>
      <c r="F162">
        <v>242</v>
      </c>
      <c r="G162" t="s">
        <v>23</v>
      </c>
      <c r="H162" t="s">
        <v>63</v>
      </c>
      <c r="I162" t="s">
        <v>53</v>
      </c>
      <c r="J162" t="s">
        <v>40</v>
      </c>
      <c r="K162">
        <v>4613993.3660000004</v>
      </c>
      <c r="L162">
        <v>413696.533</v>
      </c>
      <c r="M162">
        <v>0.33700000000000002</v>
      </c>
    </row>
    <row r="163" spans="1:13" x14ac:dyDescent="0.25">
      <c r="A163" t="s">
        <v>37</v>
      </c>
      <c r="B163">
        <v>15</v>
      </c>
      <c r="C163" t="s">
        <v>38</v>
      </c>
      <c r="D163">
        <v>2019</v>
      </c>
      <c r="E163">
        <v>93</v>
      </c>
      <c r="F163">
        <v>243</v>
      </c>
      <c r="G163" t="s">
        <v>23</v>
      </c>
      <c r="H163" t="s">
        <v>63</v>
      </c>
      <c r="I163" t="s">
        <v>53</v>
      </c>
      <c r="J163" t="s">
        <v>40</v>
      </c>
      <c r="K163">
        <v>4613994.8969999999</v>
      </c>
      <c r="L163">
        <v>413697.84100000001</v>
      </c>
      <c r="M163">
        <v>0.48099999999999998</v>
      </c>
    </row>
    <row r="164" spans="1:13" x14ac:dyDescent="0.25">
      <c r="A164" t="s">
        <v>37</v>
      </c>
      <c r="B164">
        <v>15</v>
      </c>
      <c r="C164" t="s">
        <v>38</v>
      </c>
      <c r="D164">
        <v>2019</v>
      </c>
      <c r="E164">
        <v>93</v>
      </c>
      <c r="F164">
        <v>244</v>
      </c>
      <c r="G164" t="s">
        <v>23</v>
      </c>
      <c r="H164" t="s">
        <v>63</v>
      </c>
      <c r="I164" t="s">
        <v>53</v>
      </c>
      <c r="J164" t="s">
        <v>40</v>
      </c>
      <c r="K164">
        <v>4613998.7750000004</v>
      </c>
      <c r="L164">
        <v>413700.272</v>
      </c>
      <c r="M164">
        <v>0.33500000000000002</v>
      </c>
    </row>
    <row r="165" spans="1:13" x14ac:dyDescent="0.25">
      <c r="A165" t="s">
        <v>37</v>
      </c>
      <c r="B165">
        <v>15</v>
      </c>
      <c r="C165" t="s">
        <v>38</v>
      </c>
      <c r="D165">
        <v>2019</v>
      </c>
      <c r="E165">
        <v>93</v>
      </c>
      <c r="F165">
        <v>245</v>
      </c>
      <c r="G165" t="s">
        <v>23</v>
      </c>
      <c r="H165" t="s">
        <v>63</v>
      </c>
      <c r="I165" t="s">
        <v>53</v>
      </c>
      <c r="J165" t="s">
        <v>40</v>
      </c>
      <c r="K165">
        <v>4613998.6229999997</v>
      </c>
      <c r="L165">
        <v>413701.647</v>
      </c>
      <c r="M165">
        <v>0.33300000000000002</v>
      </c>
    </row>
    <row r="166" spans="1:13" x14ac:dyDescent="0.25">
      <c r="A166" t="s">
        <v>37</v>
      </c>
      <c r="B166">
        <v>15</v>
      </c>
      <c r="C166" t="s">
        <v>38</v>
      </c>
      <c r="D166">
        <v>2019</v>
      </c>
      <c r="E166">
        <v>93</v>
      </c>
      <c r="F166">
        <v>246</v>
      </c>
      <c r="G166" t="s">
        <v>23</v>
      </c>
      <c r="H166" t="s">
        <v>63</v>
      </c>
      <c r="I166" t="s">
        <v>53</v>
      </c>
      <c r="J166" t="s">
        <v>40</v>
      </c>
      <c r="K166">
        <v>4613994.78</v>
      </c>
      <c r="L166">
        <v>413708.06199999998</v>
      </c>
      <c r="M166">
        <v>0.57499999999999996</v>
      </c>
    </row>
    <row r="167" spans="1:13" x14ac:dyDescent="0.25">
      <c r="A167" t="s">
        <v>37</v>
      </c>
      <c r="B167">
        <v>15</v>
      </c>
      <c r="C167" t="s">
        <v>38</v>
      </c>
      <c r="D167">
        <v>2019</v>
      </c>
      <c r="E167">
        <v>93</v>
      </c>
      <c r="F167">
        <v>247</v>
      </c>
      <c r="G167" t="s">
        <v>23</v>
      </c>
      <c r="H167" t="s">
        <v>63</v>
      </c>
      <c r="I167" t="s">
        <v>53</v>
      </c>
      <c r="J167" t="s">
        <v>40</v>
      </c>
      <c r="K167">
        <v>4613987.5410000002</v>
      </c>
      <c r="L167">
        <v>413707.50099999999</v>
      </c>
      <c r="M167">
        <v>0.55200000000000005</v>
      </c>
    </row>
    <row r="168" spans="1:13" x14ac:dyDescent="0.25">
      <c r="A168" t="s">
        <v>37</v>
      </c>
      <c r="B168">
        <v>15</v>
      </c>
      <c r="C168" t="s">
        <v>38</v>
      </c>
      <c r="D168">
        <v>2019</v>
      </c>
      <c r="E168">
        <v>93</v>
      </c>
      <c r="F168">
        <v>248</v>
      </c>
      <c r="G168" t="s">
        <v>23</v>
      </c>
      <c r="H168" t="s">
        <v>63</v>
      </c>
      <c r="I168" t="s">
        <v>53</v>
      </c>
      <c r="J168" t="s">
        <v>40</v>
      </c>
      <c r="K168">
        <v>4613986.6349999998</v>
      </c>
      <c r="L168">
        <v>413702.14</v>
      </c>
      <c r="M168">
        <v>0.47799999999999998</v>
      </c>
    </row>
    <row r="169" spans="1:13" x14ac:dyDescent="0.25">
      <c r="A169" t="s">
        <v>37</v>
      </c>
      <c r="B169">
        <v>15</v>
      </c>
      <c r="C169" t="s">
        <v>38</v>
      </c>
      <c r="D169">
        <v>2019</v>
      </c>
      <c r="E169">
        <v>93</v>
      </c>
      <c r="F169">
        <v>249</v>
      </c>
      <c r="G169" t="s">
        <v>23</v>
      </c>
      <c r="H169" t="s">
        <v>63</v>
      </c>
      <c r="I169" t="s">
        <v>53</v>
      </c>
      <c r="J169" t="s">
        <v>40</v>
      </c>
      <c r="K169">
        <v>4613983.6950000003</v>
      </c>
      <c r="L169">
        <v>413697.37099999998</v>
      </c>
      <c r="M169">
        <v>0.55900000000000005</v>
      </c>
    </row>
    <row r="170" spans="1:13" x14ac:dyDescent="0.25">
      <c r="A170" t="s">
        <v>37</v>
      </c>
      <c r="B170">
        <v>15</v>
      </c>
      <c r="C170" t="s">
        <v>38</v>
      </c>
      <c r="D170">
        <v>2019</v>
      </c>
      <c r="E170">
        <v>93</v>
      </c>
      <c r="F170">
        <v>250</v>
      </c>
      <c r="G170" t="s">
        <v>23</v>
      </c>
      <c r="H170" t="s">
        <v>63</v>
      </c>
      <c r="I170" t="s">
        <v>53</v>
      </c>
      <c r="J170" t="s">
        <v>40</v>
      </c>
      <c r="K170">
        <v>4613981.3159999996</v>
      </c>
      <c r="L170">
        <v>413698.25099999999</v>
      </c>
      <c r="M170">
        <v>0.62</v>
      </c>
    </row>
    <row r="171" spans="1:13" x14ac:dyDescent="0.25">
      <c r="A171" t="s">
        <v>37</v>
      </c>
      <c r="B171">
        <v>15</v>
      </c>
      <c r="C171" t="s">
        <v>38</v>
      </c>
      <c r="D171">
        <v>2019</v>
      </c>
      <c r="E171">
        <v>93</v>
      </c>
      <c r="F171">
        <v>251</v>
      </c>
      <c r="G171" t="s">
        <v>23</v>
      </c>
      <c r="H171" t="s">
        <v>63</v>
      </c>
      <c r="I171" t="s">
        <v>53</v>
      </c>
      <c r="J171" t="s">
        <v>40</v>
      </c>
      <c r="K171">
        <v>4613980.2960000001</v>
      </c>
      <c r="L171">
        <v>413706.17700000003</v>
      </c>
      <c r="M171">
        <v>0.53300000000000003</v>
      </c>
    </row>
    <row r="172" spans="1:13" x14ac:dyDescent="0.25">
      <c r="A172" t="s">
        <v>37</v>
      </c>
      <c r="B172">
        <v>15</v>
      </c>
      <c r="C172" t="s">
        <v>38</v>
      </c>
      <c r="D172">
        <v>2019</v>
      </c>
      <c r="E172">
        <v>93</v>
      </c>
      <c r="F172">
        <v>252</v>
      </c>
      <c r="G172" t="s">
        <v>23</v>
      </c>
      <c r="H172" t="s">
        <v>63</v>
      </c>
      <c r="I172" t="s">
        <v>53</v>
      </c>
      <c r="J172" t="s">
        <v>40</v>
      </c>
      <c r="K172">
        <v>4613976.5460000001</v>
      </c>
      <c r="L172">
        <v>413704.58500000002</v>
      </c>
      <c r="M172">
        <v>0.54700000000000004</v>
      </c>
    </row>
    <row r="173" spans="1:13" x14ac:dyDescent="0.25">
      <c r="A173" t="s">
        <v>37</v>
      </c>
      <c r="B173">
        <v>15</v>
      </c>
      <c r="C173" t="s">
        <v>38</v>
      </c>
      <c r="D173">
        <v>2019</v>
      </c>
      <c r="E173">
        <v>93</v>
      </c>
      <c r="F173">
        <v>253</v>
      </c>
      <c r="G173" t="s">
        <v>23</v>
      </c>
      <c r="H173" t="s">
        <v>63</v>
      </c>
      <c r="I173" t="s">
        <v>53</v>
      </c>
      <c r="J173" t="s">
        <v>40</v>
      </c>
      <c r="K173">
        <v>4613969.4440000001</v>
      </c>
      <c r="L173">
        <v>413703.223</v>
      </c>
      <c r="M173">
        <v>0.61899999999999999</v>
      </c>
    </row>
    <row r="174" spans="1:13" x14ac:dyDescent="0.25">
      <c r="A174" t="s">
        <v>37</v>
      </c>
      <c r="B174">
        <v>15</v>
      </c>
      <c r="C174" t="s">
        <v>38</v>
      </c>
      <c r="D174">
        <v>2019</v>
      </c>
      <c r="E174">
        <v>93</v>
      </c>
      <c r="F174">
        <v>254</v>
      </c>
      <c r="G174" t="s">
        <v>23</v>
      </c>
      <c r="H174" t="s">
        <v>63</v>
      </c>
      <c r="I174" t="s">
        <v>53</v>
      </c>
      <c r="J174" t="s">
        <v>40</v>
      </c>
      <c r="K174">
        <v>4613964.1529999999</v>
      </c>
      <c r="L174">
        <v>413708.75900000002</v>
      </c>
      <c r="M174">
        <v>0.59499999999999997</v>
      </c>
    </row>
    <row r="175" spans="1:13" x14ac:dyDescent="0.25">
      <c r="A175" t="s">
        <v>37</v>
      </c>
      <c r="B175">
        <v>15</v>
      </c>
      <c r="C175" t="s">
        <v>38</v>
      </c>
      <c r="D175">
        <v>2019</v>
      </c>
      <c r="E175">
        <v>93</v>
      </c>
      <c r="F175">
        <v>255</v>
      </c>
      <c r="G175" t="s">
        <v>23</v>
      </c>
      <c r="H175" t="s">
        <v>63</v>
      </c>
      <c r="I175" t="s">
        <v>53</v>
      </c>
      <c r="J175" t="s">
        <v>40</v>
      </c>
      <c r="K175">
        <v>4613968.5240000002</v>
      </c>
      <c r="L175">
        <v>413714.56400000001</v>
      </c>
      <c r="M175">
        <v>0.64</v>
      </c>
    </row>
    <row r="176" spans="1:13" x14ac:dyDescent="0.25">
      <c r="A176" t="s">
        <v>37</v>
      </c>
      <c r="B176">
        <v>15</v>
      </c>
      <c r="C176" t="s">
        <v>38</v>
      </c>
      <c r="D176">
        <v>2019</v>
      </c>
      <c r="E176">
        <v>93</v>
      </c>
      <c r="F176">
        <v>256</v>
      </c>
      <c r="G176" t="s">
        <v>23</v>
      </c>
      <c r="H176" t="s">
        <v>63</v>
      </c>
      <c r="I176" t="s">
        <v>53</v>
      </c>
      <c r="J176" t="s">
        <v>40</v>
      </c>
      <c r="K176">
        <v>4613965.4709999999</v>
      </c>
      <c r="L176">
        <v>413717.41499999998</v>
      </c>
      <c r="M176">
        <v>0.63500000000000001</v>
      </c>
    </row>
    <row r="177" spans="1:13" x14ac:dyDescent="0.25">
      <c r="A177" t="s">
        <v>37</v>
      </c>
      <c r="B177">
        <v>15</v>
      </c>
      <c r="C177" t="s">
        <v>38</v>
      </c>
      <c r="D177">
        <v>2019</v>
      </c>
      <c r="E177">
        <v>93</v>
      </c>
      <c r="F177">
        <v>257</v>
      </c>
      <c r="G177" t="s">
        <v>23</v>
      </c>
      <c r="H177" t="s">
        <v>63</v>
      </c>
      <c r="I177" t="s">
        <v>53</v>
      </c>
      <c r="J177" t="s">
        <v>40</v>
      </c>
      <c r="K177">
        <v>4613963.2209999999</v>
      </c>
      <c r="L177">
        <v>413711.00199999998</v>
      </c>
      <c r="M177">
        <v>0.64</v>
      </c>
    </row>
    <row r="178" spans="1:13" x14ac:dyDescent="0.25">
      <c r="A178" t="s">
        <v>37</v>
      </c>
      <c r="B178">
        <v>15</v>
      </c>
      <c r="C178" t="s">
        <v>38</v>
      </c>
      <c r="D178">
        <v>2019</v>
      </c>
      <c r="E178">
        <v>93</v>
      </c>
      <c r="F178">
        <v>258</v>
      </c>
      <c r="G178" t="s">
        <v>23</v>
      </c>
      <c r="H178" t="s">
        <v>63</v>
      </c>
      <c r="I178" t="s">
        <v>53</v>
      </c>
      <c r="J178" t="s">
        <v>40</v>
      </c>
      <c r="K178">
        <v>4613960.4529999997</v>
      </c>
      <c r="L178">
        <v>413710.62800000003</v>
      </c>
      <c r="M178">
        <v>0.58699999999999997</v>
      </c>
    </row>
    <row r="179" spans="1:13" x14ac:dyDescent="0.25">
      <c r="A179" t="s">
        <v>37</v>
      </c>
      <c r="B179">
        <v>15</v>
      </c>
      <c r="C179" t="s">
        <v>38</v>
      </c>
      <c r="D179">
        <v>2019</v>
      </c>
      <c r="E179">
        <v>93</v>
      </c>
      <c r="F179">
        <v>259</v>
      </c>
      <c r="G179" t="s">
        <v>23</v>
      </c>
      <c r="H179" t="s">
        <v>63</v>
      </c>
      <c r="I179" t="s">
        <v>53</v>
      </c>
      <c r="J179" t="s">
        <v>40</v>
      </c>
      <c r="K179">
        <v>4613957.49</v>
      </c>
      <c r="L179">
        <v>413713.26699999999</v>
      </c>
      <c r="M179">
        <v>0.60799999999999998</v>
      </c>
    </row>
    <row r="180" spans="1:13" x14ac:dyDescent="0.25">
      <c r="A180" t="s">
        <v>37</v>
      </c>
      <c r="B180">
        <v>15</v>
      </c>
      <c r="C180" t="s">
        <v>38</v>
      </c>
      <c r="D180">
        <v>2019</v>
      </c>
      <c r="E180">
        <v>93</v>
      </c>
      <c r="F180">
        <v>260</v>
      </c>
      <c r="G180" t="s">
        <v>23</v>
      </c>
      <c r="H180" t="s">
        <v>63</v>
      </c>
      <c r="I180" t="s">
        <v>53</v>
      </c>
      <c r="J180" t="s">
        <v>40</v>
      </c>
      <c r="K180">
        <v>4613947.9390000002</v>
      </c>
      <c r="L180">
        <v>413713.16200000001</v>
      </c>
      <c r="M180">
        <v>0.66300000000000003</v>
      </c>
    </row>
    <row r="181" spans="1:13" x14ac:dyDescent="0.25">
      <c r="A181" t="s">
        <v>37</v>
      </c>
      <c r="B181">
        <v>15</v>
      </c>
      <c r="C181" t="s">
        <v>38</v>
      </c>
      <c r="D181">
        <v>2019</v>
      </c>
      <c r="E181">
        <v>93</v>
      </c>
      <c r="F181">
        <v>261</v>
      </c>
      <c r="G181" t="s">
        <v>23</v>
      </c>
      <c r="H181" t="s">
        <v>63</v>
      </c>
      <c r="I181" t="s">
        <v>53</v>
      </c>
      <c r="J181" t="s">
        <v>40</v>
      </c>
      <c r="K181">
        <v>4613941.5810000002</v>
      </c>
      <c r="L181">
        <v>413694.598</v>
      </c>
      <c r="M181">
        <v>0.57499999999999996</v>
      </c>
    </row>
    <row r="182" spans="1:13" x14ac:dyDescent="0.25">
      <c r="A182" t="s">
        <v>37</v>
      </c>
      <c r="B182">
        <v>15</v>
      </c>
      <c r="C182" t="s">
        <v>38</v>
      </c>
      <c r="D182">
        <v>2019</v>
      </c>
      <c r="E182">
        <v>93</v>
      </c>
      <c r="F182">
        <v>262</v>
      </c>
      <c r="G182" t="s">
        <v>23</v>
      </c>
      <c r="H182" t="s">
        <v>63</v>
      </c>
      <c r="I182" t="s">
        <v>53</v>
      </c>
      <c r="J182" t="s">
        <v>40</v>
      </c>
      <c r="K182">
        <v>4613936.2690000003</v>
      </c>
      <c r="L182">
        <v>413693.364</v>
      </c>
      <c r="M182">
        <v>0.502</v>
      </c>
    </row>
    <row r="183" spans="1:13" x14ac:dyDescent="0.25">
      <c r="A183" t="s">
        <v>37</v>
      </c>
      <c r="B183">
        <v>15</v>
      </c>
      <c r="C183" t="s">
        <v>38</v>
      </c>
      <c r="D183">
        <v>2019</v>
      </c>
      <c r="E183">
        <v>93</v>
      </c>
      <c r="F183">
        <v>263</v>
      </c>
      <c r="G183" t="s">
        <v>23</v>
      </c>
      <c r="H183" t="s">
        <v>63</v>
      </c>
      <c r="I183" t="s">
        <v>53</v>
      </c>
      <c r="J183" t="s">
        <v>40</v>
      </c>
      <c r="K183">
        <v>4613932.2960000001</v>
      </c>
      <c r="L183">
        <v>413690.38</v>
      </c>
      <c r="M183">
        <v>0.51600000000000001</v>
      </c>
    </row>
    <row r="184" spans="1:13" x14ac:dyDescent="0.25">
      <c r="A184" t="s">
        <v>37</v>
      </c>
      <c r="B184">
        <v>15</v>
      </c>
      <c r="C184" t="s">
        <v>38</v>
      </c>
      <c r="D184">
        <v>2019</v>
      </c>
      <c r="E184">
        <v>93</v>
      </c>
      <c r="F184">
        <v>264</v>
      </c>
      <c r="G184" t="s">
        <v>23</v>
      </c>
      <c r="H184" t="s">
        <v>63</v>
      </c>
      <c r="I184" t="s">
        <v>53</v>
      </c>
      <c r="J184" t="s">
        <v>40</v>
      </c>
      <c r="K184">
        <v>4613928.6440000003</v>
      </c>
      <c r="L184">
        <v>413697.28499999997</v>
      </c>
      <c r="M184">
        <v>0.65200000000000002</v>
      </c>
    </row>
    <row r="185" spans="1:13" x14ac:dyDescent="0.25">
      <c r="A185" t="s">
        <v>37</v>
      </c>
      <c r="B185">
        <v>15</v>
      </c>
      <c r="C185" t="s">
        <v>38</v>
      </c>
      <c r="D185">
        <v>2019</v>
      </c>
      <c r="E185">
        <v>94</v>
      </c>
      <c r="F185">
        <v>265</v>
      </c>
      <c r="G185" t="s">
        <v>12</v>
      </c>
      <c r="H185" t="s">
        <v>52</v>
      </c>
      <c r="I185" t="s">
        <v>53</v>
      </c>
      <c r="J185" t="s">
        <v>40</v>
      </c>
      <c r="K185">
        <v>4613939.8969999999</v>
      </c>
      <c r="L185">
        <v>413686.58299999998</v>
      </c>
      <c r="M185">
        <v>0.38800000000000001</v>
      </c>
    </row>
    <row r="186" spans="1:13" x14ac:dyDescent="0.25">
      <c r="A186" t="s">
        <v>37</v>
      </c>
      <c r="B186">
        <v>15</v>
      </c>
      <c r="C186" t="s">
        <v>38</v>
      </c>
      <c r="D186">
        <v>2019</v>
      </c>
      <c r="E186">
        <v>94</v>
      </c>
      <c r="F186">
        <v>266</v>
      </c>
      <c r="G186" t="s">
        <v>12</v>
      </c>
      <c r="H186" t="s">
        <v>52</v>
      </c>
      <c r="I186" t="s">
        <v>53</v>
      </c>
      <c r="J186" t="s">
        <v>40</v>
      </c>
      <c r="K186">
        <v>4613953.6900000004</v>
      </c>
      <c r="L186">
        <v>413688.18900000001</v>
      </c>
      <c r="M186">
        <v>0.27700000000000002</v>
      </c>
    </row>
    <row r="187" spans="1:13" x14ac:dyDescent="0.25">
      <c r="A187" t="s">
        <v>37</v>
      </c>
      <c r="B187">
        <v>15</v>
      </c>
      <c r="C187" t="s">
        <v>38</v>
      </c>
      <c r="D187">
        <v>2019</v>
      </c>
      <c r="E187">
        <v>95</v>
      </c>
      <c r="F187">
        <v>267</v>
      </c>
      <c r="G187" t="s">
        <v>10</v>
      </c>
      <c r="H187" t="s">
        <v>54</v>
      </c>
      <c r="I187" t="s">
        <v>53</v>
      </c>
      <c r="J187" t="s">
        <v>40</v>
      </c>
      <c r="K187">
        <v>4613955.7699999996</v>
      </c>
      <c r="L187">
        <v>413688.94699999999</v>
      </c>
      <c r="M187">
        <v>0.34899999999999998</v>
      </c>
    </row>
    <row r="188" spans="1:13" x14ac:dyDescent="0.25">
      <c r="A188" t="s">
        <v>37</v>
      </c>
      <c r="B188">
        <v>15</v>
      </c>
      <c r="C188" t="s">
        <v>38</v>
      </c>
      <c r="D188">
        <v>2019</v>
      </c>
      <c r="E188">
        <v>95</v>
      </c>
      <c r="F188">
        <v>268</v>
      </c>
      <c r="G188" t="s">
        <v>10</v>
      </c>
      <c r="H188" t="s">
        <v>54</v>
      </c>
      <c r="I188" t="s">
        <v>53</v>
      </c>
      <c r="J188" t="s">
        <v>40</v>
      </c>
      <c r="K188">
        <v>4613959.5319999997</v>
      </c>
      <c r="L188">
        <v>413689.86700000003</v>
      </c>
      <c r="M188">
        <v>0.39600000000000002</v>
      </c>
    </row>
    <row r="189" spans="1:13" x14ac:dyDescent="0.25">
      <c r="A189" t="s">
        <v>37</v>
      </c>
      <c r="B189">
        <v>15</v>
      </c>
      <c r="C189" t="s">
        <v>38</v>
      </c>
      <c r="D189">
        <v>2019</v>
      </c>
      <c r="E189">
        <v>96</v>
      </c>
      <c r="F189">
        <v>269</v>
      </c>
      <c r="G189" t="s">
        <v>16</v>
      </c>
      <c r="H189" t="s">
        <v>59</v>
      </c>
      <c r="I189" t="s">
        <v>53</v>
      </c>
      <c r="J189" t="s">
        <v>40</v>
      </c>
      <c r="K189">
        <v>4613961.443</v>
      </c>
      <c r="L189">
        <v>413690.261</v>
      </c>
      <c r="M189">
        <v>0.44</v>
      </c>
    </row>
    <row r="190" spans="1:13" x14ac:dyDescent="0.25">
      <c r="A190" t="s">
        <v>37</v>
      </c>
      <c r="B190">
        <v>15</v>
      </c>
      <c r="C190" t="s">
        <v>38</v>
      </c>
      <c r="D190">
        <v>2019</v>
      </c>
      <c r="E190">
        <v>96</v>
      </c>
      <c r="F190">
        <v>270</v>
      </c>
      <c r="G190" t="s">
        <v>16</v>
      </c>
      <c r="H190" t="s">
        <v>59</v>
      </c>
      <c r="I190" t="s">
        <v>53</v>
      </c>
      <c r="J190" t="s">
        <v>40</v>
      </c>
      <c r="K190">
        <v>4613976.2489999998</v>
      </c>
      <c r="L190">
        <v>413693.70799999998</v>
      </c>
      <c r="M190">
        <v>0.49299999999999999</v>
      </c>
    </row>
    <row r="191" spans="1:13" x14ac:dyDescent="0.25">
      <c r="A191" t="s">
        <v>37</v>
      </c>
      <c r="B191">
        <v>15</v>
      </c>
      <c r="C191" t="s">
        <v>38</v>
      </c>
      <c r="D191">
        <v>2019</v>
      </c>
      <c r="E191">
        <v>97</v>
      </c>
      <c r="F191">
        <v>271</v>
      </c>
      <c r="G191" t="s">
        <v>8</v>
      </c>
      <c r="H191" t="s">
        <v>50</v>
      </c>
      <c r="I191" t="s">
        <v>53</v>
      </c>
      <c r="J191" t="s">
        <v>40</v>
      </c>
      <c r="K191">
        <v>4613978.1770000001</v>
      </c>
      <c r="L191">
        <v>413694.06</v>
      </c>
      <c r="M191">
        <v>0.56999999999999995</v>
      </c>
    </row>
    <row r="192" spans="1:13" x14ac:dyDescent="0.25">
      <c r="A192" t="s">
        <v>37</v>
      </c>
      <c r="B192">
        <v>15</v>
      </c>
      <c r="C192" t="s">
        <v>38</v>
      </c>
      <c r="D192">
        <v>2019</v>
      </c>
      <c r="E192">
        <v>97</v>
      </c>
      <c r="F192">
        <v>272</v>
      </c>
      <c r="G192" t="s">
        <v>8</v>
      </c>
      <c r="H192" t="s">
        <v>50</v>
      </c>
      <c r="I192" t="s">
        <v>53</v>
      </c>
      <c r="J192" t="s">
        <v>40</v>
      </c>
      <c r="K192">
        <v>4613986.2889999999</v>
      </c>
      <c r="L192">
        <v>413696.375</v>
      </c>
      <c r="M192">
        <v>0.48799999999999999</v>
      </c>
    </row>
    <row r="193" spans="1:13" x14ac:dyDescent="0.25">
      <c r="A193" t="s">
        <v>37</v>
      </c>
      <c r="B193">
        <v>15</v>
      </c>
      <c r="C193" t="s">
        <v>38</v>
      </c>
      <c r="D193">
        <v>2019</v>
      </c>
      <c r="E193">
        <v>99</v>
      </c>
      <c r="F193">
        <v>274</v>
      </c>
      <c r="G193" t="s">
        <v>16</v>
      </c>
      <c r="H193" t="s">
        <v>59</v>
      </c>
      <c r="I193" t="s">
        <v>53</v>
      </c>
      <c r="J193" t="s">
        <v>40</v>
      </c>
      <c r="K193">
        <v>4613917.7829999998</v>
      </c>
      <c r="L193">
        <v>413672.22600000002</v>
      </c>
      <c r="M193">
        <v>0.216</v>
      </c>
    </row>
    <row r="194" spans="1:13" x14ac:dyDescent="0.25">
      <c r="A194" t="s">
        <v>37</v>
      </c>
      <c r="B194">
        <v>15</v>
      </c>
      <c r="C194" t="s">
        <v>38</v>
      </c>
      <c r="D194">
        <v>2019</v>
      </c>
      <c r="E194">
        <v>99</v>
      </c>
      <c r="F194">
        <v>275</v>
      </c>
      <c r="G194" t="s">
        <v>16</v>
      </c>
      <c r="H194" t="s">
        <v>59</v>
      </c>
      <c r="I194" t="s">
        <v>53</v>
      </c>
      <c r="J194" t="s">
        <v>40</v>
      </c>
      <c r="K194">
        <v>4613907.25</v>
      </c>
      <c r="L194">
        <v>413667.505</v>
      </c>
      <c r="M194">
        <v>0.28100000000000003</v>
      </c>
    </row>
    <row r="195" spans="1:13" x14ac:dyDescent="0.25">
      <c r="A195" t="s">
        <v>37</v>
      </c>
      <c r="B195">
        <v>15</v>
      </c>
      <c r="C195" t="s">
        <v>38</v>
      </c>
      <c r="D195">
        <v>2019</v>
      </c>
      <c r="E195">
        <v>103</v>
      </c>
      <c r="F195">
        <v>292</v>
      </c>
      <c r="G195" t="s">
        <v>12</v>
      </c>
      <c r="H195" t="s">
        <v>52</v>
      </c>
      <c r="I195" t="s">
        <v>53</v>
      </c>
      <c r="J195" t="s">
        <v>40</v>
      </c>
      <c r="K195">
        <v>4613644.1050000004</v>
      </c>
      <c r="L195">
        <v>413582.14399999997</v>
      </c>
      <c r="M195">
        <v>0.45500000000000002</v>
      </c>
    </row>
    <row r="196" spans="1:13" x14ac:dyDescent="0.25">
      <c r="A196" t="s">
        <v>37</v>
      </c>
      <c r="B196">
        <v>15</v>
      </c>
      <c r="C196" t="s">
        <v>38</v>
      </c>
      <c r="D196">
        <v>2019</v>
      </c>
      <c r="E196">
        <v>103</v>
      </c>
      <c r="F196">
        <v>293</v>
      </c>
      <c r="G196" t="s">
        <v>12</v>
      </c>
      <c r="H196" t="s">
        <v>52</v>
      </c>
      <c r="I196" t="s">
        <v>53</v>
      </c>
      <c r="J196" t="s">
        <v>40</v>
      </c>
      <c r="K196">
        <v>4613644.9510000004</v>
      </c>
      <c r="L196">
        <v>413599.84499999997</v>
      </c>
      <c r="M196">
        <v>0.39800000000000002</v>
      </c>
    </row>
    <row r="197" spans="1:13" x14ac:dyDescent="0.25">
      <c r="A197" t="s">
        <v>37</v>
      </c>
      <c r="B197">
        <v>15</v>
      </c>
      <c r="C197" t="s">
        <v>38</v>
      </c>
      <c r="D197">
        <v>2019</v>
      </c>
      <c r="E197">
        <v>104</v>
      </c>
      <c r="F197">
        <v>294</v>
      </c>
      <c r="G197" t="s">
        <v>20</v>
      </c>
      <c r="H197" t="s">
        <v>62</v>
      </c>
      <c r="I197" t="s">
        <v>53</v>
      </c>
      <c r="J197" t="s">
        <v>40</v>
      </c>
      <c r="K197">
        <v>4613644.8449999997</v>
      </c>
      <c r="L197">
        <v>413601.67800000001</v>
      </c>
      <c r="M197">
        <v>0.35399999999999998</v>
      </c>
    </row>
    <row r="198" spans="1:13" x14ac:dyDescent="0.25">
      <c r="A198" t="s">
        <v>37</v>
      </c>
      <c r="B198">
        <v>15</v>
      </c>
      <c r="C198" t="s">
        <v>38</v>
      </c>
      <c r="D198">
        <v>2019</v>
      </c>
      <c r="E198">
        <v>104</v>
      </c>
      <c r="F198">
        <v>295</v>
      </c>
      <c r="G198" t="s">
        <v>20</v>
      </c>
      <c r="H198" t="s">
        <v>62</v>
      </c>
      <c r="I198" t="s">
        <v>53</v>
      </c>
      <c r="J198" t="s">
        <v>40</v>
      </c>
      <c r="K198">
        <v>4613644.8770000003</v>
      </c>
      <c r="L198">
        <v>413606.35800000001</v>
      </c>
      <c r="M198">
        <v>0.33900000000000002</v>
      </c>
    </row>
    <row r="199" spans="1:13" x14ac:dyDescent="0.25">
      <c r="A199" t="s">
        <v>37</v>
      </c>
      <c r="B199">
        <v>15</v>
      </c>
      <c r="C199" t="s">
        <v>38</v>
      </c>
      <c r="D199">
        <v>2019</v>
      </c>
      <c r="E199">
        <v>105</v>
      </c>
      <c r="F199">
        <v>296</v>
      </c>
      <c r="G199" t="s">
        <v>12</v>
      </c>
      <c r="H199" t="s">
        <v>52</v>
      </c>
      <c r="I199" t="s">
        <v>53</v>
      </c>
      <c r="J199" t="s">
        <v>40</v>
      </c>
      <c r="K199">
        <v>4613644.5619999999</v>
      </c>
      <c r="L199">
        <v>413608.38699999999</v>
      </c>
      <c r="M199">
        <v>0.36299999999999999</v>
      </c>
    </row>
    <row r="200" spans="1:13" x14ac:dyDescent="0.25">
      <c r="A200" t="s">
        <v>37</v>
      </c>
      <c r="B200">
        <v>15</v>
      </c>
      <c r="C200" t="s">
        <v>38</v>
      </c>
      <c r="D200">
        <v>2019</v>
      </c>
      <c r="E200">
        <v>105</v>
      </c>
      <c r="F200">
        <v>297</v>
      </c>
      <c r="G200" t="s">
        <v>12</v>
      </c>
      <c r="H200" t="s">
        <v>52</v>
      </c>
      <c r="I200" t="s">
        <v>53</v>
      </c>
      <c r="J200" t="s">
        <v>40</v>
      </c>
      <c r="K200">
        <v>4613653.4210000001</v>
      </c>
      <c r="L200">
        <v>413654.55900000001</v>
      </c>
      <c r="M200">
        <v>0.42199999999999999</v>
      </c>
    </row>
    <row r="201" spans="1:13" x14ac:dyDescent="0.25">
      <c r="A201" t="s">
        <v>37</v>
      </c>
      <c r="B201">
        <v>15</v>
      </c>
      <c r="C201" t="s">
        <v>38</v>
      </c>
      <c r="D201">
        <v>2019</v>
      </c>
      <c r="E201">
        <v>107</v>
      </c>
      <c r="F201">
        <v>299</v>
      </c>
      <c r="G201" t="s">
        <v>20</v>
      </c>
      <c r="H201" t="s">
        <v>62</v>
      </c>
      <c r="I201" t="s">
        <v>53</v>
      </c>
      <c r="J201" t="s">
        <v>40</v>
      </c>
      <c r="K201">
        <v>4613681.8449999997</v>
      </c>
      <c r="L201">
        <v>413642.71899999998</v>
      </c>
      <c r="M201">
        <v>0.41599999999999998</v>
      </c>
    </row>
    <row r="202" spans="1:13" x14ac:dyDescent="0.25">
      <c r="A202" t="s">
        <v>37</v>
      </c>
      <c r="B202">
        <v>15</v>
      </c>
      <c r="C202" t="s">
        <v>38</v>
      </c>
      <c r="D202">
        <v>2019</v>
      </c>
      <c r="E202">
        <v>107</v>
      </c>
      <c r="F202">
        <v>300</v>
      </c>
      <c r="G202" t="s">
        <v>20</v>
      </c>
      <c r="H202" t="s">
        <v>62</v>
      </c>
      <c r="I202" t="s">
        <v>53</v>
      </c>
      <c r="J202" t="s">
        <v>40</v>
      </c>
      <c r="K202">
        <v>4613688.5619999999</v>
      </c>
      <c r="L202">
        <v>413626.52600000001</v>
      </c>
      <c r="M202">
        <v>0.41799999999999998</v>
      </c>
    </row>
    <row r="203" spans="1:13" x14ac:dyDescent="0.25">
      <c r="A203" t="s">
        <v>37</v>
      </c>
      <c r="E203">
        <v>111</v>
      </c>
      <c r="F203">
        <v>304</v>
      </c>
      <c r="G203" t="s">
        <v>30</v>
      </c>
      <c r="H203" t="s">
        <v>71</v>
      </c>
      <c r="I203" t="s">
        <v>72</v>
      </c>
      <c r="J203" t="s">
        <v>40</v>
      </c>
      <c r="K203">
        <v>4613515.3229999999</v>
      </c>
      <c r="L203">
        <v>413589.87099999998</v>
      </c>
      <c r="M203">
        <v>0.74199999999999999</v>
      </c>
    </row>
    <row r="204" spans="1:13" x14ac:dyDescent="0.25">
      <c r="A204" t="s">
        <v>37</v>
      </c>
      <c r="E204">
        <v>111</v>
      </c>
      <c r="F204">
        <v>305</v>
      </c>
      <c r="G204" t="s">
        <v>30</v>
      </c>
      <c r="H204" t="s">
        <v>71</v>
      </c>
      <c r="I204" t="s">
        <v>72</v>
      </c>
      <c r="J204" t="s">
        <v>40</v>
      </c>
      <c r="K204">
        <v>4613518.66</v>
      </c>
      <c r="L204">
        <v>413591.076</v>
      </c>
      <c r="M204">
        <v>0.52900000000000003</v>
      </c>
    </row>
    <row r="205" spans="1:13" x14ac:dyDescent="0.25">
      <c r="A205" t="s">
        <v>37</v>
      </c>
      <c r="E205">
        <v>111</v>
      </c>
      <c r="F205">
        <v>306</v>
      </c>
      <c r="G205" t="s">
        <v>30</v>
      </c>
      <c r="H205" t="s">
        <v>71</v>
      </c>
      <c r="I205" t="s">
        <v>72</v>
      </c>
      <c r="J205" t="s">
        <v>40</v>
      </c>
      <c r="K205">
        <v>4613520.1809999999</v>
      </c>
      <c r="L205">
        <v>413590.47700000001</v>
      </c>
      <c r="M205">
        <v>0.501</v>
      </c>
    </row>
    <row r="206" spans="1:13" x14ac:dyDescent="0.25">
      <c r="A206" t="s">
        <v>37</v>
      </c>
      <c r="E206">
        <v>111</v>
      </c>
      <c r="F206">
        <v>307</v>
      </c>
      <c r="G206" t="s">
        <v>30</v>
      </c>
      <c r="H206" t="s">
        <v>71</v>
      </c>
      <c r="I206" t="s">
        <v>72</v>
      </c>
      <c r="J206" t="s">
        <v>40</v>
      </c>
      <c r="K206">
        <v>4613527.4730000002</v>
      </c>
      <c r="L206">
        <v>413587.91100000002</v>
      </c>
      <c r="M206">
        <v>0.13200000000000001</v>
      </c>
    </row>
    <row r="207" spans="1:13" x14ac:dyDescent="0.25">
      <c r="A207" t="s">
        <v>37</v>
      </c>
      <c r="E207">
        <v>113</v>
      </c>
      <c r="F207">
        <v>310</v>
      </c>
      <c r="G207" t="s">
        <v>4</v>
      </c>
      <c r="H207" t="s">
        <v>71</v>
      </c>
      <c r="I207" t="s">
        <v>73</v>
      </c>
      <c r="J207" t="s">
        <v>40</v>
      </c>
      <c r="K207">
        <v>4613597.1289999997</v>
      </c>
      <c r="L207">
        <v>413579.62099999998</v>
      </c>
      <c r="M207">
        <v>-8.3000000000000004E-2</v>
      </c>
    </row>
    <row r="208" spans="1:13" x14ac:dyDescent="0.25">
      <c r="A208" t="s">
        <v>37</v>
      </c>
      <c r="E208">
        <v>113</v>
      </c>
      <c r="F208">
        <v>311</v>
      </c>
      <c r="G208" t="s">
        <v>4</v>
      </c>
      <c r="H208" t="s">
        <v>71</v>
      </c>
      <c r="I208" t="s">
        <v>73</v>
      </c>
      <c r="J208" t="s">
        <v>40</v>
      </c>
      <c r="K208">
        <v>4613607.0690000001</v>
      </c>
      <c r="L208">
        <v>413571.60399999999</v>
      </c>
      <c r="M208">
        <v>-3.6999999999999998E-2</v>
      </c>
    </row>
    <row r="209" spans="1:13" x14ac:dyDescent="0.25">
      <c r="A209" t="s">
        <v>37</v>
      </c>
      <c r="E209">
        <v>114</v>
      </c>
      <c r="F209">
        <v>312</v>
      </c>
      <c r="G209" t="s">
        <v>32</v>
      </c>
      <c r="H209" t="s">
        <v>71</v>
      </c>
      <c r="I209" t="s">
        <v>74</v>
      </c>
      <c r="J209" t="s">
        <v>40</v>
      </c>
      <c r="K209">
        <v>4613669.693</v>
      </c>
      <c r="L209">
        <v>413578.989</v>
      </c>
      <c r="M209">
        <v>-5.7000000000000002E-2</v>
      </c>
    </row>
    <row r="210" spans="1:13" x14ac:dyDescent="0.25">
      <c r="A210" t="s">
        <v>37</v>
      </c>
      <c r="E210">
        <v>114</v>
      </c>
      <c r="F210">
        <v>313</v>
      </c>
      <c r="G210" t="s">
        <v>32</v>
      </c>
      <c r="H210" t="s">
        <v>71</v>
      </c>
      <c r="I210" t="s">
        <v>74</v>
      </c>
      <c r="J210" t="s">
        <v>40</v>
      </c>
      <c r="K210">
        <v>4613666.1880000001</v>
      </c>
      <c r="L210">
        <v>413575.59100000001</v>
      </c>
      <c r="M210">
        <v>-6.7000000000000004E-2</v>
      </c>
    </row>
    <row r="211" spans="1:13" x14ac:dyDescent="0.25">
      <c r="A211" t="s">
        <v>37</v>
      </c>
      <c r="E211">
        <v>114</v>
      </c>
      <c r="F211">
        <v>314</v>
      </c>
      <c r="G211" t="s">
        <v>32</v>
      </c>
      <c r="H211" t="s">
        <v>71</v>
      </c>
      <c r="I211" t="s">
        <v>74</v>
      </c>
      <c r="J211" t="s">
        <v>40</v>
      </c>
      <c r="K211">
        <v>4613662.6490000002</v>
      </c>
      <c r="L211">
        <v>413573.53600000002</v>
      </c>
      <c r="M211">
        <v>-2.8000000000000001E-2</v>
      </c>
    </row>
    <row r="212" spans="1:13" x14ac:dyDescent="0.25">
      <c r="A212" t="s">
        <v>37</v>
      </c>
      <c r="E212">
        <v>116</v>
      </c>
      <c r="F212">
        <v>316</v>
      </c>
      <c r="G212" t="s">
        <v>32</v>
      </c>
      <c r="H212" t="s">
        <v>71</v>
      </c>
      <c r="I212" t="s">
        <v>74</v>
      </c>
      <c r="J212" t="s">
        <v>40</v>
      </c>
      <c r="K212">
        <v>4613647.3430000003</v>
      </c>
      <c r="L212">
        <v>413580.02399999998</v>
      </c>
      <c r="M212">
        <v>3.6999999999999998E-2</v>
      </c>
    </row>
    <row r="213" spans="1:13" x14ac:dyDescent="0.25">
      <c r="A213" t="s">
        <v>37</v>
      </c>
      <c r="E213">
        <v>116</v>
      </c>
      <c r="F213">
        <v>317</v>
      </c>
      <c r="G213" t="s">
        <v>32</v>
      </c>
      <c r="H213" t="s">
        <v>71</v>
      </c>
      <c r="I213" t="s">
        <v>74</v>
      </c>
      <c r="J213" t="s">
        <v>40</v>
      </c>
      <c r="K213">
        <v>4613650.7699999996</v>
      </c>
      <c r="L213">
        <v>413582.864</v>
      </c>
      <c r="M213">
        <v>0.151</v>
      </c>
    </row>
    <row r="214" spans="1:13" x14ac:dyDescent="0.25">
      <c r="A214" t="s">
        <v>37</v>
      </c>
      <c r="E214">
        <v>116</v>
      </c>
      <c r="F214">
        <v>318</v>
      </c>
      <c r="G214" t="s">
        <v>32</v>
      </c>
      <c r="H214" t="s">
        <v>71</v>
      </c>
      <c r="I214" t="s">
        <v>74</v>
      </c>
      <c r="J214" t="s">
        <v>40</v>
      </c>
      <c r="K214">
        <v>4613653.6469999999</v>
      </c>
      <c r="L214">
        <v>413586.19300000003</v>
      </c>
      <c r="M214">
        <v>0.107</v>
      </c>
    </row>
    <row r="215" spans="1:13" x14ac:dyDescent="0.25">
      <c r="A215" t="s">
        <v>37</v>
      </c>
      <c r="E215">
        <v>118</v>
      </c>
      <c r="F215">
        <v>320</v>
      </c>
      <c r="G215" t="s">
        <v>31</v>
      </c>
      <c r="H215" t="s">
        <v>71</v>
      </c>
      <c r="I215" t="s">
        <v>75</v>
      </c>
      <c r="J215" t="s">
        <v>40</v>
      </c>
      <c r="K215">
        <v>4613619.9709999999</v>
      </c>
      <c r="L215">
        <v>413576.07500000001</v>
      </c>
      <c r="M215">
        <v>-4.3999999999999997E-2</v>
      </c>
    </row>
    <row r="216" spans="1:13" x14ac:dyDescent="0.25">
      <c r="A216" t="s">
        <v>37</v>
      </c>
      <c r="E216">
        <v>118</v>
      </c>
      <c r="F216">
        <v>321</v>
      </c>
      <c r="G216" t="s">
        <v>31</v>
      </c>
      <c r="H216" t="s">
        <v>71</v>
      </c>
      <c r="I216" t="s">
        <v>75</v>
      </c>
      <c r="J216" t="s">
        <v>40</v>
      </c>
      <c r="K216">
        <v>4613608.3439999996</v>
      </c>
      <c r="L216">
        <v>413584.37</v>
      </c>
      <c r="M216">
        <v>1.7999999999999999E-2</v>
      </c>
    </row>
    <row r="217" spans="1:13" x14ac:dyDescent="0.25">
      <c r="A217" t="s">
        <v>37</v>
      </c>
      <c r="E217">
        <v>118</v>
      </c>
      <c r="F217">
        <v>322</v>
      </c>
      <c r="G217" t="s">
        <v>31</v>
      </c>
      <c r="H217" t="s">
        <v>71</v>
      </c>
      <c r="I217" t="s">
        <v>75</v>
      </c>
      <c r="J217" t="s">
        <v>40</v>
      </c>
      <c r="K217">
        <v>4613593.1840000004</v>
      </c>
      <c r="L217">
        <v>413589.02</v>
      </c>
      <c r="M217">
        <v>-0.112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D502-D12F-419D-9CD3-743C7F5C30C1}">
  <dimension ref="A1:N43"/>
  <sheetViews>
    <sheetView workbookViewId="0">
      <selection activeCell="G8" sqref="G8"/>
    </sheetView>
  </sheetViews>
  <sheetFormatPr defaultRowHeight="15" x14ac:dyDescent="0.25"/>
  <sheetData>
    <row r="1" spans="1:14" x14ac:dyDescent="0.25">
      <c r="A1" t="s">
        <v>33</v>
      </c>
      <c r="B1" t="s">
        <v>34</v>
      </c>
      <c r="C1" t="s">
        <v>35</v>
      </c>
      <c r="D1" t="s">
        <v>36</v>
      </c>
      <c r="E1" t="s">
        <v>43</v>
      </c>
      <c r="F1" t="s">
        <v>44</v>
      </c>
      <c r="G1" t="s">
        <v>45</v>
      </c>
      <c r="H1" t="s">
        <v>0</v>
      </c>
      <c r="I1" t="s">
        <v>46</v>
      </c>
      <c r="J1" t="s">
        <v>39</v>
      </c>
      <c r="K1" t="s">
        <v>1</v>
      </c>
      <c r="L1" t="s">
        <v>2</v>
      </c>
      <c r="M1" t="s">
        <v>3</v>
      </c>
      <c r="N1" t="s">
        <v>47</v>
      </c>
    </row>
    <row r="2" spans="1:14" x14ac:dyDescent="0.25">
      <c r="A2" t="s">
        <v>37</v>
      </c>
      <c r="B2">
        <v>14</v>
      </c>
      <c r="C2" t="s">
        <v>38</v>
      </c>
      <c r="D2">
        <v>2019</v>
      </c>
      <c r="E2">
        <v>2</v>
      </c>
      <c r="F2">
        <v>4</v>
      </c>
      <c r="G2" t="s">
        <v>7</v>
      </c>
      <c r="H2" t="s">
        <v>50</v>
      </c>
      <c r="I2" t="s">
        <v>76</v>
      </c>
      <c r="J2" t="s">
        <v>41</v>
      </c>
      <c r="K2">
        <v>4613460.1490000002</v>
      </c>
      <c r="L2">
        <v>413580.29499999998</v>
      </c>
      <c r="M2">
        <v>1.38</v>
      </c>
    </row>
    <row r="3" spans="1:14" x14ac:dyDescent="0.25">
      <c r="A3" t="s">
        <v>37</v>
      </c>
      <c r="B3">
        <v>14</v>
      </c>
      <c r="C3" t="s">
        <v>38</v>
      </c>
      <c r="D3">
        <v>2019</v>
      </c>
      <c r="E3">
        <v>3</v>
      </c>
      <c r="F3">
        <v>5</v>
      </c>
      <c r="G3" t="s">
        <v>8</v>
      </c>
      <c r="H3" t="s">
        <v>50</v>
      </c>
      <c r="I3" t="s">
        <v>53</v>
      </c>
      <c r="J3" t="s">
        <v>41</v>
      </c>
      <c r="K3">
        <v>4613460.5219999999</v>
      </c>
      <c r="L3">
        <v>413576.77</v>
      </c>
      <c r="M3">
        <v>1.3</v>
      </c>
    </row>
    <row r="4" spans="1:14" x14ac:dyDescent="0.25">
      <c r="A4" t="s">
        <v>37</v>
      </c>
      <c r="B4">
        <v>14</v>
      </c>
      <c r="C4" t="s">
        <v>38</v>
      </c>
      <c r="D4">
        <v>2019</v>
      </c>
      <c r="E4">
        <v>5</v>
      </c>
      <c r="F4">
        <v>8</v>
      </c>
      <c r="G4" t="s">
        <v>10</v>
      </c>
      <c r="H4" t="s">
        <v>54</v>
      </c>
      <c r="I4" t="s">
        <v>53</v>
      </c>
      <c r="J4" t="s">
        <v>41</v>
      </c>
      <c r="K4">
        <v>4613461.3049999997</v>
      </c>
      <c r="L4">
        <v>413568.40100000001</v>
      </c>
      <c r="M4">
        <v>0.60799999999999998</v>
      </c>
    </row>
    <row r="5" spans="1:14" x14ac:dyDescent="0.25">
      <c r="A5" t="s">
        <v>37</v>
      </c>
      <c r="B5">
        <v>14</v>
      </c>
      <c r="C5" t="s">
        <v>38</v>
      </c>
      <c r="D5">
        <v>2019</v>
      </c>
      <c r="E5">
        <v>6</v>
      </c>
      <c r="F5">
        <v>9</v>
      </c>
      <c r="G5" t="s">
        <v>11</v>
      </c>
      <c r="H5" t="s">
        <v>54</v>
      </c>
      <c r="I5" t="s">
        <v>51</v>
      </c>
      <c r="J5" t="s">
        <v>41</v>
      </c>
      <c r="K5">
        <v>4613460.7010000004</v>
      </c>
      <c r="L5">
        <v>413564.217</v>
      </c>
      <c r="M5">
        <v>0.57199999999999995</v>
      </c>
    </row>
    <row r="6" spans="1:14" x14ac:dyDescent="0.25">
      <c r="A6" t="s">
        <v>37</v>
      </c>
      <c r="B6">
        <v>14</v>
      </c>
      <c r="C6" t="s">
        <v>38</v>
      </c>
      <c r="D6">
        <v>2019</v>
      </c>
      <c r="E6">
        <v>11</v>
      </c>
      <c r="F6">
        <v>18</v>
      </c>
      <c r="G6" t="s">
        <v>8</v>
      </c>
      <c r="H6" t="s">
        <v>50</v>
      </c>
      <c r="I6" t="s">
        <v>53</v>
      </c>
      <c r="J6" t="s">
        <v>41</v>
      </c>
      <c r="K6">
        <v>4613432.7489999998</v>
      </c>
      <c r="L6">
        <v>413559.73700000002</v>
      </c>
      <c r="M6">
        <v>0.77700000000000002</v>
      </c>
    </row>
    <row r="7" spans="1:14" x14ac:dyDescent="0.25">
      <c r="A7" t="s">
        <v>37</v>
      </c>
      <c r="B7">
        <v>14</v>
      </c>
      <c r="C7" t="s">
        <v>38</v>
      </c>
      <c r="D7">
        <v>2019</v>
      </c>
      <c r="E7">
        <v>18</v>
      </c>
      <c r="F7">
        <v>31</v>
      </c>
      <c r="G7" t="s">
        <v>10</v>
      </c>
      <c r="H7" t="s">
        <v>54</v>
      </c>
      <c r="I7" t="s">
        <v>53</v>
      </c>
      <c r="J7" t="s">
        <v>41</v>
      </c>
      <c r="K7">
        <v>4613481.2319999998</v>
      </c>
      <c r="L7">
        <v>413543.647</v>
      </c>
      <c r="M7">
        <v>0.52300000000000002</v>
      </c>
    </row>
    <row r="8" spans="1:14" x14ac:dyDescent="0.25">
      <c r="A8" t="s">
        <v>37</v>
      </c>
      <c r="B8">
        <v>14</v>
      </c>
      <c r="C8" t="s">
        <v>38</v>
      </c>
      <c r="D8">
        <v>2019</v>
      </c>
      <c r="E8">
        <v>21</v>
      </c>
      <c r="F8">
        <v>57</v>
      </c>
      <c r="G8" t="s">
        <v>10</v>
      </c>
      <c r="H8" t="s">
        <v>54</v>
      </c>
      <c r="I8" t="s">
        <v>53</v>
      </c>
      <c r="J8" t="s">
        <v>41</v>
      </c>
      <c r="K8">
        <v>4613468.8710000003</v>
      </c>
      <c r="L8">
        <v>413534.31300000002</v>
      </c>
      <c r="M8">
        <v>0.53800000000000003</v>
      </c>
    </row>
    <row r="9" spans="1:14" x14ac:dyDescent="0.25">
      <c r="A9" t="s">
        <v>37</v>
      </c>
      <c r="B9">
        <v>14</v>
      </c>
      <c r="C9" t="s">
        <v>38</v>
      </c>
      <c r="D9">
        <v>2019</v>
      </c>
      <c r="E9">
        <v>25</v>
      </c>
      <c r="F9">
        <v>66</v>
      </c>
      <c r="G9" t="s">
        <v>16</v>
      </c>
      <c r="H9" t="s">
        <v>59</v>
      </c>
      <c r="I9" t="s">
        <v>53</v>
      </c>
      <c r="J9" t="s">
        <v>41</v>
      </c>
      <c r="K9">
        <v>4613453.5250000004</v>
      </c>
      <c r="L9">
        <v>413528.24300000002</v>
      </c>
      <c r="M9">
        <v>0.75900000000000001</v>
      </c>
    </row>
    <row r="10" spans="1:14" x14ac:dyDescent="0.25">
      <c r="A10" t="s">
        <v>37</v>
      </c>
      <c r="B10">
        <v>14</v>
      </c>
      <c r="C10" t="s">
        <v>38</v>
      </c>
      <c r="D10">
        <v>2019</v>
      </c>
      <c r="E10">
        <v>26</v>
      </c>
      <c r="F10">
        <v>67</v>
      </c>
      <c r="G10" t="s">
        <v>10</v>
      </c>
      <c r="H10" t="s">
        <v>54</v>
      </c>
      <c r="I10" t="s">
        <v>53</v>
      </c>
      <c r="J10" t="s">
        <v>41</v>
      </c>
      <c r="K10">
        <v>4613455.4869999997</v>
      </c>
      <c r="L10">
        <v>413528.46299999999</v>
      </c>
      <c r="M10">
        <v>0.58799999999999997</v>
      </c>
    </row>
    <row r="11" spans="1:14" x14ac:dyDescent="0.25">
      <c r="A11" t="s">
        <v>37</v>
      </c>
      <c r="B11">
        <v>14</v>
      </c>
      <c r="C11" t="s">
        <v>38</v>
      </c>
      <c r="D11">
        <v>2019</v>
      </c>
      <c r="E11">
        <v>29</v>
      </c>
      <c r="F11">
        <v>72</v>
      </c>
      <c r="G11" t="s">
        <v>8</v>
      </c>
      <c r="H11" t="s">
        <v>50</v>
      </c>
      <c r="I11" t="s">
        <v>53</v>
      </c>
      <c r="J11" t="s">
        <v>41</v>
      </c>
      <c r="K11">
        <v>4613475.7779999999</v>
      </c>
      <c r="L11">
        <v>413529.35200000001</v>
      </c>
      <c r="M11">
        <v>0.70399999999999996</v>
      </c>
    </row>
    <row r="12" spans="1:14" x14ac:dyDescent="0.25">
      <c r="A12" t="s">
        <v>37</v>
      </c>
      <c r="B12">
        <v>14</v>
      </c>
      <c r="C12" t="s">
        <v>38</v>
      </c>
      <c r="D12">
        <v>2019</v>
      </c>
      <c r="E12">
        <v>31</v>
      </c>
      <c r="F12">
        <v>84</v>
      </c>
      <c r="G12" t="s">
        <v>18</v>
      </c>
      <c r="H12" t="s">
        <v>50</v>
      </c>
      <c r="I12" t="s">
        <v>77</v>
      </c>
      <c r="J12" t="s">
        <v>41</v>
      </c>
      <c r="K12">
        <v>4613512.8559999997</v>
      </c>
      <c r="L12">
        <v>413588.49300000002</v>
      </c>
      <c r="M12">
        <v>0.84699999999999998</v>
      </c>
    </row>
    <row r="13" spans="1:14" x14ac:dyDescent="0.25">
      <c r="A13" t="s">
        <v>37</v>
      </c>
      <c r="B13">
        <v>14</v>
      </c>
      <c r="C13" t="s">
        <v>38</v>
      </c>
      <c r="D13">
        <v>2019</v>
      </c>
      <c r="E13">
        <v>32</v>
      </c>
      <c r="F13">
        <v>89</v>
      </c>
      <c r="G13" t="s">
        <v>19</v>
      </c>
      <c r="H13" t="s">
        <v>78</v>
      </c>
      <c r="I13" t="s">
        <v>53</v>
      </c>
      <c r="J13" t="s">
        <v>41</v>
      </c>
      <c r="K13">
        <v>4613527.0439999998</v>
      </c>
      <c r="L13">
        <v>413584.69099999999</v>
      </c>
      <c r="M13">
        <v>0.66200000000000003</v>
      </c>
    </row>
    <row r="14" spans="1:14" x14ac:dyDescent="0.25">
      <c r="A14" t="s">
        <v>37</v>
      </c>
      <c r="B14">
        <v>14</v>
      </c>
      <c r="C14" t="s">
        <v>38</v>
      </c>
      <c r="D14">
        <v>2019</v>
      </c>
      <c r="E14">
        <v>33</v>
      </c>
      <c r="F14">
        <v>90</v>
      </c>
      <c r="G14" t="s">
        <v>29</v>
      </c>
      <c r="H14" t="s">
        <v>60</v>
      </c>
      <c r="I14" t="s">
        <v>61</v>
      </c>
      <c r="J14" t="s">
        <v>41</v>
      </c>
      <c r="K14">
        <v>4613529.1969999997</v>
      </c>
      <c r="L14">
        <v>413584.005</v>
      </c>
      <c r="M14">
        <v>0.49099999999999999</v>
      </c>
    </row>
    <row r="15" spans="1:14" x14ac:dyDescent="0.25">
      <c r="A15" t="s">
        <v>37</v>
      </c>
      <c r="B15">
        <v>14</v>
      </c>
      <c r="C15" t="s">
        <v>38</v>
      </c>
      <c r="D15">
        <v>2019</v>
      </c>
      <c r="E15">
        <v>37</v>
      </c>
      <c r="F15">
        <v>99</v>
      </c>
      <c r="G15" t="s">
        <v>20</v>
      </c>
      <c r="H15" t="s">
        <v>62</v>
      </c>
      <c r="I15" t="s">
        <v>53</v>
      </c>
      <c r="J15" t="s">
        <v>41</v>
      </c>
      <c r="K15">
        <v>4613532.7709999997</v>
      </c>
      <c r="L15">
        <v>413554.96600000001</v>
      </c>
      <c r="M15">
        <v>0.48299999999999998</v>
      </c>
    </row>
    <row r="16" spans="1:14" x14ac:dyDescent="0.25">
      <c r="A16" t="s">
        <v>37</v>
      </c>
      <c r="B16">
        <v>14</v>
      </c>
      <c r="C16" t="s">
        <v>38</v>
      </c>
      <c r="D16">
        <v>2019</v>
      </c>
      <c r="E16">
        <v>40</v>
      </c>
      <c r="F16">
        <v>105</v>
      </c>
      <c r="G16" t="s">
        <v>21</v>
      </c>
      <c r="H16" t="s">
        <v>67</v>
      </c>
      <c r="I16" t="s">
        <v>79</v>
      </c>
      <c r="J16" t="s">
        <v>41</v>
      </c>
      <c r="K16">
        <v>4613545.43</v>
      </c>
      <c r="L16">
        <v>413549.304</v>
      </c>
      <c r="M16">
        <v>0.26900000000000002</v>
      </c>
    </row>
    <row r="17" spans="1:13" x14ac:dyDescent="0.25">
      <c r="A17" t="s">
        <v>37</v>
      </c>
      <c r="B17">
        <v>15</v>
      </c>
      <c r="C17" t="s">
        <v>38</v>
      </c>
      <c r="D17">
        <v>2019</v>
      </c>
      <c r="E17">
        <v>44</v>
      </c>
      <c r="F17">
        <v>113</v>
      </c>
      <c r="G17" t="s">
        <v>22</v>
      </c>
      <c r="H17" t="s">
        <v>64</v>
      </c>
      <c r="I17" t="s">
        <v>51</v>
      </c>
      <c r="J17" t="s">
        <v>41</v>
      </c>
      <c r="K17">
        <v>4613893.733</v>
      </c>
      <c r="L17">
        <v>413807.196</v>
      </c>
      <c r="M17">
        <v>0.54800000000000004</v>
      </c>
    </row>
    <row r="18" spans="1:13" x14ac:dyDescent="0.25">
      <c r="A18" t="s">
        <v>37</v>
      </c>
      <c r="B18">
        <v>15</v>
      </c>
      <c r="C18" t="s">
        <v>38</v>
      </c>
      <c r="D18">
        <v>2019</v>
      </c>
      <c r="E18">
        <v>51</v>
      </c>
      <c r="F18">
        <v>151</v>
      </c>
      <c r="G18" t="s">
        <v>23</v>
      </c>
      <c r="H18" t="s">
        <v>63</v>
      </c>
      <c r="I18" t="s">
        <v>53</v>
      </c>
      <c r="J18" t="s">
        <v>41</v>
      </c>
      <c r="K18">
        <v>4613887.4730000002</v>
      </c>
      <c r="L18">
        <v>413743.85100000002</v>
      </c>
      <c r="M18">
        <v>0.72699999999999998</v>
      </c>
    </row>
    <row r="19" spans="1:13" x14ac:dyDescent="0.25">
      <c r="A19" t="s">
        <v>37</v>
      </c>
      <c r="B19">
        <v>15</v>
      </c>
      <c r="C19" t="s">
        <v>38</v>
      </c>
      <c r="D19">
        <v>2019</v>
      </c>
      <c r="E19">
        <v>53</v>
      </c>
      <c r="F19">
        <v>154</v>
      </c>
      <c r="G19" t="s">
        <v>12</v>
      </c>
      <c r="H19" t="s">
        <v>52</v>
      </c>
      <c r="I19" t="s">
        <v>53</v>
      </c>
      <c r="J19" t="s">
        <v>41</v>
      </c>
      <c r="K19">
        <v>4613881.33</v>
      </c>
      <c r="L19">
        <v>413709.755</v>
      </c>
      <c r="M19">
        <v>0.55000000000000004</v>
      </c>
    </row>
    <row r="20" spans="1:13" x14ac:dyDescent="0.25">
      <c r="A20" t="s">
        <v>37</v>
      </c>
      <c r="B20">
        <v>15</v>
      </c>
      <c r="C20" t="s">
        <v>38</v>
      </c>
      <c r="D20">
        <v>2019</v>
      </c>
      <c r="E20">
        <v>56</v>
      </c>
      <c r="F20">
        <v>159</v>
      </c>
      <c r="G20" t="s">
        <v>22</v>
      </c>
      <c r="H20" t="s">
        <v>64</v>
      </c>
      <c r="I20" t="s">
        <v>51</v>
      </c>
      <c r="J20" t="s">
        <v>41</v>
      </c>
      <c r="K20">
        <v>4613878.9639999997</v>
      </c>
      <c r="L20">
        <v>413722.33199999999</v>
      </c>
      <c r="M20">
        <v>0.64600000000000002</v>
      </c>
    </row>
    <row r="21" spans="1:13" x14ac:dyDescent="0.25">
      <c r="A21" t="s">
        <v>37</v>
      </c>
      <c r="B21">
        <v>15</v>
      </c>
      <c r="C21" t="s">
        <v>38</v>
      </c>
      <c r="D21">
        <v>2019</v>
      </c>
      <c r="E21">
        <v>57</v>
      </c>
      <c r="F21">
        <v>160</v>
      </c>
      <c r="G21" t="s">
        <v>22</v>
      </c>
      <c r="H21" t="s">
        <v>64</v>
      </c>
      <c r="I21" t="s">
        <v>51</v>
      </c>
      <c r="J21" t="s">
        <v>41</v>
      </c>
      <c r="K21">
        <v>4613877.1859999998</v>
      </c>
      <c r="L21">
        <v>413731.39399999997</v>
      </c>
      <c r="M21">
        <v>0.64</v>
      </c>
    </row>
    <row r="22" spans="1:13" x14ac:dyDescent="0.25">
      <c r="A22" t="s">
        <v>37</v>
      </c>
      <c r="B22">
        <v>15</v>
      </c>
      <c r="C22" t="s">
        <v>38</v>
      </c>
      <c r="D22">
        <v>2019</v>
      </c>
      <c r="E22">
        <v>70</v>
      </c>
      <c r="F22">
        <v>189</v>
      </c>
      <c r="G22" t="s">
        <v>12</v>
      </c>
      <c r="H22" t="s">
        <v>52</v>
      </c>
      <c r="I22" t="s">
        <v>53</v>
      </c>
      <c r="J22" t="s">
        <v>41</v>
      </c>
      <c r="K22">
        <v>4613777.3490000004</v>
      </c>
      <c r="L22">
        <v>413641.174</v>
      </c>
      <c r="M22">
        <v>0.59899999999999998</v>
      </c>
    </row>
    <row r="23" spans="1:13" x14ac:dyDescent="0.25">
      <c r="A23" t="s">
        <v>37</v>
      </c>
      <c r="B23">
        <v>15</v>
      </c>
      <c r="C23" t="s">
        <v>38</v>
      </c>
      <c r="D23">
        <v>2019</v>
      </c>
      <c r="E23">
        <v>75</v>
      </c>
      <c r="F23">
        <v>201</v>
      </c>
      <c r="G23" t="s">
        <v>10</v>
      </c>
      <c r="H23" t="s">
        <v>54</v>
      </c>
      <c r="I23" t="s">
        <v>53</v>
      </c>
      <c r="J23" t="s">
        <v>41</v>
      </c>
      <c r="K23">
        <v>4613773.574</v>
      </c>
      <c r="L23">
        <v>413617.03399999999</v>
      </c>
      <c r="M23">
        <v>0.60899999999999999</v>
      </c>
    </row>
    <row r="24" spans="1:13" x14ac:dyDescent="0.25">
      <c r="A24" t="s">
        <v>37</v>
      </c>
      <c r="B24">
        <v>15</v>
      </c>
      <c r="C24" t="s">
        <v>38</v>
      </c>
      <c r="D24">
        <v>2019</v>
      </c>
      <c r="E24">
        <v>76</v>
      </c>
      <c r="F24">
        <v>202</v>
      </c>
      <c r="G24" t="s">
        <v>12</v>
      </c>
      <c r="H24" t="s">
        <v>52</v>
      </c>
      <c r="I24" t="s">
        <v>53</v>
      </c>
      <c r="J24" t="s">
        <v>41</v>
      </c>
      <c r="K24">
        <v>4613774.2879999997</v>
      </c>
      <c r="L24">
        <v>413615.05800000002</v>
      </c>
      <c r="M24">
        <v>0.60899999999999999</v>
      </c>
    </row>
    <row r="25" spans="1:13" x14ac:dyDescent="0.25">
      <c r="A25" t="s">
        <v>37</v>
      </c>
      <c r="B25">
        <v>15</v>
      </c>
      <c r="C25" t="s">
        <v>38</v>
      </c>
      <c r="D25">
        <v>2019</v>
      </c>
      <c r="E25">
        <v>77</v>
      </c>
      <c r="F25">
        <v>203</v>
      </c>
      <c r="G25" t="s">
        <v>27</v>
      </c>
      <c r="H25" t="s">
        <v>67</v>
      </c>
      <c r="I25" t="s">
        <v>68</v>
      </c>
      <c r="J25" t="s">
        <v>41</v>
      </c>
      <c r="K25">
        <v>4613775.341</v>
      </c>
      <c r="L25">
        <v>413613.212</v>
      </c>
      <c r="M25">
        <v>0.58399999999999996</v>
      </c>
    </row>
    <row r="26" spans="1:13" x14ac:dyDescent="0.25">
      <c r="A26" t="s">
        <v>37</v>
      </c>
      <c r="B26">
        <v>15</v>
      </c>
      <c r="C26" t="s">
        <v>38</v>
      </c>
      <c r="D26">
        <v>2019</v>
      </c>
      <c r="E26">
        <v>79</v>
      </c>
      <c r="F26">
        <v>206</v>
      </c>
      <c r="G26" t="s">
        <v>13</v>
      </c>
      <c r="H26" t="s">
        <v>55</v>
      </c>
      <c r="I26" t="s">
        <v>53</v>
      </c>
      <c r="J26" t="s">
        <v>41</v>
      </c>
      <c r="K26">
        <v>4613789.6550000003</v>
      </c>
      <c r="L26">
        <v>413617.48800000001</v>
      </c>
      <c r="M26">
        <v>0.61</v>
      </c>
    </row>
    <row r="27" spans="1:13" x14ac:dyDescent="0.25">
      <c r="A27" t="s">
        <v>37</v>
      </c>
      <c r="B27">
        <v>15</v>
      </c>
      <c r="C27" t="s">
        <v>38</v>
      </c>
      <c r="D27">
        <v>2019</v>
      </c>
      <c r="E27">
        <v>80</v>
      </c>
      <c r="F27">
        <v>207</v>
      </c>
      <c r="G27" t="s">
        <v>10</v>
      </c>
      <c r="H27" t="s">
        <v>54</v>
      </c>
      <c r="I27" t="s">
        <v>53</v>
      </c>
      <c r="J27" t="s">
        <v>41</v>
      </c>
      <c r="K27">
        <v>4613791.6849999996</v>
      </c>
      <c r="L27">
        <v>413618.36499999999</v>
      </c>
      <c r="M27">
        <v>0.58699999999999997</v>
      </c>
    </row>
    <row r="28" spans="1:13" x14ac:dyDescent="0.25">
      <c r="A28" t="s">
        <v>37</v>
      </c>
      <c r="B28">
        <v>15</v>
      </c>
      <c r="C28" t="s">
        <v>38</v>
      </c>
      <c r="D28">
        <v>2019</v>
      </c>
      <c r="E28">
        <v>89</v>
      </c>
      <c r="F28">
        <v>228</v>
      </c>
      <c r="G28" t="s">
        <v>10</v>
      </c>
      <c r="H28" t="s">
        <v>54</v>
      </c>
      <c r="I28" t="s">
        <v>53</v>
      </c>
      <c r="J28" t="s">
        <v>41</v>
      </c>
      <c r="K28">
        <v>4613865.2719999999</v>
      </c>
      <c r="L28">
        <v>413695.55099999998</v>
      </c>
      <c r="M28">
        <v>0.59599999999999997</v>
      </c>
    </row>
    <row r="29" spans="1:13" x14ac:dyDescent="0.25">
      <c r="A29" t="s">
        <v>37</v>
      </c>
      <c r="B29">
        <v>15</v>
      </c>
      <c r="C29" t="s">
        <v>38</v>
      </c>
      <c r="D29">
        <v>2019</v>
      </c>
      <c r="E29">
        <v>98</v>
      </c>
      <c r="F29">
        <v>273</v>
      </c>
      <c r="G29" t="s">
        <v>16</v>
      </c>
      <c r="H29" t="s">
        <v>59</v>
      </c>
      <c r="I29" t="s">
        <v>53</v>
      </c>
      <c r="J29" t="s">
        <v>41</v>
      </c>
      <c r="K29">
        <v>4613988.3760000002</v>
      </c>
      <c r="L29">
        <v>413697.33100000001</v>
      </c>
      <c r="M29">
        <v>0.45100000000000001</v>
      </c>
    </row>
    <row r="30" spans="1:13" x14ac:dyDescent="0.25">
      <c r="A30" t="s">
        <v>37</v>
      </c>
      <c r="B30">
        <v>15</v>
      </c>
      <c r="C30" t="s">
        <v>38</v>
      </c>
      <c r="D30">
        <v>2019</v>
      </c>
      <c r="E30">
        <v>100</v>
      </c>
      <c r="F30">
        <v>276</v>
      </c>
      <c r="G30" t="s">
        <v>27</v>
      </c>
      <c r="H30" t="s">
        <v>67</v>
      </c>
      <c r="I30" t="s">
        <v>68</v>
      </c>
      <c r="J30" t="s">
        <v>41</v>
      </c>
      <c r="K30">
        <v>4613904.9840000002</v>
      </c>
      <c r="L30">
        <v>413666.60499999998</v>
      </c>
      <c r="M30">
        <v>0.27</v>
      </c>
    </row>
    <row r="31" spans="1:13" x14ac:dyDescent="0.25">
      <c r="A31" t="s">
        <v>37</v>
      </c>
      <c r="B31">
        <v>15</v>
      </c>
      <c r="C31" t="s">
        <v>38</v>
      </c>
      <c r="D31">
        <v>2019</v>
      </c>
      <c r="E31">
        <v>101</v>
      </c>
      <c r="F31">
        <v>290</v>
      </c>
      <c r="G31" t="s">
        <v>19</v>
      </c>
      <c r="H31" t="s">
        <v>78</v>
      </c>
      <c r="I31" t="s">
        <v>53</v>
      </c>
      <c r="J31" t="s">
        <v>41</v>
      </c>
      <c r="K31">
        <v>4613525.1050000004</v>
      </c>
      <c r="L31">
        <v>413629.185</v>
      </c>
      <c r="M31">
        <v>0.72199999999999998</v>
      </c>
    </row>
    <row r="32" spans="1:13" x14ac:dyDescent="0.25">
      <c r="A32" t="s">
        <v>37</v>
      </c>
      <c r="B32">
        <v>15</v>
      </c>
      <c r="C32" t="s">
        <v>38</v>
      </c>
      <c r="D32">
        <v>2019</v>
      </c>
      <c r="E32">
        <v>102</v>
      </c>
      <c r="F32">
        <v>291</v>
      </c>
      <c r="G32" t="s">
        <v>17</v>
      </c>
      <c r="H32" t="s">
        <v>60</v>
      </c>
      <c r="I32" t="s">
        <v>53</v>
      </c>
      <c r="J32" t="s">
        <v>41</v>
      </c>
      <c r="K32">
        <v>4613644.898</v>
      </c>
      <c r="L32">
        <v>413580.37199999997</v>
      </c>
      <c r="M32">
        <v>0.31</v>
      </c>
    </row>
    <row r="33" spans="1:13" x14ac:dyDescent="0.25">
      <c r="A33" t="s">
        <v>37</v>
      </c>
      <c r="B33">
        <v>15</v>
      </c>
      <c r="C33" t="s">
        <v>38</v>
      </c>
      <c r="D33">
        <v>2019</v>
      </c>
      <c r="E33">
        <v>106</v>
      </c>
      <c r="F33">
        <v>298</v>
      </c>
      <c r="G33" t="s">
        <v>17</v>
      </c>
      <c r="H33" t="s">
        <v>60</v>
      </c>
      <c r="I33" t="s">
        <v>53</v>
      </c>
      <c r="J33" t="s">
        <v>41</v>
      </c>
      <c r="K33">
        <v>4613653.574</v>
      </c>
      <c r="L33">
        <v>413656.07</v>
      </c>
      <c r="M33">
        <v>0.34899999999999998</v>
      </c>
    </row>
    <row r="34" spans="1:13" x14ac:dyDescent="0.25">
      <c r="A34" t="s">
        <v>37</v>
      </c>
      <c r="B34">
        <v>15</v>
      </c>
      <c r="C34" t="s">
        <v>38</v>
      </c>
      <c r="D34">
        <v>2019</v>
      </c>
      <c r="E34">
        <v>108</v>
      </c>
      <c r="F34">
        <v>301</v>
      </c>
      <c r="G34" t="s">
        <v>29</v>
      </c>
      <c r="H34" t="s">
        <v>60</v>
      </c>
      <c r="I34" t="s">
        <v>61</v>
      </c>
      <c r="J34" t="s">
        <v>41</v>
      </c>
      <c r="K34">
        <v>4613689.22</v>
      </c>
      <c r="L34">
        <v>413625.04300000001</v>
      </c>
      <c r="M34">
        <v>0.3</v>
      </c>
    </row>
    <row r="35" spans="1:13" x14ac:dyDescent="0.25">
      <c r="A35" t="s">
        <v>37</v>
      </c>
      <c r="E35">
        <v>109</v>
      </c>
      <c r="F35">
        <v>302</v>
      </c>
      <c r="G35" t="s">
        <v>30</v>
      </c>
      <c r="H35" t="s">
        <v>71</v>
      </c>
      <c r="I35" t="s">
        <v>72</v>
      </c>
      <c r="J35" t="s">
        <v>41</v>
      </c>
      <c r="K35">
        <v>4613505.1069999998</v>
      </c>
      <c r="L35">
        <v>413591.98499999999</v>
      </c>
      <c r="M35">
        <v>0.437</v>
      </c>
    </row>
    <row r="36" spans="1:13" x14ac:dyDescent="0.25">
      <c r="A36" t="s">
        <v>37</v>
      </c>
      <c r="E36">
        <v>110</v>
      </c>
      <c r="F36">
        <v>303</v>
      </c>
      <c r="G36" t="s">
        <v>30</v>
      </c>
      <c r="H36" t="s">
        <v>71</v>
      </c>
      <c r="I36" t="s">
        <v>72</v>
      </c>
      <c r="J36" t="s">
        <v>41</v>
      </c>
      <c r="K36">
        <v>4613509.4550000001</v>
      </c>
      <c r="L36">
        <v>413592.06</v>
      </c>
      <c r="M36">
        <v>0.48399999999999999</v>
      </c>
    </row>
    <row r="37" spans="1:13" x14ac:dyDescent="0.25">
      <c r="A37" t="s">
        <v>37</v>
      </c>
      <c r="E37">
        <v>112</v>
      </c>
      <c r="F37">
        <v>309</v>
      </c>
      <c r="G37" t="s">
        <v>4</v>
      </c>
      <c r="H37" t="s">
        <v>71</v>
      </c>
      <c r="I37" t="s">
        <v>73</v>
      </c>
      <c r="J37" t="s">
        <v>41</v>
      </c>
      <c r="K37">
        <v>4613567.8949999996</v>
      </c>
      <c r="L37">
        <v>413582.79700000002</v>
      </c>
      <c r="M37">
        <v>-0.20799999999999999</v>
      </c>
    </row>
    <row r="38" spans="1:13" x14ac:dyDescent="0.25">
      <c r="A38" t="s">
        <v>37</v>
      </c>
      <c r="E38">
        <v>115</v>
      </c>
      <c r="F38">
        <v>315</v>
      </c>
      <c r="G38" t="s">
        <v>5</v>
      </c>
      <c r="H38" t="s">
        <v>71</v>
      </c>
      <c r="I38" t="s">
        <v>80</v>
      </c>
      <c r="J38" t="s">
        <v>41</v>
      </c>
      <c r="K38">
        <v>4613659.5080000004</v>
      </c>
      <c r="L38">
        <v>413571.80599999998</v>
      </c>
      <c r="M38">
        <v>-2.1000000000000001E-2</v>
      </c>
    </row>
    <row r="39" spans="1:13" x14ac:dyDescent="0.25">
      <c r="A39" t="s">
        <v>37</v>
      </c>
      <c r="E39">
        <v>117</v>
      </c>
      <c r="F39">
        <v>319</v>
      </c>
      <c r="G39" t="s">
        <v>30</v>
      </c>
      <c r="H39" t="s">
        <v>71</v>
      </c>
      <c r="I39" t="s">
        <v>72</v>
      </c>
      <c r="J39" t="s">
        <v>41</v>
      </c>
      <c r="K39">
        <v>4613637.0729999999</v>
      </c>
      <c r="L39">
        <v>413577.33299999998</v>
      </c>
      <c r="M39">
        <v>6.6000000000000003E-2</v>
      </c>
    </row>
    <row r="40" spans="1:13" x14ac:dyDescent="0.25">
      <c r="A40" t="s">
        <v>37</v>
      </c>
      <c r="E40">
        <v>119</v>
      </c>
      <c r="F40">
        <v>323</v>
      </c>
      <c r="G40" t="s">
        <v>30</v>
      </c>
      <c r="H40" t="s">
        <v>71</v>
      </c>
      <c r="I40" t="s">
        <v>72</v>
      </c>
      <c r="J40" t="s">
        <v>41</v>
      </c>
      <c r="K40">
        <v>4613585.2580000004</v>
      </c>
      <c r="L40">
        <v>413604.022</v>
      </c>
      <c r="M40">
        <v>-8.3000000000000004E-2</v>
      </c>
    </row>
    <row r="41" spans="1:13" x14ac:dyDescent="0.25">
      <c r="A41" t="s">
        <v>37</v>
      </c>
      <c r="E41">
        <v>120</v>
      </c>
      <c r="F41">
        <v>324</v>
      </c>
      <c r="G41" t="s">
        <v>4</v>
      </c>
      <c r="H41" t="s">
        <v>71</v>
      </c>
      <c r="I41" t="s">
        <v>73</v>
      </c>
      <c r="J41" t="s">
        <v>41</v>
      </c>
      <c r="K41">
        <v>4613574.2549999999</v>
      </c>
      <c r="L41">
        <v>413606.29499999998</v>
      </c>
      <c r="M41">
        <v>3.1E-2</v>
      </c>
    </row>
    <row r="42" spans="1:13" x14ac:dyDescent="0.25">
      <c r="A42" t="s">
        <v>37</v>
      </c>
      <c r="E42">
        <v>121</v>
      </c>
      <c r="F42">
        <v>325</v>
      </c>
      <c r="G42" t="s">
        <v>31</v>
      </c>
      <c r="H42" t="s">
        <v>71</v>
      </c>
      <c r="I42" t="s">
        <v>75</v>
      </c>
      <c r="J42" t="s">
        <v>41</v>
      </c>
      <c r="K42">
        <v>4613537.8530000001</v>
      </c>
      <c r="L42">
        <v>413591.07400000002</v>
      </c>
      <c r="M42">
        <v>0.34300000000000003</v>
      </c>
    </row>
    <row r="43" spans="1:13" x14ac:dyDescent="0.25">
      <c r="A43" t="s">
        <v>37</v>
      </c>
      <c r="E43">
        <v>122</v>
      </c>
      <c r="F43">
        <v>326</v>
      </c>
      <c r="G43" t="s">
        <v>31</v>
      </c>
      <c r="H43" t="s">
        <v>71</v>
      </c>
      <c r="I43" t="s">
        <v>75</v>
      </c>
      <c r="J43" t="s">
        <v>41</v>
      </c>
      <c r="K43">
        <v>4613526.55</v>
      </c>
      <c r="L43">
        <v>413597.09899999999</v>
      </c>
      <c r="M43">
        <v>0.253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FE50-E6E4-43D3-90C3-27C8468768D5}">
  <dimension ref="A1:N48"/>
  <sheetViews>
    <sheetView workbookViewId="0">
      <selection activeCell="H10" sqref="H10"/>
    </sheetView>
  </sheetViews>
  <sheetFormatPr defaultRowHeight="15" x14ac:dyDescent="0.25"/>
  <sheetData>
    <row r="1" spans="1:14" x14ac:dyDescent="0.25">
      <c r="A1" t="s">
        <v>33</v>
      </c>
      <c r="B1" t="s">
        <v>34</v>
      </c>
      <c r="C1" t="s">
        <v>35</v>
      </c>
      <c r="D1" t="s">
        <v>36</v>
      </c>
      <c r="E1" t="s">
        <v>43</v>
      </c>
      <c r="F1" t="s">
        <v>44</v>
      </c>
      <c r="G1" t="s">
        <v>45</v>
      </c>
      <c r="H1" t="s">
        <v>0</v>
      </c>
      <c r="I1" t="s">
        <v>46</v>
      </c>
      <c r="J1" t="s">
        <v>39</v>
      </c>
      <c r="K1" t="s">
        <v>1</v>
      </c>
      <c r="L1" t="s">
        <v>2</v>
      </c>
      <c r="M1" t="s">
        <v>3</v>
      </c>
      <c r="N1" t="s">
        <v>47</v>
      </c>
    </row>
    <row r="2" spans="1:14" x14ac:dyDescent="0.25">
      <c r="A2" t="s">
        <v>37</v>
      </c>
      <c r="B2">
        <v>14</v>
      </c>
      <c r="C2" t="s">
        <v>38</v>
      </c>
      <c r="D2">
        <v>2019</v>
      </c>
      <c r="E2">
        <v>30</v>
      </c>
      <c r="F2">
        <v>73</v>
      </c>
      <c r="G2" t="s">
        <v>17</v>
      </c>
      <c r="H2" t="s">
        <v>60</v>
      </c>
      <c r="I2" t="s">
        <v>53</v>
      </c>
      <c r="J2" t="s">
        <v>42</v>
      </c>
      <c r="K2">
        <v>4613480.125</v>
      </c>
      <c r="L2">
        <v>413598.13199999998</v>
      </c>
      <c r="M2">
        <v>0.33100000000000002</v>
      </c>
    </row>
    <row r="3" spans="1:14" x14ac:dyDescent="0.25">
      <c r="A3" t="s">
        <v>37</v>
      </c>
      <c r="B3">
        <v>14</v>
      </c>
      <c r="C3" t="s">
        <v>38</v>
      </c>
      <c r="D3">
        <v>2019</v>
      </c>
      <c r="E3">
        <v>30</v>
      </c>
      <c r="F3">
        <v>74</v>
      </c>
      <c r="G3" t="s">
        <v>17</v>
      </c>
      <c r="H3" t="s">
        <v>60</v>
      </c>
      <c r="I3" t="s">
        <v>53</v>
      </c>
      <c r="J3" t="s">
        <v>42</v>
      </c>
      <c r="K3">
        <v>4613474.4649999999</v>
      </c>
      <c r="L3">
        <v>413595.73800000001</v>
      </c>
      <c r="M3">
        <v>0.40600000000000003</v>
      </c>
    </row>
    <row r="4" spans="1:14" x14ac:dyDescent="0.25">
      <c r="A4" t="s">
        <v>37</v>
      </c>
      <c r="B4">
        <v>14</v>
      </c>
      <c r="C4" t="s">
        <v>38</v>
      </c>
      <c r="D4">
        <v>2019</v>
      </c>
      <c r="E4">
        <v>30</v>
      </c>
      <c r="F4">
        <v>75</v>
      </c>
      <c r="G4" t="s">
        <v>17</v>
      </c>
      <c r="H4" t="s">
        <v>60</v>
      </c>
      <c r="I4" t="s">
        <v>53</v>
      </c>
      <c r="J4" t="s">
        <v>42</v>
      </c>
      <c r="K4">
        <v>4613473.3109999998</v>
      </c>
      <c r="L4">
        <v>413596.42200000002</v>
      </c>
      <c r="M4">
        <v>0.377</v>
      </c>
    </row>
    <row r="5" spans="1:14" x14ac:dyDescent="0.25">
      <c r="A5" t="s">
        <v>37</v>
      </c>
      <c r="B5">
        <v>14</v>
      </c>
      <c r="C5" t="s">
        <v>38</v>
      </c>
      <c r="D5">
        <v>2019</v>
      </c>
      <c r="E5">
        <v>30</v>
      </c>
      <c r="F5">
        <v>76</v>
      </c>
      <c r="G5" t="s">
        <v>17</v>
      </c>
      <c r="H5" t="s">
        <v>60</v>
      </c>
      <c r="I5" t="s">
        <v>53</v>
      </c>
      <c r="J5" t="s">
        <v>42</v>
      </c>
      <c r="K5">
        <v>4613472.6030000001</v>
      </c>
      <c r="L5">
        <v>413594.71399999998</v>
      </c>
      <c r="M5">
        <v>0.39</v>
      </c>
    </row>
    <row r="6" spans="1:14" x14ac:dyDescent="0.25">
      <c r="A6" t="s">
        <v>37</v>
      </c>
      <c r="B6">
        <v>14</v>
      </c>
      <c r="C6" t="s">
        <v>38</v>
      </c>
      <c r="D6">
        <v>2019</v>
      </c>
      <c r="E6">
        <v>30</v>
      </c>
      <c r="F6">
        <v>77</v>
      </c>
      <c r="G6" t="s">
        <v>17</v>
      </c>
      <c r="H6" t="s">
        <v>60</v>
      </c>
      <c r="I6" t="s">
        <v>53</v>
      </c>
      <c r="J6" t="s">
        <v>42</v>
      </c>
      <c r="K6">
        <v>4613467.0860000001</v>
      </c>
      <c r="L6">
        <v>413593.43199999997</v>
      </c>
      <c r="M6">
        <v>0.33600000000000002</v>
      </c>
    </row>
    <row r="7" spans="1:14" x14ac:dyDescent="0.25">
      <c r="A7" t="s">
        <v>37</v>
      </c>
      <c r="B7">
        <v>14</v>
      </c>
      <c r="C7" t="s">
        <v>38</v>
      </c>
      <c r="D7">
        <v>2019</v>
      </c>
      <c r="E7">
        <v>30</v>
      </c>
      <c r="F7">
        <v>78</v>
      </c>
      <c r="G7" t="s">
        <v>17</v>
      </c>
      <c r="H7" t="s">
        <v>60</v>
      </c>
      <c r="I7" t="s">
        <v>53</v>
      </c>
      <c r="J7" t="s">
        <v>42</v>
      </c>
      <c r="K7">
        <v>4613463.625</v>
      </c>
      <c r="L7">
        <v>413593.32199999999</v>
      </c>
      <c r="M7">
        <v>0.32200000000000001</v>
      </c>
    </row>
    <row r="8" spans="1:14" x14ac:dyDescent="0.25">
      <c r="A8" t="s">
        <v>37</v>
      </c>
      <c r="B8">
        <v>14</v>
      </c>
      <c r="C8" t="s">
        <v>38</v>
      </c>
      <c r="D8">
        <v>2019</v>
      </c>
      <c r="E8">
        <v>30</v>
      </c>
      <c r="F8">
        <v>79</v>
      </c>
      <c r="G8" t="s">
        <v>17</v>
      </c>
      <c r="H8" t="s">
        <v>60</v>
      </c>
      <c r="I8" t="s">
        <v>53</v>
      </c>
      <c r="J8" t="s">
        <v>42</v>
      </c>
      <c r="K8">
        <v>4613459.0789999999</v>
      </c>
      <c r="L8">
        <v>413594.65700000001</v>
      </c>
      <c r="M8">
        <v>0.21099999999999999</v>
      </c>
    </row>
    <row r="9" spans="1:14" x14ac:dyDescent="0.25">
      <c r="A9" t="s">
        <v>37</v>
      </c>
      <c r="B9">
        <v>14</v>
      </c>
      <c r="C9" t="s">
        <v>38</v>
      </c>
      <c r="D9">
        <v>2019</v>
      </c>
      <c r="E9">
        <v>30</v>
      </c>
      <c r="F9">
        <v>80</v>
      </c>
      <c r="G9" t="s">
        <v>17</v>
      </c>
      <c r="H9" t="s">
        <v>60</v>
      </c>
      <c r="I9" t="s">
        <v>53</v>
      </c>
      <c r="J9" t="s">
        <v>42</v>
      </c>
      <c r="K9">
        <v>4613459.3229999999</v>
      </c>
      <c r="L9">
        <v>413597.27399999998</v>
      </c>
      <c r="M9">
        <v>0.218</v>
      </c>
    </row>
    <row r="10" spans="1:14" x14ac:dyDescent="0.25">
      <c r="A10" t="s">
        <v>37</v>
      </c>
      <c r="B10">
        <v>14</v>
      </c>
      <c r="C10" t="s">
        <v>38</v>
      </c>
      <c r="D10">
        <v>2019</v>
      </c>
      <c r="E10">
        <v>30</v>
      </c>
      <c r="F10">
        <v>81</v>
      </c>
      <c r="G10" t="s">
        <v>17</v>
      </c>
      <c r="H10" t="s">
        <v>60</v>
      </c>
      <c r="I10" t="s">
        <v>53</v>
      </c>
      <c r="J10" t="s">
        <v>42</v>
      </c>
      <c r="K10">
        <v>4613460.0439999998</v>
      </c>
      <c r="L10">
        <v>413599</v>
      </c>
      <c r="M10">
        <v>0.16700000000000001</v>
      </c>
    </row>
    <row r="11" spans="1:14" x14ac:dyDescent="0.25">
      <c r="A11" t="s">
        <v>37</v>
      </c>
      <c r="B11">
        <v>14</v>
      </c>
      <c r="C11" t="s">
        <v>38</v>
      </c>
      <c r="D11">
        <v>2019</v>
      </c>
      <c r="E11">
        <v>30</v>
      </c>
      <c r="F11">
        <v>82</v>
      </c>
      <c r="G11" t="s">
        <v>17</v>
      </c>
      <c r="H11" t="s">
        <v>60</v>
      </c>
      <c r="I11" t="s">
        <v>53</v>
      </c>
      <c r="J11" t="s">
        <v>42</v>
      </c>
      <c r="K11">
        <v>4613457.1430000002</v>
      </c>
      <c r="L11">
        <v>413602.951</v>
      </c>
      <c r="M11">
        <v>-6.2E-2</v>
      </c>
    </row>
    <row r="12" spans="1:14" x14ac:dyDescent="0.25">
      <c r="A12" t="s">
        <v>37</v>
      </c>
      <c r="B12">
        <v>14</v>
      </c>
      <c r="C12" t="s">
        <v>38</v>
      </c>
      <c r="D12">
        <v>2019</v>
      </c>
      <c r="E12">
        <v>30</v>
      </c>
      <c r="F12">
        <v>83</v>
      </c>
      <c r="G12" t="s">
        <v>17</v>
      </c>
      <c r="H12" t="s">
        <v>60</v>
      </c>
      <c r="I12" t="s">
        <v>53</v>
      </c>
      <c r="J12" t="s">
        <v>42</v>
      </c>
      <c r="K12">
        <v>4613479.6050000004</v>
      </c>
      <c r="L12">
        <v>413599.147</v>
      </c>
      <c r="M12">
        <v>0.06</v>
      </c>
    </row>
    <row r="13" spans="1:14" x14ac:dyDescent="0.25">
      <c r="A13" t="s">
        <v>37</v>
      </c>
      <c r="B13">
        <v>15</v>
      </c>
      <c r="C13" t="s">
        <v>38</v>
      </c>
      <c r="D13">
        <v>2019</v>
      </c>
      <c r="E13">
        <v>48</v>
      </c>
      <c r="F13">
        <v>121</v>
      </c>
      <c r="G13" t="s">
        <v>24</v>
      </c>
      <c r="H13" t="s">
        <v>70</v>
      </c>
      <c r="I13" t="s">
        <v>53</v>
      </c>
      <c r="J13" t="s">
        <v>42</v>
      </c>
      <c r="K13">
        <v>4613904.0109999999</v>
      </c>
      <c r="L13">
        <v>413790.902</v>
      </c>
      <c r="M13">
        <v>0.51700000000000002</v>
      </c>
    </row>
    <row r="14" spans="1:14" x14ac:dyDescent="0.25">
      <c r="A14" t="s">
        <v>37</v>
      </c>
      <c r="B14">
        <v>15</v>
      </c>
      <c r="C14" t="s">
        <v>38</v>
      </c>
      <c r="D14">
        <v>2019</v>
      </c>
      <c r="E14">
        <v>48</v>
      </c>
      <c r="F14">
        <v>122</v>
      </c>
      <c r="G14" t="s">
        <v>24</v>
      </c>
      <c r="H14" t="s">
        <v>70</v>
      </c>
      <c r="I14" t="s">
        <v>53</v>
      </c>
      <c r="J14" t="s">
        <v>42</v>
      </c>
      <c r="K14">
        <v>4613900.4939999999</v>
      </c>
      <c r="L14">
        <v>413794.86599999998</v>
      </c>
      <c r="M14">
        <v>0.59899999999999998</v>
      </c>
    </row>
    <row r="15" spans="1:14" x14ac:dyDescent="0.25">
      <c r="A15" t="s">
        <v>37</v>
      </c>
      <c r="B15">
        <v>15</v>
      </c>
      <c r="C15" t="s">
        <v>38</v>
      </c>
      <c r="D15">
        <v>2019</v>
      </c>
      <c r="E15">
        <v>48</v>
      </c>
      <c r="F15">
        <v>123</v>
      </c>
      <c r="G15" t="s">
        <v>24</v>
      </c>
      <c r="H15" t="s">
        <v>70</v>
      </c>
      <c r="I15" t="s">
        <v>53</v>
      </c>
      <c r="J15" t="s">
        <v>42</v>
      </c>
      <c r="K15">
        <v>4613902.1940000001</v>
      </c>
      <c r="L15">
        <v>413799.39299999998</v>
      </c>
      <c r="M15">
        <v>0.60199999999999998</v>
      </c>
    </row>
    <row r="16" spans="1:14" x14ac:dyDescent="0.25">
      <c r="A16" t="s">
        <v>37</v>
      </c>
      <c r="B16">
        <v>15</v>
      </c>
      <c r="C16" t="s">
        <v>38</v>
      </c>
      <c r="D16">
        <v>2019</v>
      </c>
      <c r="E16">
        <v>48</v>
      </c>
      <c r="F16">
        <v>124</v>
      </c>
      <c r="G16" t="s">
        <v>24</v>
      </c>
      <c r="H16" t="s">
        <v>70</v>
      </c>
      <c r="I16" t="s">
        <v>53</v>
      </c>
      <c r="J16" t="s">
        <v>42</v>
      </c>
      <c r="K16">
        <v>4613903.5</v>
      </c>
      <c r="L16">
        <v>413802.777</v>
      </c>
      <c r="M16">
        <v>0.60499999999999998</v>
      </c>
    </row>
    <row r="17" spans="1:13" x14ac:dyDescent="0.25">
      <c r="A17" t="s">
        <v>37</v>
      </c>
      <c r="B17">
        <v>15</v>
      </c>
      <c r="C17" t="s">
        <v>38</v>
      </c>
      <c r="D17">
        <v>2019</v>
      </c>
      <c r="E17">
        <v>48</v>
      </c>
      <c r="F17">
        <v>125</v>
      </c>
      <c r="G17" t="s">
        <v>24</v>
      </c>
      <c r="H17" t="s">
        <v>70</v>
      </c>
      <c r="I17" t="s">
        <v>53</v>
      </c>
      <c r="J17" t="s">
        <v>42</v>
      </c>
      <c r="K17">
        <v>4613905.67</v>
      </c>
      <c r="L17">
        <v>413802.505</v>
      </c>
      <c r="M17">
        <v>0.45900000000000002</v>
      </c>
    </row>
    <row r="18" spans="1:13" x14ac:dyDescent="0.25">
      <c r="A18" t="s">
        <v>37</v>
      </c>
      <c r="B18">
        <v>15</v>
      </c>
      <c r="C18" t="s">
        <v>38</v>
      </c>
      <c r="D18">
        <v>2019</v>
      </c>
      <c r="E18">
        <v>49</v>
      </c>
      <c r="F18">
        <v>126</v>
      </c>
      <c r="G18" t="s">
        <v>23</v>
      </c>
      <c r="H18" t="s">
        <v>63</v>
      </c>
      <c r="I18" t="s">
        <v>53</v>
      </c>
      <c r="J18" t="s">
        <v>42</v>
      </c>
      <c r="K18">
        <v>4613904.9939999999</v>
      </c>
      <c r="L18">
        <v>413804.38299999997</v>
      </c>
      <c r="M18">
        <v>0.46</v>
      </c>
    </row>
    <row r="19" spans="1:13" x14ac:dyDescent="0.25">
      <c r="A19" t="s">
        <v>37</v>
      </c>
      <c r="B19">
        <v>15</v>
      </c>
      <c r="C19" t="s">
        <v>38</v>
      </c>
      <c r="D19">
        <v>2019</v>
      </c>
      <c r="E19">
        <v>49</v>
      </c>
      <c r="F19">
        <v>127</v>
      </c>
      <c r="G19" t="s">
        <v>23</v>
      </c>
      <c r="H19" t="s">
        <v>63</v>
      </c>
      <c r="I19" t="s">
        <v>53</v>
      </c>
      <c r="J19" t="s">
        <v>42</v>
      </c>
      <c r="K19">
        <v>4613903.3109999998</v>
      </c>
      <c r="L19">
        <v>413804.55300000001</v>
      </c>
      <c r="M19">
        <v>0.53200000000000003</v>
      </c>
    </row>
    <row r="20" spans="1:13" x14ac:dyDescent="0.25">
      <c r="A20" t="s">
        <v>37</v>
      </c>
      <c r="B20">
        <v>15</v>
      </c>
      <c r="C20" t="s">
        <v>38</v>
      </c>
      <c r="D20">
        <v>2019</v>
      </c>
      <c r="E20">
        <v>49</v>
      </c>
      <c r="F20">
        <v>128</v>
      </c>
      <c r="G20" t="s">
        <v>23</v>
      </c>
      <c r="H20" t="s">
        <v>63</v>
      </c>
      <c r="I20" t="s">
        <v>53</v>
      </c>
      <c r="J20" t="s">
        <v>42</v>
      </c>
      <c r="K20">
        <v>4613904.3870000001</v>
      </c>
      <c r="L20">
        <v>413808.34700000001</v>
      </c>
      <c r="M20">
        <v>0.48299999999999998</v>
      </c>
    </row>
    <row r="21" spans="1:13" x14ac:dyDescent="0.25">
      <c r="A21" t="s">
        <v>37</v>
      </c>
      <c r="B21">
        <v>15</v>
      </c>
      <c r="C21" t="s">
        <v>38</v>
      </c>
      <c r="D21">
        <v>2019</v>
      </c>
      <c r="E21">
        <v>49</v>
      </c>
      <c r="F21">
        <v>129</v>
      </c>
      <c r="G21" t="s">
        <v>23</v>
      </c>
      <c r="H21" t="s">
        <v>63</v>
      </c>
      <c r="I21" t="s">
        <v>53</v>
      </c>
      <c r="J21" t="s">
        <v>42</v>
      </c>
      <c r="K21">
        <v>4613905.2139999997</v>
      </c>
      <c r="L21">
        <v>413812.62599999999</v>
      </c>
      <c r="M21">
        <v>0.40699999999999997</v>
      </c>
    </row>
    <row r="22" spans="1:13" x14ac:dyDescent="0.25">
      <c r="A22" t="s">
        <v>37</v>
      </c>
      <c r="B22">
        <v>15</v>
      </c>
      <c r="C22" t="s">
        <v>38</v>
      </c>
      <c r="D22">
        <v>2019</v>
      </c>
      <c r="E22">
        <v>49</v>
      </c>
      <c r="F22">
        <v>130</v>
      </c>
      <c r="G22" t="s">
        <v>23</v>
      </c>
      <c r="H22" t="s">
        <v>63</v>
      </c>
      <c r="I22" t="s">
        <v>53</v>
      </c>
      <c r="J22" t="s">
        <v>42</v>
      </c>
      <c r="K22">
        <v>4613906.3640000001</v>
      </c>
      <c r="L22">
        <v>413813.67099999997</v>
      </c>
      <c r="M22">
        <v>0.36799999999999999</v>
      </c>
    </row>
    <row r="23" spans="1:13" x14ac:dyDescent="0.25">
      <c r="A23" t="s">
        <v>37</v>
      </c>
      <c r="B23">
        <v>15</v>
      </c>
      <c r="C23" t="s">
        <v>38</v>
      </c>
      <c r="D23">
        <v>2019</v>
      </c>
      <c r="E23">
        <v>50</v>
      </c>
      <c r="F23">
        <v>133</v>
      </c>
      <c r="G23" t="s">
        <v>24</v>
      </c>
      <c r="H23" t="s">
        <v>70</v>
      </c>
      <c r="I23" t="s">
        <v>53</v>
      </c>
      <c r="J23" t="s">
        <v>42</v>
      </c>
      <c r="K23">
        <v>4613897.2170000002</v>
      </c>
      <c r="L23">
        <v>413782.603</v>
      </c>
      <c r="M23">
        <v>0.626</v>
      </c>
    </row>
    <row r="24" spans="1:13" x14ac:dyDescent="0.25">
      <c r="A24" t="s">
        <v>37</v>
      </c>
      <c r="B24">
        <v>15</v>
      </c>
      <c r="C24" t="s">
        <v>38</v>
      </c>
      <c r="D24">
        <v>2019</v>
      </c>
      <c r="E24">
        <v>50</v>
      </c>
      <c r="F24">
        <v>134</v>
      </c>
      <c r="G24" t="s">
        <v>24</v>
      </c>
      <c r="H24" t="s">
        <v>70</v>
      </c>
      <c r="I24" t="s">
        <v>53</v>
      </c>
      <c r="J24" t="s">
        <v>42</v>
      </c>
      <c r="K24">
        <v>4613893.6169999996</v>
      </c>
      <c r="L24">
        <v>413777.26699999999</v>
      </c>
      <c r="M24">
        <v>0.68</v>
      </c>
    </row>
    <row r="25" spans="1:13" x14ac:dyDescent="0.25">
      <c r="A25" t="s">
        <v>37</v>
      </c>
      <c r="B25">
        <v>15</v>
      </c>
      <c r="C25" t="s">
        <v>38</v>
      </c>
      <c r="D25">
        <v>2019</v>
      </c>
      <c r="E25">
        <v>50</v>
      </c>
      <c r="F25">
        <v>135</v>
      </c>
      <c r="G25" t="s">
        <v>24</v>
      </c>
      <c r="H25" t="s">
        <v>70</v>
      </c>
      <c r="I25" t="s">
        <v>53</v>
      </c>
      <c r="J25" t="s">
        <v>42</v>
      </c>
      <c r="K25">
        <v>4613889.9589999998</v>
      </c>
      <c r="L25">
        <v>413775.69300000003</v>
      </c>
      <c r="M25">
        <v>0.63400000000000001</v>
      </c>
    </row>
    <row r="26" spans="1:13" x14ac:dyDescent="0.25">
      <c r="A26" t="s">
        <v>37</v>
      </c>
      <c r="B26">
        <v>15</v>
      </c>
      <c r="C26" t="s">
        <v>38</v>
      </c>
      <c r="D26">
        <v>2019</v>
      </c>
      <c r="E26">
        <v>50</v>
      </c>
      <c r="F26">
        <v>136</v>
      </c>
      <c r="G26" t="s">
        <v>24</v>
      </c>
      <c r="H26" t="s">
        <v>70</v>
      </c>
      <c r="I26" t="s">
        <v>53</v>
      </c>
      <c r="J26" t="s">
        <v>42</v>
      </c>
      <c r="K26">
        <v>4613886.676</v>
      </c>
      <c r="L26">
        <v>413771.37699999998</v>
      </c>
      <c r="M26">
        <v>0.60899999999999999</v>
      </c>
    </row>
    <row r="27" spans="1:13" x14ac:dyDescent="0.25">
      <c r="A27" t="s">
        <v>37</v>
      </c>
      <c r="B27">
        <v>15</v>
      </c>
      <c r="C27" t="s">
        <v>38</v>
      </c>
      <c r="D27">
        <v>2019</v>
      </c>
      <c r="E27">
        <v>50</v>
      </c>
      <c r="F27">
        <v>137</v>
      </c>
      <c r="G27" t="s">
        <v>24</v>
      </c>
      <c r="H27" t="s">
        <v>70</v>
      </c>
      <c r="I27" t="s">
        <v>53</v>
      </c>
      <c r="J27" t="s">
        <v>42</v>
      </c>
      <c r="K27">
        <v>4613883.7039999999</v>
      </c>
      <c r="L27">
        <v>413770.18300000002</v>
      </c>
      <c r="M27">
        <v>0.66500000000000004</v>
      </c>
    </row>
    <row r="28" spans="1:13" x14ac:dyDescent="0.25">
      <c r="A28" t="s">
        <v>37</v>
      </c>
      <c r="B28">
        <v>15</v>
      </c>
      <c r="C28" t="s">
        <v>38</v>
      </c>
      <c r="D28">
        <v>2019</v>
      </c>
      <c r="E28">
        <v>50</v>
      </c>
      <c r="F28">
        <v>138</v>
      </c>
      <c r="G28" t="s">
        <v>24</v>
      </c>
      <c r="H28" t="s">
        <v>70</v>
      </c>
      <c r="I28" t="s">
        <v>53</v>
      </c>
      <c r="J28" t="s">
        <v>42</v>
      </c>
      <c r="K28">
        <v>4613880.26</v>
      </c>
      <c r="L28">
        <v>413764.97200000001</v>
      </c>
      <c r="M28">
        <v>0.61899999999999999</v>
      </c>
    </row>
    <row r="29" spans="1:13" x14ac:dyDescent="0.25">
      <c r="A29" t="s">
        <v>37</v>
      </c>
      <c r="B29">
        <v>15</v>
      </c>
      <c r="C29" t="s">
        <v>38</v>
      </c>
      <c r="D29">
        <v>2019</v>
      </c>
      <c r="E29">
        <v>50</v>
      </c>
      <c r="F29">
        <v>139</v>
      </c>
      <c r="G29" t="s">
        <v>24</v>
      </c>
      <c r="H29" t="s">
        <v>70</v>
      </c>
      <c r="I29" t="s">
        <v>53</v>
      </c>
      <c r="J29" t="s">
        <v>42</v>
      </c>
      <c r="K29">
        <v>4613877.5209999997</v>
      </c>
      <c r="L29">
        <v>413761.16</v>
      </c>
      <c r="M29">
        <v>0.67100000000000004</v>
      </c>
    </row>
    <row r="30" spans="1:13" x14ac:dyDescent="0.25">
      <c r="A30" t="s">
        <v>37</v>
      </c>
      <c r="B30">
        <v>15</v>
      </c>
      <c r="C30" t="s">
        <v>38</v>
      </c>
      <c r="D30">
        <v>2019</v>
      </c>
      <c r="E30">
        <v>50</v>
      </c>
      <c r="F30">
        <v>140</v>
      </c>
      <c r="G30" t="s">
        <v>24</v>
      </c>
      <c r="H30" t="s">
        <v>70</v>
      </c>
      <c r="I30" t="s">
        <v>53</v>
      </c>
      <c r="J30" t="s">
        <v>42</v>
      </c>
      <c r="K30">
        <v>4613875.5269999998</v>
      </c>
      <c r="L30">
        <v>413760.05099999998</v>
      </c>
      <c r="M30">
        <v>0.63800000000000001</v>
      </c>
    </row>
    <row r="31" spans="1:13" x14ac:dyDescent="0.25">
      <c r="A31" t="s">
        <v>37</v>
      </c>
      <c r="B31">
        <v>15</v>
      </c>
      <c r="C31" t="s">
        <v>38</v>
      </c>
      <c r="D31">
        <v>2019</v>
      </c>
      <c r="E31">
        <v>50</v>
      </c>
      <c r="F31">
        <v>141</v>
      </c>
      <c r="G31" t="s">
        <v>24</v>
      </c>
      <c r="H31" t="s">
        <v>70</v>
      </c>
      <c r="I31" t="s">
        <v>53</v>
      </c>
      <c r="J31" t="s">
        <v>42</v>
      </c>
      <c r="K31">
        <v>4613877.8370000003</v>
      </c>
      <c r="L31">
        <v>413757.97200000001</v>
      </c>
      <c r="M31">
        <v>0.65100000000000002</v>
      </c>
    </row>
    <row r="32" spans="1:13" x14ac:dyDescent="0.25">
      <c r="A32" t="s">
        <v>37</v>
      </c>
      <c r="B32">
        <v>15</v>
      </c>
      <c r="C32" t="s">
        <v>38</v>
      </c>
      <c r="D32">
        <v>2019</v>
      </c>
      <c r="E32">
        <v>50</v>
      </c>
      <c r="F32">
        <v>142</v>
      </c>
      <c r="G32" t="s">
        <v>24</v>
      </c>
      <c r="H32" t="s">
        <v>70</v>
      </c>
      <c r="I32" t="s">
        <v>53</v>
      </c>
      <c r="J32" t="s">
        <v>42</v>
      </c>
      <c r="K32">
        <v>4613877.3389999997</v>
      </c>
      <c r="L32">
        <v>413754.67200000002</v>
      </c>
      <c r="M32">
        <v>0.63</v>
      </c>
    </row>
    <row r="33" spans="1:13" x14ac:dyDescent="0.25">
      <c r="A33" t="s">
        <v>37</v>
      </c>
      <c r="B33">
        <v>15</v>
      </c>
      <c r="C33" t="s">
        <v>38</v>
      </c>
      <c r="D33">
        <v>2019</v>
      </c>
      <c r="E33">
        <v>50</v>
      </c>
      <c r="F33">
        <v>143</v>
      </c>
      <c r="G33" t="s">
        <v>24</v>
      </c>
      <c r="H33" t="s">
        <v>70</v>
      </c>
      <c r="I33" t="s">
        <v>53</v>
      </c>
      <c r="J33" t="s">
        <v>42</v>
      </c>
      <c r="K33">
        <v>4613875.5449999999</v>
      </c>
      <c r="L33">
        <v>413752.11700000003</v>
      </c>
      <c r="M33">
        <v>0.65</v>
      </c>
    </row>
    <row r="34" spans="1:13" x14ac:dyDescent="0.25">
      <c r="A34" t="s">
        <v>37</v>
      </c>
      <c r="B34">
        <v>15</v>
      </c>
      <c r="C34" t="s">
        <v>38</v>
      </c>
      <c r="D34">
        <v>2019</v>
      </c>
      <c r="E34">
        <v>50</v>
      </c>
      <c r="F34">
        <v>144</v>
      </c>
      <c r="G34" t="s">
        <v>24</v>
      </c>
      <c r="H34" t="s">
        <v>70</v>
      </c>
      <c r="I34" t="s">
        <v>53</v>
      </c>
      <c r="J34" t="s">
        <v>42</v>
      </c>
      <c r="K34">
        <v>4613876.9230000004</v>
      </c>
      <c r="L34">
        <v>413751.95199999999</v>
      </c>
      <c r="M34">
        <v>0.61799999999999999</v>
      </c>
    </row>
    <row r="35" spans="1:13" x14ac:dyDescent="0.25">
      <c r="A35" t="s">
        <v>37</v>
      </c>
      <c r="B35">
        <v>15</v>
      </c>
      <c r="C35" t="s">
        <v>38</v>
      </c>
      <c r="D35">
        <v>2019</v>
      </c>
      <c r="E35">
        <v>50</v>
      </c>
      <c r="F35">
        <v>145</v>
      </c>
      <c r="G35" t="s">
        <v>24</v>
      </c>
      <c r="H35" t="s">
        <v>70</v>
      </c>
      <c r="I35" t="s">
        <v>53</v>
      </c>
      <c r="J35" t="s">
        <v>42</v>
      </c>
      <c r="K35">
        <v>4613875.1289999997</v>
      </c>
      <c r="L35">
        <v>413748.15500000003</v>
      </c>
      <c r="M35">
        <v>0.67500000000000004</v>
      </c>
    </row>
    <row r="36" spans="1:13" x14ac:dyDescent="0.25">
      <c r="A36" t="s">
        <v>37</v>
      </c>
      <c r="B36">
        <v>15</v>
      </c>
      <c r="C36" t="s">
        <v>38</v>
      </c>
      <c r="D36">
        <v>2019</v>
      </c>
      <c r="E36">
        <v>50</v>
      </c>
      <c r="F36">
        <v>146</v>
      </c>
      <c r="G36" t="s">
        <v>24</v>
      </c>
      <c r="H36" t="s">
        <v>70</v>
      </c>
      <c r="I36" t="s">
        <v>53</v>
      </c>
      <c r="J36" t="s">
        <v>42</v>
      </c>
      <c r="K36">
        <v>4613873.6370000001</v>
      </c>
      <c r="L36">
        <v>413746.09499999997</v>
      </c>
      <c r="M36">
        <v>0.64400000000000002</v>
      </c>
    </row>
    <row r="37" spans="1:13" x14ac:dyDescent="0.25">
      <c r="A37" t="s">
        <v>37</v>
      </c>
      <c r="B37">
        <v>15</v>
      </c>
      <c r="C37" t="s">
        <v>38</v>
      </c>
      <c r="D37">
        <v>2019</v>
      </c>
      <c r="E37">
        <v>50</v>
      </c>
      <c r="F37">
        <v>147</v>
      </c>
      <c r="G37" t="s">
        <v>24</v>
      </c>
      <c r="H37" t="s">
        <v>70</v>
      </c>
      <c r="I37" t="s">
        <v>53</v>
      </c>
      <c r="J37" t="s">
        <v>42</v>
      </c>
      <c r="K37">
        <v>4613870.5990000004</v>
      </c>
      <c r="L37">
        <v>413744.82</v>
      </c>
      <c r="M37">
        <v>0.63500000000000001</v>
      </c>
    </row>
    <row r="38" spans="1:13" x14ac:dyDescent="0.25">
      <c r="A38" t="s">
        <v>37</v>
      </c>
      <c r="B38">
        <v>15</v>
      </c>
      <c r="C38" t="s">
        <v>38</v>
      </c>
      <c r="D38">
        <v>2019</v>
      </c>
      <c r="E38">
        <v>50</v>
      </c>
      <c r="F38">
        <v>148</v>
      </c>
      <c r="G38" t="s">
        <v>24</v>
      </c>
      <c r="H38" t="s">
        <v>70</v>
      </c>
      <c r="I38" t="s">
        <v>53</v>
      </c>
      <c r="J38" t="s">
        <v>42</v>
      </c>
      <c r="K38">
        <v>4613871.0199999996</v>
      </c>
      <c r="L38">
        <v>413742.97499999998</v>
      </c>
      <c r="M38">
        <v>0.60399999999999998</v>
      </c>
    </row>
    <row r="39" spans="1:13" x14ac:dyDescent="0.25">
      <c r="A39" t="s">
        <v>37</v>
      </c>
      <c r="B39">
        <v>15</v>
      </c>
      <c r="C39" t="s">
        <v>38</v>
      </c>
      <c r="D39">
        <v>2019</v>
      </c>
      <c r="E39">
        <v>50</v>
      </c>
      <c r="F39">
        <v>149</v>
      </c>
      <c r="G39" t="s">
        <v>24</v>
      </c>
      <c r="H39" t="s">
        <v>70</v>
      </c>
      <c r="I39" t="s">
        <v>53</v>
      </c>
      <c r="J39" t="s">
        <v>42</v>
      </c>
      <c r="K39">
        <v>4613878.6500000004</v>
      </c>
      <c r="L39">
        <v>413742.30200000003</v>
      </c>
      <c r="M39">
        <v>0.629</v>
      </c>
    </row>
    <row r="40" spans="1:13" x14ac:dyDescent="0.25">
      <c r="A40" t="s">
        <v>37</v>
      </c>
      <c r="B40">
        <v>15</v>
      </c>
      <c r="C40" t="s">
        <v>38</v>
      </c>
      <c r="D40">
        <v>2019</v>
      </c>
      <c r="E40">
        <v>50</v>
      </c>
      <c r="F40">
        <v>150</v>
      </c>
      <c r="G40" t="s">
        <v>24</v>
      </c>
      <c r="H40" t="s">
        <v>70</v>
      </c>
      <c r="I40" t="s">
        <v>53</v>
      </c>
      <c r="J40" t="s">
        <v>42</v>
      </c>
      <c r="K40">
        <v>4613887.7860000003</v>
      </c>
      <c r="L40">
        <v>413744.859</v>
      </c>
      <c r="M40">
        <v>0.72599999999999998</v>
      </c>
    </row>
    <row r="41" spans="1:13" x14ac:dyDescent="0.25">
      <c r="A41" t="s">
        <v>37</v>
      </c>
      <c r="B41">
        <v>15</v>
      </c>
      <c r="C41" t="s">
        <v>38</v>
      </c>
      <c r="D41">
        <v>2019</v>
      </c>
      <c r="E41">
        <v>91</v>
      </c>
      <c r="F41">
        <v>231</v>
      </c>
      <c r="G41" t="s">
        <v>8</v>
      </c>
      <c r="H41" t="s">
        <v>50</v>
      </c>
      <c r="I41" t="s">
        <v>53</v>
      </c>
      <c r="J41" t="s">
        <v>42</v>
      </c>
      <c r="K41">
        <v>4613908.9330000002</v>
      </c>
      <c r="L41">
        <v>413686.9</v>
      </c>
      <c r="M41">
        <v>1.081</v>
      </c>
    </row>
    <row r="42" spans="1:13" x14ac:dyDescent="0.25">
      <c r="A42" t="s">
        <v>37</v>
      </c>
      <c r="B42">
        <v>15</v>
      </c>
      <c r="C42" t="s">
        <v>38</v>
      </c>
      <c r="D42">
        <v>2019</v>
      </c>
      <c r="E42">
        <v>91</v>
      </c>
      <c r="F42">
        <v>232</v>
      </c>
      <c r="G42" t="s">
        <v>8</v>
      </c>
      <c r="H42" t="s">
        <v>50</v>
      </c>
      <c r="I42" t="s">
        <v>53</v>
      </c>
      <c r="J42" t="s">
        <v>42</v>
      </c>
      <c r="K42">
        <v>4613903.5389999999</v>
      </c>
      <c r="L42">
        <v>413668.288</v>
      </c>
      <c r="M42">
        <v>0.71899999999999997</v>
      </c>
    </row>
    <row r="43" spans="1:13" x14ac:dyDescent="0.25">
      <c r="A43" t="s">
        <v>37</v>
      </c>
      <c r="B43">
        <v>15</v>
      </c>
      <c r="C43" t="s">
        <v>38</v>
      </c>
      <c r="D43">
        <v>2019</v>
      </c>
      <c r="E43">
        <v>91</v>
      </c>
      <c r="F43">
        <v>233</v>
      </c>
      <c r="G43" t="s">
        <v>8</v>
      </c>
      <c r="H43" t="s">
        <v>50</v>
      </c>
      <c r="I43" t="s">
        <v>53</v>
      </c>
      <c r="J43" t="s">
        <v>42</v>
      </c>
      <c r="K43">
        <v>4613905.273</v>
      </c>
      <c r="L43">
        <v>413668.42099999997</v>
      </c>
      <c r="M43">
        <v>0.28999999999999998</v>
      </c>
    </row>
    <row r="44" spans="1:13" x14ac:dyDescent="0.25">
      <c r="A44" t="s">
        <v>37</v>
      </c>
      <c r="B44">
        <v>15</v>
      </c>
      <c r="C44" t="s">
        <v>38</v>
      </c>
      <c r="D44">
        <v>2019</v>
      </c>
      <c r="E44">
        <v>91</v>
      </c>
      <c r="F44">
        <v>234</v>
      </c>
      <c r="G44" t="s">
        <v>8</v>
      </c>
      <c r="H44" t="s">
        <v>50</v>
      </c>
      <c r="I44" t="s">
        <v>53</v>
      </c>
      <c r="J44" t="s">
        <v>42</v>
      </c>
      <c r="K44">
        <v>4613909.3219999997</v>
      </c>
      <c r="L44">
        <v>413680.34700000001</v>
      </c>
      <c r="M44">
        <v>0.55500000000000005</v>
      </c>
    </row>
    <row r="45" spans="1:13" x14ac:dyDescent="0.25">
      <c r="A45" t="s">
        <v>37</v>
      </c>
      <c r="B45">
        <v>15</v>
      </c>
      <c r="C45" t="s">
        <v>38</v>
      </c>
      <c r="D45">
        <v>2019</v>
      </c>
      <c r="E45">
        <v>91</v>
      </c>
      <c r="F45">
        <v>235</v>
      </c>
      <c r="G45" t="s">
        <v>8</v>
      </c>
      <c r="H45" t="s">
        <v>50</v>
      </c>
      <c r="I45" t="s">
        <v>53</v>
      </c>
      <c r="J45" t="s">
        <v>42</v>
      </c>
      <c r="K45">
        <v>4613921.1140000001</v>
      </c>
      <c r="L45">
        <v>413674.38099999999</v>
      </c>
      <c r="M45">
        <v>0.38300000000000001</v>
      </c>
    </row>
    <row r="46" spans="1:13" x14ac:dyDescent="0.25">
      <c r="A46" t="s">
        <v>37</v>
      </c>
      <c r="B46">
        <v>15</v>
      </c>
      <c r="C46" t="s">
        <v>38</v>
      </c>
      <c r="D46">
        <v>2019</v>
      </c>
      <c r="E46">
        <v>91</v>
      </c>
      <c r="F46">
        <v>236</v>
      </c>
      <c r="G46" t="s">
        <v>8</v>
      </c>
      <c r="H46" t="s">
        <v>50</v>
      </c>
      <c r="I46" t="s">
        <v>53</v>
      </c>
      <c r="J46" t="s">
        <v>42</v>
      </c>
      <c r="K46">
        <v>4613927.6789999995</v>
      </c>
      <c r="L46">
        <v>413676.68900000001</v>
      </c>
      <c r="M46">
        <v>0.49199999999999999</v>
      </c>
    </row>
    <row r="47" spans="1:13" x14ac:dyDescent="0.25">
      <c r="A47" t="s">
        <v>37</v>
      </c>
      <c r="B47">
        <v>15</v>
      </c>
      <c r="C47" t="s">
        <v>38</v>
      </c>
      <c r="D47">
        <v>2019</v>
      </c>
      <c r="E47">
        <v>91</v>
      </c>
      <c r="F47">
        <v>237</v>
      </c>
      <c r="G47" t="s">
        <v>8</v>
      </c>
      <c r="H47" t="s">
        <v>50</v>
      </c>
      <c r="I47" t="s">
        <v>53</v>
      </c>
      <c r="J47" t="s">
        <v>42</v>
      </c>
      <c r="K47">
        <v>4613940.2439999999</v>
      </c>
      <c r="L47">
        <v>413683.02799999999</v>
      </c>
      <c r="M47">
        <v>0.46600000000000003</v>
      </c>
    </row>
    <row r="48" spans="1:13" x14ac:dyDescent="0.25">
      <c r="A48" t="s">
        <v>37</v>
      </c>
      <c r="B48">
        <v>15</v>
      </c>
      <c r="C48" t="s">
        <v>38</v>
      </c>
      <c r="D48">
        <v>2019</v>
      </c>
      <c r="E48">
        <v>91</v>
      </c>
      <c r="F48">
        <v>238</v>
      </c>
      <c r="G48" t="s">
        <v>8</v>
      </c>
      <c r="H48" t="s">
        <v>50</v>
      </c>
      <c r="I48" t="s">
        <v>53</v>
      </c>
      <c r="J48" t="s">
        <v>42</v>
      </c>
      <c r="K48">
        <v>4613937.091</v>
      </c>
      <c r="L48">
        <v>413687.25199999998</v>
      </c>
      <c r="M48">
        <v>0.50800000000000001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GroundTruthData_2019_All_revise</vt:lpstr>
      <vt:lpstr>Line</vt:lpstr>
      <vt:lpstr>MU</vt:lpstr>
      <vt:lpstr>Poly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Wicks</dc:creator>
  <cp:lastModifiedBy>Ryan Wicks</cp:lastModifiedBy>
  <dcterms:created xsi:type="dcterms:W3CDTF">2020-09-13T16:22:47Z</dcterms:created>
  <dcterms:modified xsi:type="dcterms:W3CDTF">2025-03-18T19:57:24Z</dcterms:modified>
</cp:coreProperties>
</file>