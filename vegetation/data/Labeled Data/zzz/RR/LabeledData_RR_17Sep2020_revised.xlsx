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6-MI-dco6FLWkZmTDZ4MFhRU1k\7. SaltMUAS_share\In Situ Data Collection\Red River\Ground Truthing\NAD83 UTM19N\"/>
    </mc:Choice>
  </mc:AlternateContent>
  <xr:revisionPtr revIDLastSave="0" documentId="13_ncr:1_{4DA32D87-CEFA-42FC-8EC0-B89898C6F15D}" xr6:coauthVersionLast="47" xr6:coauthVersionMax="47" xr10:uidLastSave="{00000000-0000-0000-0000-000000000000}"/>
  <bookViews>
    <workbookView xWindow="-110" yWindow="-110" windowWidth="19420" windowHeight="11620" activeTab="3" xr2:uid="{970AE1F5-6E06-476C-BB2F-E81B20EF88D8}"/>
  </bookViews>
  <sheets>
    <sheet name="redriver17sept2020_revised" sheetId="1" r:id="rId1"/>
    <sheet name="Line" sheetId="2" r:id="rId2"/>
    <sheet name="MU" sheetId="3" r:id="rId3"/>
    <sheet name="Poly" sheetId="4" r:id="rId4"/>
  </sheets>
  <definedNames>
    <definedName name="_xlnm._FilterDatabase" localSheetId="0" hidden="1">redriver17sept2020_revised!$A$1:$N$87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" i="1" l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I74" i="1"/>
  <c r="H74" i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I64" i="1"/>
  <c r="H64" i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I42" i="1"/>
  <c r="H42" i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I22" i="1"/>
  <c r="H22" i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<sst xmlns="http://schemas.openxmlformats.org/spreadsheetml/2006/main" count="945" uniqueCount="74">
  <si>
    <t>Site</t>
  </si>
  <si>
    <t>Day</t>
  </si>
  <si>
    <t>Month</t>
  </si>
  <si>
    <t>Year</t>
  </si>
  <si>
    <t>PolygonNum</t>
  </si>
  <si>
    <t>PointNum</t>
  </si>
  <si>
    <t>Sub&amp;Att</t>
  </si>
  <si>
    <t>Subclass</t>
  </si>
  <si>
    <t>Attributes</t>
  </si>
  <si>
    <t>SampFormat</t>
  </si>
  <si>
    <t>Northing</t>
  </si>
  <si>
    <t>Easting</t>
  </si>
  <si>
    <t>Altitude</t>
  </si>
  <si>
    <t>RR</t>
  </si>
  <si>
    <t>Sep</t>
  </si>
  <si>
    <t>01af</t>
  </si>
  <si>
    <t>flowering</t>
  </si>
  <si>
    <t>not flowering</t>
  </si>
  <si>
    <t>03a</t>
  </si>
  <si>
    <t>03b</t>
  </si>
  <si>
    <t>thinning, water pooling at low tide</t>
  </si>
  <si>
    <t>water not pooling</t>
  </si>
  <si>
    <t>02a</t>
  </si>
  <si>
    <t>flowering, water pooling at low tide</t>
  </si>
  <si>
    <t>02b</t>
  </si>
  <si>
    <t>water pooling at low tide</t>
  </si>
  <si>
    <t>1 mu</t>
  </si>
  <si>
    <t>25j</t>
  </si>
  <si>
    <t>polygon</t>
  </si>
  <si>
    <t>01aef</t>
  </si>
  <si>
    <t>10a</t>
  </si>
  <si>
    <t>mixed with SP / DS with 10% short form. Sand substrate</t>
  </si>
  <si>
    <t>1 mu sand and shells</t>
  </si>
  <si>
    <t>11a</t>
  </si>
  <si>
    <t>mixed with flowering goldenrod</t>
  </si>
  <si>
    <t>06a</t>
  </si>
  <si>
    <t>07a</t>
  </si>
  <si>
    <t>goldenrod partially flowering</t>
  </si>
  <si>
    <t>09i</t>
  </si>
  <si>
    <t>bushes ~1m tall</t>
  </si>
  <si>
    <t>poison ivy</t>
  </si>
  <si>
    <t>04a</t>
  </si>
  <si>
    <t>sp is flowering</t>
  </si>
  <si>
    <t>12a</t>
  </si>
  <si>
    <t xml:space="preserve">1 mu </t>
  </si>
  <si>
    <t>with myrtly and goldenrod</t>
  </si>
  <si>
    <t>09a</t>
  </si>
  <si>
    <t>with goldenrod</t>
  </si>
  <si>
    <t>01b</t>
  </si>
  <si>
    <t>stunted</t>
  </si>
  <si>
    <t>Poly</t>
  </si>
  <si>
    <t>Notes</t>
  </si>
  <si>
    <t>Line</t>
  </si>
  <si>
    <t>01</t>
  </si>
  <si>
    <t>af</t>
  </si>
  <si>
    <t>03</t>
  </si>
  <si>
    <t>a</t>
  </si>
  <si>
    <t>b</t>
  </si>
  <si>
    <t>02</t>
  </si>
  <si>
    <t>aef</t>
  </si>
  <si>
    <t>10</t>
  </si>
  <si>
    <t>11</t>
  </si>
  <si>
    <t>06</t>
  </si>
  <si>
    <t>07</t>
  </si>
  <si>
    <t>09</t>
  </si>
  <si>
    <t>i</t>
  </si>
  <si>
    <t>04</t>
  </si>
  <si>
    <t>12</t>
  </si>
  <si>
    <t>MU</t>
  </si>
  <si>
    <t>33</t>
  </si>
  <si>
    <t/>
  </si>
  <si>
    <t>31</t>
  </si>
  <si>
    <t>25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</si>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</sst>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8F3A-3450-42C0-A9CF-4C3FF7605DC7}">
  <dimension ref="A1:N87"/>
  <sheetViews>
    <sheetView workbookViewId="0">
      <selection activeCell="D5" sqref="D5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51</v>
      </c>
    </row>
    <row r="2" spans="1:14" x14ac:dyDescent="0.35">
      <c r="A2" t="s">
        <v>13</v>
      </c>
      <c r="B2">
        <v>17</v>
      </c>
      <c r="C2" t="s">
        <v>14</v>
      </c>
      <c r="D2">
        <v>2020</v>
      </c>
      <c r="E2">
        <v>1</v>
      </c>
      <c r="F2">
        <v>2</v>
      </c>
      <c r="G2" t="s">
        <v>15</v>
      </c>
      <c r="H2" t="str">
        <f t="shared" ref="H2:H33" si="0">LEFT(G2,2)</f>
        <v>01</v>
      </c>
      <c r="I2" t="str">
        <f t="shared" ref="I2:I33" si="1">RIGHT(G2,LEN(G2)-LEN(H2))</f>
        <v>af</v>
      </c>
      <c r="J2" t="str">
        <f t="shared" ref="J2:J22" si="2">IF(OR((E2=E3),(E2=E1)),"Line","MU")</f>
        <v>Line</v>
      </c>
      <c r="K2">
        <v>4613710.6979999999</v>
      </c>
      <c r="L2">
        <v>413679.90500000003</v>
      </c>
      <c r="M2">
        <v>0.26600000000000001</v>
      </c>
      <c r="N2" t="s">
        <v>16</v>
      </c>
    </row>
    <row r="3" spans="1:14" x14ac:dyDescent="0.35">
      <c r="A3" t="s">
        <v>13</v>
      </c>
      <c r="B3">
        <v>17</v>
      </c>
      <c r="C3" t="s">
        <v>14</v>
      </c>
      <c r="D3">
        <v>2020</v>
      </c>
      <c r="E3">
        <v>1</v>
      </c>
      <c r="F3">
        <v>3</v>
      </c>
      <c r="G3" t="s">
        <v>15</v>
      </c>
      <c r="H3" t="str">
        <f t="shared" si="0"/>
        <v>01</v>
      </c>
      <c r="I3" t="str">
        <f t="shared" si="1"/>
        <v>af</v>
      </c>
      <c r="J3" t="str">
        <f t="shared" si="2"/>
        <v>Line</v>
      </c>
      <c r="K3">
        <v>4613716.2740000002</v>
      </c>
      <c r="L3">
        <v>413685.39899999998</v>
      </c>
      <c r="M3">
        <v>0.185</v>
      </c>
      <c r="N3" t="s">
        <v>16</v>
      </c>
    </row>
    <row r="4" spans="1:14" x14ac:dyDescent="0.35">
      <c r="A4" t="s">
        <v>13</v>
      </c>
      <c r="B4">
        <v>17</v>
      </c>
      <c r="C4" t="s">
        <v>14</v>
      </c>
      <c r="D4">
        <v>2020</v>
      </c>
      <c r="E4">
        <v>1</v>
      </c>
      <c r="F4">
        <v>4</v>
      </c>
      <c r="G4" t="s">
        <v>15</v>
      </c>
      <c r="H4" t="str">
        <f t="shared" si="0"/>
        <v>01</v>
      </c>
      <c r="I4" t="str">
        <f t="shared" si="1"/>
        <v>af</v>
      </c>
      <c r="J4" t="str">
        <f t="shared" si="2"/>
        <v>Line</v>
      </c>
      <c r="K4">
        <v>4613714.5580000002</v>
      </c>
      <c r="L4">
        <v>413686.83899999998</v>
      </c>
      <c r="M4">
        <v>0.28100000000000003</v>
      </c>
      <c r="N4" t="s">
        <v>17</v>
      </c>
    </row>
    <row r="5" spans="1:14" x14ac:dyDescent="0.35">
      <c r="A5" t="s">
        <v>13</v>
      </c>
      <c r="B5">
        <v>17</v>
      </c>
      <c r="C5" t="s">
        <v>14</v>
      </c>
      <c r="D5">
        <v>2020</v>
      </c>
      <c r="E5">
        <v>2</v>
      </c>
      <c r="F5">
        <v>5</v>
      </c>
      <c r="G5" t="s">
        <v>18</v>
      </c>
      <c r="H5" t="str">
        <f t="shared" si="0"/>
        <v>03</v>
      </c>
      <c r="I5" t="str">
        <f t="shared" si="1"/>
        <v>a</v>
      </c>
      <c r="J5" t="str">
        <f t="shared" si="2"/>
        <v>Line</v>
      </c>
      <c r="K5">
        <v>4613713.3360000001</v>
      </c>
      <c r="L5">
        <v>413688.21799999999</v>
      </c>
      <c r="M5">
        <v>0.38600000000000001</v>
      </c>
    </row>
    <row r="6" spans="1:14" x14ac:dyDescent="0.35">
      <c r="A6" t="s">
        <v>13</v>
      </c>
      <c r="B6">
        <v>17</v>
      </c>
      <c r="C6" t="s">
        <v>14</v>
      </c>
      <c r="D6">
        <v>2020</v>
      </c>
      <c r="E6">
        <v>2</v>
      </c>
      <c r="F6">
        <v>6</v>
      </c>
      <c r="G6" t="s">
        <v>18</v>
      </c>
      <c r="H6" t="str">
        <f t="shared" si="0"/>
        <v>03</v>
      </c>
      <c r="I6" t="str">
        <f t="shared" si="1"/>
        <v>a</v>
      </c>
      <c r="J6" t="str">
        <f t="shared" si="2"/>
        <v>Line</v>
      </c>
      <c r="K6">
        <v>4613712.4189999998</v>
      </c>
      <c r="L6">
        <v>413689.23100000003</v>
      </c>
      <c r="M6">
        <v>0.36099999999999999</v>
      </c>
    </row>
    <row r="7" spans="1:14" x14ac:dyDescent="0.35">
      <c r="A7" t="s">
        <v>13</v>
      </c>
      <c r="B7">
        <v>17</v>
      </c>
      <c r="C7" t="s">
        <v>14</v>
      </c>
      <c r="D7">
        <v>2020</v>
      </c>
      <c r="E7">
        <v>3</v>
      </c>
      <c r="F7">
        <v>7</v>
      </c>
      <c r="G7" t="s">
        <v>19</v>
      </c>
      <c r="H7" t="str">
        <f t="shared" si="0"/>
        <v>03</v>
      </c>
      <c r="I7" t="str">
        <f t="shared" si="1"/>
        <v>b</v>
      </c>
      <c r="J7" t="str">
        <f t="shared" si="2"/>
        <v>Line</v>
      </c>
      <c r="K7">
        <v>4613711.591</v>
      </c>
      <c r="L7">
        <v>413690.30300000001</v>
      </c>
      <c r="M7">
        <v>0.36699999999999999</v>
      </c>
      <c r="N7" t="s">
        <v>20</v>
      </c>
    </row>
    <row r="8" spans="1:14" x14ac:dyDescent="0.35">
      <c r="A8" t="s">
        <v>13</v>
      </c>
      <c r="B8">
        <v>17</v>
      </c>
      <c r="C8" t="s">
        <v>14</v>
      </c>
      <c r="D8">
        <v>2020</v>
      </c>
      <c r="E8">
        <v>3</v>
      </c>
      <c r="F8">
        <v>8</v>
      </c>
      <c r="G8" t="s">
        <v>19</v>
      </c>
      <c r="H8" t="str">
        <f t="shared" si="0"/>
        <v>03</v>
      </c>
      <c r="I8" t="str">
        <f t="shared" si="1"/>
        <v>b</v>
      </c>
      <c r="J8" t="str">
        <f t="shared" si="2"/>
        <v>Line</v>
      </c>
      <c r="K8">
        <v>4613710.9369999999</v>
      </c>
      <c r="L8">
        <v>413691.56300000002</v>
      </c>
      <c r="M8">
        <v>0.38300000000000001</v>
      </c>
      <c r="N8" t="s">
        <v>20</v>
      </c>
    </row>
    <row r="9" spans="1:14" x14ac:dyDescent="0.35">
      <c r="A9" t="s">
        <v>13</v>
      </c>
      <c r="B9">
        <v>17</v>
      </c>
      <c r="C9" t="s">
        <v>14</v>
      </c>
      <c r="D9">
        <v>2020</v>
      </c>
      <c r="E9">
        <v>4</v>
      </c>
      <c r="F9">
        <v>9</v>
      </c>
      <c r="G9" t="s">
        <v>18</v>
      </c>
      <c r="H9" t="str">
        <f t="shared" si="0"/>
        <v>03</v>
      </c>
      <c r="I9" t="str">
        <f t="shared" si="1"/>
        <v>a</v>
      </c>
      <c r="J9" t="str">
        <f t="shared" si="2"/>
        <v>Line</v>
      </c>
      <c r="K9">
        <v>4613710.1519999998</v>
      </c>
      <c r="L9">
        <v>413692.77500000002</v>
      </c>
      <c r="M9">
        <v>0.38800000000000001</v>
      </c>
      <c r="N9" t="s">
        <v>21</v>
      </c>
    </row>
    <row r="10" spans="1:14" x14ac:dyDescent="0.35">
      <c r="A10" t="s">
        <v>13</v>
      </c>
      <c r="B10">
        <v>17</v>
      </c>
      <c r="C10" t="s">
        <v>14</v>
      </c>
      <c r="D10">
        <v>2020</v>
      </c>
      <c r="E10">
        <v>4</v>
      </c>
      <c r="F10">
        <v>10</v>
      </c>
      <c r="G10" t="s">
        <v>18</v>
      </c>
      <c r="H10" t="str">
        <f t="shared" si="0"/>
        <v>03</v>
      </c>
      <c r="I10" t="str">
        <f t="shared" si="1"/>
        <v>a</v>
      </c>
      <c r="J10" t="str">
        <f t="shared" si="2"/>
        <v>Line</v>
      </c>
      <c r="K10">
        <v>4613709.4939999999</v>
      </c>
      <c r="L10">
        <v>413693.76500000001</v>
      </c>
      <c r="M10">
        <v>0.40899999999999997</v>
      </c>
    </row>
    <row r="11" spans="1:14" x14ac:dyDescent="0.35">
      <c r="A11" t="s">
        <v>13</v>
      </c>
      <c r="B11">
        <v>17</v>
      </c>
      <c r="C11" t="s">
        <v>14</v>
      </c>
      <c r="D11">
        <v>2020</v>
      </c>
      <c r="E11">
        <v>5</v>
      </c>
      <c r="F11">
        <v>11</v>
      </c>
      <c r="G11" t="s">
        <v>22</v>
      </c>
      <c r="H11" t="str">
        <f t="shared" si="0"/>
        <v>02</v>
      </c>
      <c r="I11" t="str">
        <f t="shared" si="1"/>
        <v>a</v>
      </c>
      <c r="J11" t="str">
        <f t="shared" si="2"/>
        <v>Line</v>
      </c>
      <c r="K11">
        <v>4613708.983</v>
      </c>
      <c r="L11">
        <v>413695.212</v>
      </c>
      <c r="M11">
        <v>0.35899999999999999</v>
      </c>
      <c r="N11" t="s">
        <v>23</v>
      </c>
    </row>
    <row r="12" spans="1:14" x14ac:dyDescent="0.35">
      <c r="A12" t="s">
        <v>13</v>
      </c>
      <c r="B12">
        <v>17</v>
      </c>
      <c r="C12" t="s">
        <v>14</v>
      </c>
      <c r="D12">
        <v>2020</v>
      </c>
      <c r="E12">
        <v>5</v>
      </c>
      <c r="F12">
        <v>12</v>
      </c>
      <c r="G12" t="s">
        <v>22</v>
      </c>
      <c r="H12" t="str">
        <f t="shared" si="0"/>
        <v>02</v>
      </c>
      <c r="I12" t="str">
        <f t="shared" si="1"/>
        <v>a</v>
      </c>
      <c r="J12" t="str">
        <f t="shared" si="2"/>
        <v>Line</v>
      </c>
      <c r="K12">
        <v>4613710.8210000005</v>
      </c>
      <c r="L12">
        <v>413702.54399999999</v>
      </c>
      <c r="M12">
        <v>0.38900000000000001</v>
      </c>
      <c r="N12" t="s">
        <v>23</v>
      </c>
    </row>
    <row r="13" spans="1:14" x14ac:dyDescent="0.35">
      <c r="A13" t="s">
        <v>13</v>
      </c>
      <c r="B13">
        <v>17</v>
      </c>
      <c r="C13" t="s">
        <v>14</v>
      </c>
      <c r="D13">
        <v>2020</v>
      </c>
      <c r="E13">
        <v>6</v>
      </c>
      <c r="F13">
        <v>13</v>
      </c>
      <c r="G13" t="s">
        <v>18</v>
      </c>
      <c r="H13" t="str">
        <f t="shared" si="0"/>
        <v>03</v>
      </c>
      <c r="I13" t="str">
        <f t="shared" si="1"/>
        <v>a</v>
      </c>
      <c r="J13" t="str">
        <f t="shared" si="2"/>
        <v>Line</v>
      </c>
      <c r="K13">
        <v>4613711.0329999998</v>
      </c>
      <c r="L13">
        <v>413704.12300000002</v>
      </c>
      <c r="M13">
        <v>0.46300000000000002</v>
      </c>
    </row>
    <row r="14" spans="1:14" x14ac:dyDescent="0.35">
      <c r="A14" t="s">
        <v>13</v>
      </c>
      <c r="B14">
        <v>17</v>
      </c>
      <c r="C14" t="s">
        <v>14</v>
      </c>
      <c r="D14">
        <v>2020</v>
      </c>
      <c r="E14">
        <v>6</v>
      </c>
      <c r="F14">
        <v>14</v>
      </c>
      <c r="G14" t="s">
        <v>18</v>
      </c>
      <c r="H14" t="str">
        <f t="shared" si="0"/>
        <v>03</v>
      </c>
      <c r="I14" t="str">
        <f t="shared" si="1"/>
        <v>a</v>
      </c>
      <c r="J14" t="str">
        <f t="shared" si="2"/>
        <v>Line</v>
      </c>
      <c r="K14">
        <v>4613702.6569999997</v>
      </c>
      <c r="L14">
        <v>413705.84899999999</v>
      </c>
      <c r="M14">
        <v>0.498</v>
      </c>
    </row>
    <row r="15" spans="1:14" x14ac:dyDescent="0.35">
      <c r="A15" t="s">
        <v>13</v>
      </c>
      <c r="B15">
        <v>17</v>
      </c>
      <c r="C15" t="s">
        <v>14</v>
      </c>
      <c r="D15">
        <v>2020</v>
      </c>
      <c r="E15">
        <v>7</v>
      </c>
      <c r="F15">
        <v>15</v>
      </c>
      <c r="G15" t="s">
        <v>24</v>
      </c>
      <c r="H15" t="str">
        <f t="shared" si="0"/>
        <v>02</v>
      </c>
      <c r="I15" t="str">
        <f t="shared" si="1"/>
        <v>b</v>
      </c>
      <c r="J15" t="str">
        <f t="shared" si="2"/>
        <v>MU</v>
      </c>
      <c r="K15">
        <v>4613702.3490000004</v>
      </c>
      <c r="L15">
        <v>413704.56099999999</v>
      </c>
      <c r="M15">
        <v>0.44800000000000001</v>
      </c>
      <c r="N15" t="s">
        <v>23</v>
      </c>
    </row>
    <row r="16" spans="1:14" x14ac:dyDescent="0.35">
      <c r="A16" t="s">
        <v>13</v>
      </c>
      <c r="B16">
        <v>17</v>
      </c>
      <c r="C16" t="s">
        <v>14</v>
      </c>
      <c r="D16">
        <v>2020</v>
      </c>
      <c r="E16">
        <v>8</v>
      </c>
      <c r="F16">
        <v>16</v>
      </c>
      <c r="G16" t="s">
        <v>18</v>
      </c>
      <c r="H16" t="str">
        <f t="shared" si="0"/>
        <v>03</v>
      </c>
      <c r="I16" t="str">
        <f t="shared" si="1"/>
        <v>a</v>
      </c>
      <c r="J16" t="str">
        <f t="shared" si="2"/>
        <v>Line</v>
      </c>
      <c r="K16">
        <v>4613700.6940000001</v>
      </c>
      <c r="L16">
        <v>413704.44699999999</v>
      </c>
      <c r="M16">
        <v>0.48899999999999999</v>
      </c>
      <c r="N16" t="s">
        <v>21</v>
      </c>
    </row>
    <row r="17" spans="1:14" x14ac:dyDescent="0.35">
      <c r="A17" t="s">
        <v>13</v>
      </c>
      <c r="B17">
        <v>17</v>
      </c>
      <c r="C17" t="s">
        <v>14</v>
      </c>
      <c r="D17">
        <v>2020</v>
      </c>
      <c r="E17">
        <v>8</v>
      </c>
      <c r="F17">
        <v>17</v>
      </c>
      <c r="G17" t="s">
        <v>18</v>
      </c>
      <c r="H17" t="str">
        <f t="shared" si="0"/>
        <v>03</v>
      </c>
      <c r="I17" t="str">
        <f t="shared" si="1"/>
        <v>a</v>
      </c>
      <c r="J17" t="str">
        <f t="shared" si="2"/>
        <v>Line</v>
      </c>
      <c r="K17">
        <v>4613696.5420000004</v>
      </c>
      <c r="L17">
        <v>413705.59899999999</v>
      </c>
      <c r="M17">
        <v>0.53100000000000003</v>
      </c>
    </row>
    <row r="18" spans="1:14" x14ac:dyDescent="0.35">
      <c r="A18" t="s">
        <v>13</v>
      </c>
      <c r="B18">
        <v>17</v>
      </c>
      <c r="C18" t="s">
        <v>14</v>
      </c>
      <c r="D18">
        <v>2020</v>
      </c>
      <c r="E18">
        <v>9</v>
      </c>
      <c r="F18">
        <v>18</v>
      </c>
      <c r="G18" t="s">
        <v>19</v>
      </c>
      <c r="H18" t="str">
        <f t="shared" si="0"/>
        <v>03</v>
      </c>
      <c r="I18" t="str">
        <f t="shared" si="1"/>
        <v>b</v>
      </c>
      <c r="J18" t="str">
        <f t="shared" si="2"/>
        <v>Line</v>
      </c>
      <c r="K18">
        <v>4613695.773</v>
      </c>
      <c r="L18">
        <v>413706.70500000002</v>
      </c>
      <c r="M18">
        <v>0.49</v>
      </c>
    </row>
    <row r="19" spans="1:14" x14ac:dyDescent="0.35">
      <c r="A19" t="s">
        <v>13</v>
      </c>
      <c r="B19">
        <v>17</v>
      </c>
      <c r="C19" t="s">
        <v>14</v>
      </c>
      <c r="D19">
        <v>2020</v>
      </c>
      <c r="E19">
        <v>9</v>
      </c>
      <c r="F19">
        <v>19</v>
      </c>
      <c r="G19" t="s">
        <v>19</v>
      </c>
      <c r="H19" t="str">
        <f t="shared" si="0"/>
        <v>03</v>
      </c>
      <c r="I19" t="str">
        <f t="shared" si="1"/>
        <v>b</v>
      </c>
      <c r="J19" t="str">
        <f t="shared" si="2"/>
        <v>Line</v>
      </c>
      <c r="K19">
        <v>4613694.4460000005</v>
      </c>
      <c r="L19">
        <v>413706.99200000003</v>
      </c>
      <c r="M19">
        <v>0.502</v>
      </c>
      <c r="N19" t="s">
        <v>25</v>
      </c>
    </row>
    <row r="20" spans="1:14" x14ac:dyDescent="0.35">
      <c r="A20" t="s">
        <v>13</v>
      </c>
      <c r="B20">
        <v>17</v>
      </c>
      <c r="C20" t="s">
        <v>14</v>
      </c>
      <c r="D20">
        <v>2020</v>
      </c>
      <c r="E20">
        <v>10</v>
      </c>
      <c r="F20">
        <v>20</v>
      </c>
      <c r="G20" t="s">
        <v>18</v>
      </c>
      <c r="H20" t="str">
        <f t="shared" si="0"/>
        <v>03</v>
      </c>
      <c r="I20" t="str">
        <f t="shared" si="1"/>
        <v>a</v>
      </c>
      <c r="J20" t="str">
        <f t="shared" si="2"/>
        <v>Line</v>
      </c>
      <c r="K20">
        <v>4613692.9060000004</v>
      </c>
      <c r="L20">
        <v>413707.19099999999</v>
      </c>
      <c r="M20">
        <v>0.54600000000000004</v>
      </c>
    </row>
    <row r="21" spans="1:14" x14ac:dyDescent="0.35">
      <c r="A21" t="s">
        <v>13</v>
      </c>
      <c r="B21">
        <v>17</v>
      </c>
      <c r="C21" t="s">
        <v>14</v>
      </c>
      <c r="D21">
        <v>2020</v>
      </c>
      <c r="E21">
        <v>10</v>
      </c>
      <c r="F21">
        <v>21</v>
      </c>
      <c r="G21" t="s">
        <v>18</v>
      </c>
      <c r="H21" t="str">
        <f t="shared" si="0"/>
        <v>03</v>
      </c>
      <c r="I21" t="str">
        <f t="shared" si="1"/>
        <v>a</v>
      </c>
      <c r="J21" t="str">
        <f t="shared" si="2"/>
        <v>Line</v>
      </c>
      <c r="K21">
        <v>4613691.8870000001</v>
      </c>
      <c r="L21">
        <v>413707.27100000001</v>
      </c>
      <c r="M21">
        <v>0.54700000000000004</v>
      </c>
    </row>
    <row r="22" spans="1:14" x14ac:dyDescent="0.35">
      <c r="A22" t="s">
        <v>13</v>
      </c>
      <c r="B22">
        <v>17</v>
      </c>
      <c r="C22" t="s">
        <v>14</v>
      </c>
      <c r="D22">
        <v>2020</v>
      </c>
      <c r="E22">
        <v>11</v>
      </c>
      <c r="F22">
        <v>22</v>
      </c>
      <c r="G22">
        <v>33</v>
      </c>
      <c r="H22" t="str">
        <f t="shared" si="0"/>
        <v>33</v>
      </c>
      <c r="I22" t="str">
        <f t="shared" si="1"/>
        <v/>
      </c>
      <c r="J22" t="str">
        <f t="shared" si="2"/>
        <v>MU</v>
      </c>
      <c r="K22">
        <v>4613690.4210000001</v>
      </c>
      <c r="L22">
        <v>413707.40899999999</v>
      </c>
      <c r="M22">
        <v>0.50700000000000001</v>
      </c>
      <c r="N22" t="s">
        <v>26</v>
      </c>
    </row>
    <row r="23" spans="1:14" x14ac:dyDescent="0.35">
      <c r="A23" t="s">
        <v>13</v>
      </c>
      <c r="B23">
        <v>17</v>
      </c>
      <c r="C23" t="s">
        <v>14</v>
      </c>
      <c r="D23">
        <v>2020</v>
      </c>
      <c r="E23">
        <v>12</v>
      </c>
      <c r="F23">
        <v>23</v>
      </c>
      <c r="G23" t="s">
        <v>27</v>
      </c>
      <c r="H23" t="str">
        <f t="shared" si="0"/>
        <v>25</v>
      </c>
      <c r="I23" t="str">
        <f t="shared" si="1"/>
        <v>j</v>
      </c>
      <c r="J23" t="s">
        <v>50</v>
      </c>
      <c r="K23">
        <v>4613699.2149999999</v>
      </c>
      <c r="L23">
        <v>413715.37800000003</v>
      </c>
      <c r="M23">
        <v>0.499</v>
      </c>
      <c r="N23" t="s">
        <v>28</v>
      </c>
    </row>
    <row r="24" spans="1:14" x14ac:dyDescent="0.35">
      <c r="A24" t="s">
        <v>13</v>
      </c>
      <c r="B24">
        <v>17</v>
      </c>
      <c r="C24" t="s">
        <v>14</v>
      </c>
      <c r="D24">
        <v>2020</v>
      </c>
      <c r="E24">
        <v>12</v>
      </c>
      <c r="F24">
        <v>24</v>
      </c>
      <c r="G24" t="s">
        <v>27</v>
      </c>
      <c r="H24" t="str">
        <f t="shared" si="0"/>
        <v>25</v>
      </c>
      <c r="I24" t="str">
        <f t="shared" si="1"/>
        <v>j</v>
      </c>
      <c r="J24" t="s">
        <v>50</v>
      </c>
      <c r="K24">
        <v>4613700.3320000004</v>
      </c>
      <c r="L24">
        <v>413716.34499999997</v>
      </c>
      <c r="M24">
        <v>0.49</v>
      </c>
      <c r="N24" t="s">
        <v>28</v>
      </c>
    </row>
    <row r="25" spans="1:14" x14ac:dyDescent="0.35">
      <c r="A25" t="s">
        <v>13</v>
      </c>
      <c r="B25">
        <v>17</v>
      </c>
      <c r="C25" t="s">
        <v>14</v>
      </c>
      <c r="D25">
        <v>2020</v>
      </c>
      <c r="E25">
        <v>12</v>
      </c>
      <c r="F25">
        <v>25</v>
      </c>
      <c r="G25" t="s">
        <v>27</v>
      </c>
      <c r="H25" t="str">
        <f t="shared" si="0"/>
        <v>25</v>
      </c>
      <c r="I25" t="str">
        <f t="shared" si="1"/>
        <v>j</v>
      </c>
      <c r="J25" t="s">
        <v>50</v>
      </c>
      <c r="K25">
        <v>4613700.9079999998</v>
      </c>
      <c r="L25">
        <v>413716.58399999997</v>
      </c>
      <c r="M25">
        <v>0.46400000000000002</v>
      </c>
      <c r="N25" t="s">
        <v>28</v>
      </c>
    </row>
    <row r="26" spans="1:14" x14ac:dyDescent="0.35">
      <c r="A26" t="s">
        <v>13</v>
      </c>
      <c r="B26">
        <v>17</v>
      </c>
      <c r="C26" t="s">
        <v>14</v>
      </c>
      <c r="D26">
        <v>2020</v>
      </c>
      <c r="E26">
        <v>12</v>
      </c>
      <c r="F26">
        <v>26</v>
      </c>
      <c r="G26" t="s">
        <v>27</v>
      </c>
      <c r="H26" t="str">
        <f t="shared" si="0"/>
        <v>25</v>
      </c>
      <c r="I26" t="str">
        <f t="shared" si="1"/>
        <v>j</v>
      </c>
      <c r="J26" t="s">
        <v>50</v>
      </c>
      <c r="K26">
        <v>4613702.0439999998</v>
      </c>
      <c r="L26">
        <v>413716.17499999999</v>
      </c>
      <c r="M26">
        <v>0.45900000000000002</v>
      </c>
      <c r="N26" t="s">
        <v>28</v>
      </c>
    </row>
    <row r="27" spans="1:14" x14ac:dyDescent="0.35">
      <c r="A27" t="s">
        <v>13</v>
      </c>
      <c r="B27">
        <v>17</v>
      </c>
      <c r="C27" t="s">
        <v>14</v>
      </c>
      <c r="D27">
        <v>2020</v>
      </c>
      <c r="E27">
        <v>12</v>
      </c>
      <c r="F27">
        <v>27</v>
      </c>
      <c r="G27" t="s">
        <v>27</v>
      </c>
      <c r="H27" t="str">
        <f t="shared" si="0"/>
        <v>25</v>
      </c>
      <c r="I27" t="str">
        <f t="shared" si="1"/>
        <v>j</v>
      </c>
      <c r="J27" t="s">
        <v>50</v>
      </c>
      <c r="K27">
        <v>4613703.4249999998</v>
      </c>
      <c r="L27">
        <v>413716.70500000002</v>
      </c>
      <c r="M27">
        <v>0.435</v>
      </c>
      <c r="N27" t="s">
        <v>28</v>
      </c>
    </row>
    <row r="28" spans="1:14" x14ac:dyDescent="0.35">
      <c r="A28" t="s">
        <v>13</v>
      </c>
      <c r="B28">
        <v>17</v>
      </c>
      <c r="C28" t="s">
        <v>14</v>
      </c>
      <c r="D28">
        <v>2020</v>
      </c>
      <c r="E28">
        <v>12</v>
      </c>
      <c r="F28">
        <v>28</v>
      </c>
      <c r="G28" t="s">
        <v>27</v>
      </c>
      <c r="H28" t="str">
        <f t="shared" si="0"/>
        <v>25</v>
      </c>
      <c r="I28" t="str">
        <f t="shared" si="1"/>
        <v>j</v>
      </c>
      <c r="J28" t="s">
        <v>50</v>
      </c>
      <c r="K28">
        <v>4613704.0489999996</v>
      </c>
      <c r="L28">
        <v>413718.33</v>
      </c>
      <c r="M28">
        <v>0.48899999999999999</v>
      </c>
      <c r="N28" t="s">
        <v>28</v>
      </c>
    </row>
    <row r="29" spans="1:14" x14ac:dyDescent="0.35">
      <c r="A29" t="s">
        <v>13</v>
      </c>
      <c r="B29">
        <v>17</v>
      </c>
      <c r="C29" t="s">
        <v>14</v>
      </c>
      <c r="D29">
        <v>2020</v>
      </c>
      <c r="E29">
        <v>12</v>
      </c>
      <c r="F29">
        <v>29</v>
      </c>
      <c r="G29" t="s">
        <v>27</v>
      </c>
      <c r="H29" t="str">
        <f t="shared" si="0"/>
        <v>25</v>
      </c>
      <c r="I29" t="str">
        <f t="shared" si="1"/>
        <v>j</v>
      </c>
      <c r="J29" t="s">
        <v>50</v>
      </c>
      <c r="K29">
        <v>4613704.0199999996</v>
      </c>
      <c r="L29">
        <v>413720.02600000001</v>
      </c>
      <c r="M29">
        <v>0.45900000000000002</v>
      </c>
      <c r="N29" t="s">
        <v>28</v>
      </c>
    </row>
    <row r="30" spans="1:14" x14ac:dyDescent="0.35">
      <c r="A30" t="s">
        <v>13</v>
      </c>
      <c r="B30">
        <v>17</v>
      </c>
      <c r="C30" t="s">
        <v>14</v>
      </c>
      <c r="D30">
        <v>2020</v>
      </c>
      <c r="E30">
        <v>12</v>
      </c>
      <c r="F30">
        <v>30</v>
      </c>
      <c r="G30" t="s">
        <v>27</v>
      </c>
      <c r="H30" t="str">
        <f t="shared" si="0"/>
        <v>25</v>
      </c>
      <c r="I30" t="str">
        <f t="shared" si="1"/>
        <v>j</v>
      </c>
      <c r="J30" t="s">
        <v>50</v>
      </c>
      <c r="K30">
        <v>4613702.2350000003</v>
      </c>
      <c r="L30">
        <v>413722.28700000001</v>
      </c>
      <c r="M30">
        <v>0.44700000000000001</v>
      </c>
      <c r="N30" t="s">
        <v>28</v>
      </c>
    </row>
    <row r="31" spans="1:14" x14ac:dyDescent="0.35">
      <c r="A31" t="s">
        <v>13</v>
      </c>
      <c r="B31">
        <v>17</v>
      </c>
      <c r="C31" t="s">
        <v>14</v>
      </c>
      <c r="D31">
        <v>2020</v>
      </c>
      <c r="E31">
        <v>12</v>
      </c>
      <c r="F31">
        <v>31</v>
      </c>
      <c r="G31" t="s">
        <v>27</v>
      </c>
      <c r="H31" t="str">
        <f t="shared" si="0"/>
        <v>25</v>
      </c>
      <c r="I31" t="str">
        <f t="shared" si="1"/>
        <v>j</v>
      </c>
      <c r="J31" t="s">
        <v>50</v>
      </c>
      <c r="K31">
        <v>4613701.3420000002</v>
      </c>
      <c r="L31">
        <v>413721.109</v>
      </c>
      <c r="M31">
        <v>0.434</v>
      </c>
      <c r="N31" t="s">
        <v>28</v>
      </c>
    </row>
    <row r="32" spans="1:14" x14ac:dyDescent="0.35">
      <c r="A32" t="s">
        <v>13</v>
      </c>
      <c r="B32">
        <v>17</v>
      </c>
      <c r="C32" t="s">
        <v>14</v>
      </c>
      <c r="D32">
        <v>2020</v>
      </c>
      <c r="E32">
        <v>12</v>
      </c>
      <c r="F32">
        <v>32</v>
      </c>
      <c r="G32" t="s">
        <v>27</v>
      </c>
      <c r="H32" t="str">
        <f t="shared" si="0"/>
        <v>25</v>
      </c>
      <c r="I32" t="str">
        <f t="shared" si="1"/>
        <v>j</v>
      </c>
      <c r="J32" t="s">
        <v>50</v>
      </c>
      <c r="K32">
        <v>4613701.8470000001</v>
      </c>
      <c r="L32">
        <v>413720.79499999998</v>
      </c>
      <c r="M32">
        <v>0.46700000000000003</v>
      </c>
      <c r="N32" t="s">
        <v>28</v>
      </c>
    </row>
    <row r="33" spans="1:14" x14ac:dyDescent="0.35">
      <c r="A33" t="s">
        <v>13</v>
      </c>
      <c r="B33">
        <v>17</v>
      </c>
      <c r="C33" t="s">
        <v>14</v>
      </c>
      <c r="D33">
        <v>2020</v>
      </c>
      <c r="E33">
        <v>12</v>
      </c>
      <c r="F33">
        <v>33</v>
      </c>
      <c r="G33" t="s">
        <v>27</v>
      </c>
      <c r="H33" t="str">
        <f t="shared" si="0"/>
        <v>25</v>
      </c>
      <c r="I33" t="str">
        <f t="shared" si="1"/>
        <v>j</v>
      </c>
      <c r="J33" t="s">
        <v>50</v>
      </c>
      <c r="K33">
        <v>4613700.0539999995</v>
      </c>
      <c r="L33">
        <v>413717.78</v>
      </c>
      <c r="M33">
        <v>0.44700000000000001</v>
      </c>
      <c r="N33" t="s">
        <v>28</v>
      </c>
    </row>
    <row r="34" spans="1:14" x14ac:dyDescent="0.35">
      <c r="A34" t="s">
        <v>13</v>
      </c>
      <c r="B34">
        <v>17</v>
      </c>
      <c r="C34" t="s">
        <v>14</v>
      </c>
      <c r="D34">
        <v>2020</v>
      </c>
      <c r="E34">
        <v>12</v>
      </c>
      <c r="F34">
        <v>34</v>
      </c>
      <c r="G34" t="s">
        <v>27</v>
      </c>
      <c r="H34" t="str">
        <f t="shared" ref="H34:H65" si="3">LEFT(G34,2)</f>
        <v>25</v>
      </c>
      <c r="I34" t="str">
        <f t="shared" ref="I34:I65" si="4">RIGHT(G34,LEN(G34)-LEN(H34))</f>
        <v>j</v>
      </c>
      <c r="J34" t="s">
        <v>50</v>
      </c>
      <c r="K34">
        <v>4613699.2340000002</v>
      </c>
      <c r="L34">
        <v>413717.84600000002</v>
      </c>
      <c r="M34">
        <v>0.45700000000000002</v>
      </c>
      <c r="N34" t="s">
        <v>28</v>
      </c>
    </row>
    <row r="35" spans="1:14" x14ac:dyDescent="0.35">
      <c r="A35" t="s">
        <v>13</v>
      </c>
      <c r="B35">
        <v>17</v>
      </c>
      <c r="C35" t="s">
        <v>14</v>
      </c>
      <c r="D35">
        <v>2020</v>
      </c>
      <c r="E35">
        <v>12</v>
      </c>
      <c r="F35">
        <v>35</v>
      </c>
      <c r="G35" t="s">
        <v>27</v>
      </c>
      <c r="H35" t="str">
        <f t="shared" si="3"/>
        <v>25</v>
      </c>
      <c r="I35" t="str">
        <f t="shared" si="4"/>
        <v>j</v>
      </c>
      <c r="J35" t="s">
        <v>50</v>
      </c>
      <c r="K35">
        <v>4613699.0630000001</v>
      </c>
      <c r="L35">
        <v>413715.58299999998</v>
      </c>
      <c r="M35">
        <v>0.46500000000000002</v>
      </c>
      <c r="N35" t="s">
        <v>28</v>
      </c>
    </row>
    <row r="36" spans="1:14" x14ac:dyDescent="0.35">
      <c r="A36" t="s">
        <v>13</v>
      </c>
      <c r="B36">
        <v>17</v>
      </c>
      <c r="C36" t="s">
        <v>14</v>
      </c>
      <c r="D36">
        <v>2020</v>
      </c>
      <c r="E36">
        <v>13</v>
      </c>
      <c r="F36">
        <v>36</v>
      </c>
      <c r="G36" t="s">
        <v>29</v>
      </c>
      <c r="H36" t="str">
        <f t="shared" si="3"/>
        <v>01</v>
      </c>
      <c r="I36" t="str">
        <f t="shared" si="4"/>
        <v>aef</v>
      </c>
      <c r="J36" t="s">
        <v>52</v>
      </c>
      <c r="K36">
        <v>4613703.142</v>
      </c>
      <c r="L36">
        <v>413737.424</v>
      </c>
      <c r="M36">
        <v>0.36899999999999999</v>
      </c>
      <c r="N36" t="s">
        <v>16</v>
      </c>
    </row>
    <row r="37" spans="1:14" x14ac:dyDescent="0.35">
      <c r="A37" t="s">
        <v>13</v>
      </c>
      <c r="B37">
        <v>17</v>
      </c>
      <c r="C37" t="s">
        <v>14</v>
      </c>
      <c r="D37">
        <v>2020</v>
      </c>
      <c r="E37">
        <v>13</v>
      </c>
      <c r="F37">
        <v>37</v>
      </c>
      <c r="G37" t="s">
        <v>29</v>
      </c>
      <c r="H37" t="str">
        <f t="shared" si="3"/>
        <v>01</v>
      </c>
      <c r="I37" t="str">
        <f t="shared" si="4"/>
        <v>aef</v>
      </c>
      <c r="J37" t="s">
        <v>52</v>
      </c>
      <c r="K37">
        <v>4613709.5590000004</v>
      </c>
      <c r="L37">
        <v>413734.79</v>
      </c>
      <c r="M37">
        <v>0.255</v>
      </c>
      <c r="N37" t="s">
        <v>16</v>
      </c>
    </row>
    <row r="38" spans="1:14" x14ac:dyDescent="0.35">
      <c r="A38" t="s">
        <v>13</v>
      </c>
      <c r="B38">
        <v>17</v>
      </c>
      <c r="C38" t="s">
        <v>14</v>
      </c>
      <c r="D38">
        <v>2020</v>
      </c>
      <c r="E38">
        <v>14</v>
      </c>
      <c r="F38">
        <v>38</v>
      </c>
      <c r="G38" t="s">
        <v>29</v>
      </c>
      <c r="H38" t="str">
        <f t="shared" si="3"/>
        <v>01</v>
      </c>
      <c r="I38" t="str">
        <f t="shared" si="4"/>
        <v>aef</v>
      </c>
      <c r="J38" t="s">
        <v>52</v>
      </c>
      <c r="K38">
        <v>4613609.3859999999</v>
      </c>
      <c r="L38">
        <v>413675.10499999998</v>
      </c>
      <c r="M38">
        <v>0.40400000000000003</v>
      </c>
      <c r="N38" t="s">
        <v>16</v>
      </c>
    </row>
    <row r="39" spans="1:14" x14ac:dyDescent="0.35">
      <c r="A39" t="s">
        <v>13</v>
      </c>
      <c r="B39">
        <v>17</v>
      </c>
      <c r="C39" t="s">
        <v>14</v>
      </c>
      <c r="D39">
        <v>2020</v>
      </c>
      <c r="E39">
        <v>14</v>
      </c>
      <c r="F39">
        <v>39</v>
      </c>
      <c r="G39" t="s">
        <v>29</v>
      </c>
      <c r="H39" t="str">
        <f t="shared" si="3"/>
        <v>01</v>
      </c>
      <c r="I39" t="str">
        <f t="shared" si="4"/>
        <v>aef</v>
      </c>
      <c r="J39" t="s">
        <v>52</v>
      </c>
      <c r="K39">
        <v>4613609.4939999999</v>
      </c>
      <c r="L39">
        <v>413672.565</v>
      </c>
      <c r="M39">
        <v>0.3</v>
      </c>
      <c r="N39" t="s">
        <v>16</v>
      </c>
    </row>
    <row r="40" spans="1:14" x14ac:dyDescent="0.35">
      <c r="A40" t="s">
        <v>13</v>
      </c>
      <c r="B40">
        <v>17</v>
      </c>
      <c r="C40" t="s">
        <v>14</v>
      </c>
      <c r="D40">
        <v>2020</v>
      </c>
      <c r="E40">
        <v>14</v>
      </c>
      <c r="F40">
        <v>40</v>
      </c>
      <c r="G40" t="s">
        <v>29</v>
      </c>
      <c r="H40" t="str">
        <f t="shared" si="3"/>
        <v>01</v>
      </c>
      <c r="I40" t="str">
        <f t="shared" si="4"/>
        <v>aef</v>
      </c>
      <c r="J40" t="s">
        <v>52</v>
      </c>
      <c r="K40">
        <v>4613612.0590000004</v>
      </c>
      <c r="L40">
        <v>413671.41899999999</v>
      </c>
      <c r="M40">
        <v>0.30499999999999999</v>
      </c>
      <c r="N40" t="s">
        <v>16</v>
      </c>
    </row>
    <row r="41" spans="1:14" x14ac:dyDescent="0.35">
      <c r="A41" t="s">
        <v>13</v>
      </c>
      <c r="B41">
        <v>17</v>
      </c>
      <c r="C41" t="s">
        <v>14</v>
      </c>
      <c r="D41">
        <v>2020</v>
      </c>
      <c r="E41">
        <v>14</v>
      </c>
      <c r="F41">
        <v>41</v>
      </c>
      <c r="G41" t="s">
        <v>29</v>
      </c>
      <c r="H41" t="str">
        <f t="shared" si="3"/>
        <v>01</v>
      </c>
      <c r="I41" t="str">
        <f t="shared" si="4"/>
        <v>aef</v>
      </c>
      <c r="J41" t="s">
        <v>52</v>
      </c>
      <c r="K41">
        <v>4613615.8660000004</v>
      </c>
      <c r="L41">
        <v>413670.93699999998</v>
      </c>
      <c r="M41">
        <v>0.309</v>
      </c>
      <c r="N41" t="s">
        <v>16</v>
      </c>
    </row>
    <row r="42" spans="1:14" x14ac:dyDescent="0.35">
      <c r="A42" t="s">
        <v>13</v>
      </c>
      <c r="B42">
        <v>17</v>
      </c>
      <c r="C42" t="s">
        <v>14</v>
      </c>
      <c r="D42">
        <v>2020</v>
      </c>
      <c r="E42">
        <v>15</v>
      </c>
      <c r="F42">
        <v>42</v>
      </c>
      <c r="G42" t="s">
        <v>30</v>
      </c>
      <c r="H42" t="str">
        <f t="shared" si="3"/>
        <v>10</v>
      </c>
      <c r="I42" t="str">
        <f t="shared" si="4"/>
        <v>a</v>
      </c>
      <c r="J42" t="s">
        <v>52</v>
      </c>
      <c r="K42">
        <v>4613517.4019999998</v>
      </c>
      <c r="L42">
        <v>413585.82199999999</v>
      </c>
      <c r="M42">
        <v>0.67300000000000004</v>
      </c>
      <c r="N42" t="s">
        <v>31</v>
      </c>
    </row>
    <row r="43" spans="1:14" x14ac:dyDescent="0.35">
      <c r="A43" t="s">
        <v>13</v>
      </c>
      <c r="B43">
        <v>17</v>
      </c>
      <c r="C43" t="s">
        <v>14</v>
      </c>
      <c r="D43">
        <v>2020</v>
      </c>
      <c r="E43">
        <v>15</v>
      </c>
      <c r="F43">
        <v>43</v>
      </c>
      <c r="G43" t="s">
        <v>30</v>
      </c>
      <c r="H43" t="str">
        <f t="shared" si="3"/>
        <v>10</v>
      </c>
      <c r="I43" t="str">
        <f t="shared" si="4"/>
        <v>a</v>
      </c>
      <c r="J43" t="s">
        <v>52</v>
      </c>
      <c r="K43">
        <v>4613514.1739999996</v>
      </c>
      <c r="L43">
        <v>413582.723</v>
      </c>
      <c r="M43">
        <v>0.56999999999999995</v>
      </c>
      <c r="N43" t="s">
        <v>31</v>
      </c>
    </row>
    <row r="44" spans="1:14" x14ac:dyDescent="0.35">
      <c r="A44" t="s">
        <v>13</v>
      </c>
      <c r="B44">
        <v>17</v>
      </c>
      <c r="C44" t="s">
        <v>14</v>
      </c>
      <c r="D44">
        <v>2020</v>
      </c>
      <c r="E44">
        <v>15</v>
      </c>
      <c r="F44">
        <v>44</v>
      </c>
      <c r="G44" t="s">
        <v>30</v>
      </c>
      <c r="H44" t="str">
        <f t="shared" si="3"/>
        <v>10</v>
      </c>
      <c r="I44" t="str">
        <f t="shared" si="4"/>
        <v>a</v>
      </c>
      <c r="J44" t="s">
        <v>52</v>
      </c>
      <c r="K44">
        <v>4613510.6359999999</v>
      </c>
      <c r="L44">
        <v>413585.36900000001</v>
      </c>
      <c r="M44">
        <v>0.63</v>
      </c>
      <c r="N44" t="s">
        <v>31</v>
      </c>
    </row>
    <row r="45" spans="1:14" x14ac:dyDescent="0.35">
      <c r="A45" t="s">
        <v>13</v>
      </c>
      <c r="B45">
        <v>17</v>
      </c>
      <c r="C45" t="s">
        <v>14</v>
      </c>
      <c r="D45">
        <v>2020</v>
      </c>
      <c r="E45">
        <v>15</v>
      </c>
      <c r="F45">
        <v>45</v>
      </c>
      <c r="G45" t="s">
        <v>30</v>
      </c>
      <c r="H45" t="str">
        <f t="shared" si="3"/>
        <v>10</v>
      </c>
      <c r="I45" t="str">
        <f t="shared" si="4"/>
        <v>a</v>
      </c>
      <c r="J45" t="s">
        <v>52</v>
      </c>
      <c r="K45">
        <v>4613510.267</v>
      </c>
      <c r="L45">
        <v>413588.01699999999</v>
      </c>
      <c r="M45">
        <v>0.67800000000000005</v>
      </c>
      <c r="N45" t="s">
        <v>31</v>
      </c>
    </row>
    <row r="46" spans="1:14" x14ac:dyDescent="0.35">
      <c r="A46" t="s">
        <v>13</v>
      </c>
      <c r="B46">
        <v>17</v>
      </c>
      <c r="C46" t="s">
        <v>14</v>
      </c>
      <c r="D46">
        <v>2020</v>
      </c>
      <c r="E46">
        <v>16</v>
      </c>
      <c r="F46">
        <v>46</v>
      </c>
      <c r="G46">
        <v>31</v>
      </c>
      <c r="H46" t="str">
        <f t="shared" si="3"/>
        <v>31</v>
      </c>
      <c r="I46" t="str">
        <f t="shared" si="4"/>
        <v/>
      </c>
      <c r="J46" t="str">
        <f t="shared" ref="J46:J87" si="5">IF(OR((E46=E47),(E46=E45)),"Line","MU")</f>
        <v>MU</v>
      </c>
      <c r="K46">
        <v>4613508.8260000004</v>
      </c>
      <c r="L46">
        <v>413588.158</v>
      </c>
      <c r="M46">
        <v>0.82899999999999996</v>
      </c>
      <c r="N46" t="s">
        <v>32</v>
      </c>
    </row>
    <row r="47" spans="1:14" x14ac:dyDescent="0.35">
      <c r="A47" t="s">
        <v>13</v>
      </c>
      <c r="B47">
        <v>17</v>
      </c>
      <c r="C47" t="s">
        <v>14</v>
      </c>
      <c r="D47">
        <v>2020</v>
      </c>
      <c r="E47">
        <v>17</v>
      </c>
      <c r="F47">
        <v>47</v>
      </c>
      <c r="G47" t="s">
        <v>30</v>
      </c>
      <c r="H47" t="str">
        <f t="shared" si="3"/>
        <v>10</v>
      </c>
      <c r="I47" t="str">
        <f t="shared" si="4"/>
        <v>a</v>
      </c>
      <c r="J47" t="str">
        <f t="shared" si="5"/>
        <v>Line</v>
      </c>
      <c r="K47">
        <v>4613507.477</v>
      </c>
      <c r="L47">
        <v>413587.77600000001</v>
      </c>
      <c r="M47">
        <v>0.83599999999999997</v>
      </c>
    </row>
    <row r="48" spans="1:14" x14ac:dyDescent="0.35">
      <c r="A48" t="s">
        <v>13</v>
      </c>
      <c r="B48">
        <v>17</v>
      </c>
      <c r="C48" t="s">
        <v>14</v>
      </c>
      <c r="D48">
        <v>2020</v>
      </c>
      <c r="E48">
        <v>17</v>
      </c>
      <c r="F48">
        <v>48</v>
      </c>
      <c r="G48" t="s">
        <v>30</v>
      </c>
      <c r="H48" t="str">
        <f t="shared" si="3"/>
        <v>10</v>
      </c>
      <c r="I48" t="str">
        <f t="shared" si="4"/>
        <v>a</v>
      </c>
      <c r="J48" t="str">
        <f t="shared" si="5"/>
        <v>Line</v>
      </c>
      <c r="K48">
        <v>4613500.966</v>
      </c>
      <c r="L48">
        <v>413586.02399999998</v>
      </c>
      <c r="M48">
        <v>0.82099999999999995</v>
      </c>
    </row>
    <row r="49" spans="1:14" x14ac:dyDescent="0.35">
      <c r="A49" t="s">
        <v>13</v>
      </c>
      <c r="B49">
        <v>17</v>
      </c>
      <c r="C49" t="s">
        <v>14</v>
      </c>
      <c r="D49">
        <v>2020</v>
      </c>
      <c r="E49">
        <v>17</v>
      </c>
      <c r="F49">
        <v>49</v>
      </c>
      <c r="G49" t="s">
        <v>30</v>
      </c>
      <c r="H49" t="str">
        <f t="shared" si="3"/>
        <v>10</v>
      </c>
      <c r="I49" t="str">
        <f t="shared" si="4"/>
        <v>a</v>
      </c>
      <c r="J49" t="str">
        <f t="shared" si="5"/>
        <v>Line</v>
      </c>
      <c r="K49">
        <v>4613490.5789999999</v>
      </c>
      <c r="L49">
        <v>413579.66399999999</v>
      </c>
      <c r="M49">
        <v>0.64900000000000002</v>
      </c>
    </row>
    <row r="50" spans="1:14" x14ac:dyDescent="0.35">
      <c r="A50" t="s">
        <v>13</v>
      </c>
      <c r="B50">
        <v>17</v>
      </c>
      <c r="C50" t="s">
        <v>14</v>
      </c>
      <c r="D50">
        <v>2020</v>
      </c>
      <c r="E50">
        <v>18</v>
      </c>
      <c r="F50">
        <v>50</v>
      </c>
      <c r="G50" t="s">
        <v>22</v>
      </c>
      <c r="H50" t="str">
        <f t="shared" si="3"/>
        <v>02</v>
      </c>
      <c r="I50" t="str">
        <f t="shared" si="4"/>
        <v>a</v>
      </c>
      <c r="J50" t="str">
        <f t="shared" si="5"/>
        <v>Line</v>
      </c>
      <c r="K50">
        <v>4613489.3729999997</v>
      </c>
      <c r="L50">
        <v>413578.14799999999</v>
      </c>
      <c r="M50">
        <v>0.66600000000000004</v>
      </c>
    </row>
    <row r="51" spans="1:14" x14ac:dyDescent="0.35">
      <c r="A51" t="s">
        <v>13</v>
      </c>
      <c r="B51">
        <v>17</v>
      </c>
      <c r="C51" t="s">
        <v>14</v>
      </c>
      <c r="D51">
        <v>2020</v>
      </c>
      <c r="E51">
        <v>18</v>
      </c>
      <c r="F51">
        <v>51</v>
      </c>
      <c r="G51" t="s">
        <v>22</v>
      </c>
      <c r="H51" t="str">
        <f t="shared" si="3"/>
        <v>02</v>
      </c>
      <c r="I51" t="str">
        <f t="shared" si="4"/>
        <v>a</v>
      </c>
      <c r="J51" t="str">
        <f t="shared" si="5"/>
        <v>Line</v>
      </c>
      <c r="K51">
        <v>4613482.426</v>
      </c>
      <c r="L51">
        <v>413575.92800000001</v>
      </c>
      <c r="M51">
        <v>0.61699999999999999</v>
      </c>
    </row>
    <row r="52" spans="1:14" x14ac:dyDescent="0.35">
      <c r="A52" t="s">
        <v>13</v>
      </c>
      <c r="B52">
        <v>17</v>
      </c>
      <c r="C52" t="s">
        <v>14</v>
      </c>
      <c r="D52">
        <v>2020</v>
      </c>
      <c r="E52">
        <v>19</v>
      </c>
      <c r="F52">
        <v>52</v>
      </c>
      <c r="G52" t="s">
        <v>33</v>
      </c>
      <c r="H52" t="str">
        <f t="shared" si="3"/>
        <v>11</v>
      </c>
      <c r="I52" t="str">
        <f t="shared" si="4"/>
        <v>a</v>
      </c>
      <c r="J52" t="str">
        <f t="shared" si="5"/>
        <v>Line</v>
      </c>
      <c r="K52">
        <v>4613804.2149999999</v>
      </c>
      <c r="L52">
        <v>413523.533</v>
      </c>
      <c r="M52">
        <v>0.77100000000000002</v>
      </c>
      <c r="N52" t="s">
        <v>34</v>
      </c>
    </row>
    <row r="53" spans="1:14" x14ac:dyDescent="0.35">
      <c r="A53" t="s">
        <v>13</v>
      </c>
      <c r="B53">
        <v>17</v>
      </c>
      <c r="C53" t="s">
        <v>14</v>
      </c>
      <c r="D53">
        <v>2020</v>
      </c>
      <c r="E53">
        <v>19</v>
      </c>
      <c r="F53">
        <v>53</v>
      </c>
      <c r="G53" t="s">
        <v>33</v>
      </c>
      <c r="H53" t="str">
        <f t="shared" si="3"/>
        <v>11</v>
      </c>
      <c r="I53" t="str">
        <f t="shared" si="4"/>
        <v>a</v>
      </c>
      <c r="J53" t="str">
        <f t="shared" si="5"/>
        <v>Line</v>
      </c>
      <c r="K53">
        <v>4613801.6349999998</v>
      </c>
      <c r="L53">
        <v>413526.72</v>
      </c>
      <c r="M53">
        <v>0.75800000000000001</v>
      </c>
    </row>
    <row r="54" spans="1:14" x14ac:dyDescent="0.35">
      <c r="A54" t="s">
        <v>13</v>
      </c>
      <c r="B54">
        <v>17</v>
      </c>
      <c r="C54" t="s">
        <v>14</v>
      </c>
      <c r="D54">
        <v>2020</v>
      </c>
      <c r="E54">
        <v>20</v>
      </c>
      <c r="F54">
        <v>54</v>
      </c>
      <c r="G54" t="s">
        <v>35</v>
      </c>
      <c r="H54" t="str">
        <f t="shared" si="3"/>
        <v>06</v>
      </c>
      <c r="I54" t="str">
        <f t="shared" si="4"/>
        <v>a</v>
      </c>
      <c r="J54" t="str">
        <f t="shared" si="5"/>
        <v>Line</v>
      </c>
      <c r="K54">
        <v>4613800.0060000001</v>
      </c>
      <c r="L54">
        <v>413527.43</v>
      </c>
      <c r="M54">
        <v>0.754</v>
      </c>
    </row>
    <row r="55" spans="1:14" x14ac:dyDescent="0.35">
      <c r="A55" t="s">
        <v>13</v>
      </c>
      <c r="B55">
        <v>17</v>
      </c>
      <c r="C55" t="s">
        <v>14</v>
      </c>
      <c r="D55">
        <v>2020</v>
      </c>
      <c r="E55">
        <v>20</v>
      </c>
      <c r="F55">
        <v>55</v>
      </c>
      <c r="G55" t="s">
        <v>35</v>
      </c>
      <c r="H55" t="str">
        <f t="shared" si="3"/>
        <v>06</v>
      </c>
      <c r="I55" t="str">
        <f t="shared" si="4"/>
        <v>a</v>
      </c>
      <c r="J55" t="str">
        <f t="shared" si="5"/>
        <v>Line</v>
      </c>
      <c r="K55">
        <v>4613798.5729999999</v>
      </c>
      <c r="L55">
        <v>413528.63400000002</v>
      </c>
      <c r="M55">
        <v>0.69399999999999995</v>
      </c>
    </row>
    <row r="56" spans="1:14" x14ac:dyDescent="0.35">
      <c r="A56" t="s">
        <v>13</v>
      </c>
      <c r="B56">
        <v>17</v>
      </c>
      <c r="C56" t="s">
        <v>14</v>
      </c>
      <c r="D56">
        <v>2020</v>
      </c>
      <c r="E56">
        <v>21</v>
      </c>
      <c r="F56">
        <v>56</v>
      </c>
      <c r="G56" t="s">
        <v>36</v>
      </c>
      <c r="H56" t="str">
        <f t="shared" si="3"/>
        <v>07</v>
      </c>
      <c r="I56" t="str">
        <f t="shared" si="4"/>
        <v>a</v>
      </c>
      <c r="J56" t="str">
        <f t="shared" si="5"/>
        <v>Line</v>
      </c>
      <c r="K56">
        <v>4613797.699</v>
      </c>
      <c r="L56">
        <v>413529.83</v>
      </c>
      <c r="M56">
        <v>0.75800000000000001</v>
      </c>
      <c r="N56" t="s">
        <v>37</v>
      </c>
    </row>
    <row r="57" spans="1:14" x14ac:dyDescent="0.35">
      <c r="A57" t="s">
        <v>13</v>
      </c>
      <c r="B57">
        <v>17</v>
      </c>
      <c r="C57" t="s">
        <v>14</v>
      </c>
      <c r="D57">
        <v>2020</v>
      </c>
      <c r="E57">
        <v>21</v>
      </c>
      <c r="F57">
        <v>57</v>
      </c>
      <c r="G57" t="s">
        <v>36</v>
      </c>
      <c r="H57" t="str">
        <f t="shared" si="3"/>
        <v>07</v>
      </c>
      <c r="I57" t="str">
        <f t="shared" si="4"/>
        <v>a</v>
      </c>
      <c r="J57" t="str">
        <f t="shared" si="5"/>
        <v>Line</v>
      </c>
      <c r="K57">
        <v>4613796.4390000002</v>
      </c>
      <c r="L57">
        <v>413531.88299999997</v>
      </c>
      <c r="M57">
        <v>0.73099999999999998</v>
      </c>
    </row>
    <row r="58" spans="1:14" x14ac:dyDescent="0.35">
      <c r="A58" t="s">
        <v>13</v>
      </c>
      <c r="B58">
        <v>17</v>
      </c>
      <c r="C58" t="s">
        <v>14</v>
      </c>
      <c r="D58">
        <v>2020</v>
      </c>
      <c r="E58">
        <v>22</v>
      </c>
      <c r="F58">
        <v>58</v>
      </c>
      <c r="G58" t="s">
        <v>35</v>
      </c>
      <c r="H58" t="str">
        <f t="shared" si="3"/>
        <v>06</v>
      </c>
      <c r="I58" t="str">
        <f t="shared" si="4"/>
        <v>a</v>
      </c>
      <c r="J58" t="str">
        <f t="shared" si="5"/>
        <v>Line</v>
      </c>
      <c r="K58">
        <v>4613795.4630000005</v>
      </c>
      <c r="L58">
        <v>413533.30499999999</v>
      </c>
      <c r="M58">
        <v>0.745</v>
      </c>
    </row>
    <row r="59" spans="1:14" x14ac:dyDescent="0.35">
      <c r="A59" t="s">
        <v>13</v>
      </c>
      <c r="B59">
        <v>17</v>
      </c>
      <c r="C59" t="s">
        <v>14</v>
      </c>
      <c r="D59">
        <v>2020</v>
      </c>
      <c r="E59">
        <v>22</v>
      </c>
      <c r="F59">
        <v>59</v>
      </c>
      <c r="G59" t="s">
        <v>35</v>
      </c>
      <c r="H59" t="str">
        <f t="shared" si="3"/>
        <v>06</v>
      </c>
      <c r="I59" t="str">
        <f t="shared" si="4"/>
        <v>a</v>
      </c>
      <c r="J59" t="str">
        <f t="shared" si="5"/>
        <v>Line</v>
      </c>
      <c r="K59">
        <v>4613790.608</v>
      </c>
      <c r="L59">
        <v>413540.821</v>
      </c>
      <c r="M59">
        <v>0.69199999999999995</v>
      </c>
    </row>
    <row r="60" spans="1:14" x14ac:dyDescent="0.35">
      <c r="A60" t="s">
        <v>13</v>
      </c>
      <c r="B60">
        <v>17</v>
      </c>
      <c r="C60" t="s">
        <v>14</v>
      </c>
      <c r="D60">
        <v>2020</v>
      </c>
      <c r="E60">
        <v>23</v>
      </c>
      <c r="F60">
        <v>60</v>
      </c>
      <c r="G60" t="s">
        <v>38</v>
      </c>
      <c r="H60" t="str">
        <f t="shared" si="3"/>
        <v>09</v>
      </c>
      <c r="I60" t="str">
        <f t="shared" si="4"/>
        <v>i</v>
      </c>
      <c r="J60" t="str">
        <f t="shared" si="5"/>
        <v>Line</v>
      </c>
      <c r="K60">
        <v>4613789.5080000004</v>
      </c>
      <c r="L60">
        <v>413542.35499999998</v>
      </c>
      <c r="M60">
        <v>1.0389999999999999</v>
      </c>
      <c r="N60" t="s">
        <v>39</v>
      </c>
    </row>
    <row r="61" spans="1:14" x14ac:dyDescent="0.35">
      <c r="A61" t="s">
        <v>13</v>
      </c>
      <c r="B61">
        <v>17</v>
      </c>
      <c r="C61" t="s">
        <v>14</v>
      </c>
      <c r="D61">
        <v>2020</v>
      </c>
      <c r="E61">
        <v>23</v>
      </c>
      <c r="F61">
        <v>61</v>
      </c>
      <c r="G61" t="s">
        <v>38</v>
      </c>
      <c r="H61" t="str">
        <f t="shared" si="3"/>
        <v>09</v>
      </c>
      <c r="I61" t="str">
        <f t="shared" si="4"/>
        <v>i</v>
      </c>
      <c r="J61" t="str">
        <f t="shared" si="5"/>
        <v>Line</v>
      </c>
      <c r="K61">
        <v>4613775.4730000002</v>
      </c>
      <c r="L61">
        <v>413524.40500000003</v>
      </c>
      <c r="M61">
        <v>1.0980000000000001</v>
      </c>
    </row>
    <row r="62" spans="1:14" x14ac:dyDescent="0.35">
      <c r="A62" t="s">
        <v>13</v>
      </c>
      <c r="B62">
        <v>17</v>
      </c>
      <c r="C62" t="s">
        <v>14</v>
      </c>
      <c r="D62">
        <v>2020</v>
      </c>
      <c r="E62">
        <v>23</v>
      </c>
      <c r="F62">
        <v>62</v>
      </c>
      <c r="G62" t="s">
        <v>38</v>
      </c>
      <c r="H62" t="str">
        <f t="shared" si="3"/>
        <v>09</v>
      </c>
      <c r="I62" t="str">
        <f t="shared" si="4"/>
        <v>i</v>
      </c>
      <c r="J62" t="str">
        <f t="shared" si="5"/>
        <v>Line</v>
      </c>
      <c r="K62">
        <v>4613769.9280000003</v>
      </c>
      <c r="L62">
        <v>413504.15500000003</v>
      </c>
      <c r="M62">
        <v>0.94699999999999995</v>
      </c>
      <c r="N62" t="s">
        <v>40</v>
      </c>
    </row>
    <row r="63" spans="1:14" x14ac:dyDescent="0.35">
      <c r="A63" t="s">
        <v>13</v>
      </c>
      <c r="B63">
        <v>17</v>
      </c>
      <c r="C63" t="s">
        <v>14</v>
      </c>
      <c r="D63">
        <v>2020</v>
      </c>
      <c r="E63">
        <v>23</v>
      </c>
      <c r="F63">
        <v>63</v>
      </c>
      <c r="G63" t="s">
        <v>38</v>
      </c>
      <c r="H63" t="str">
        <f t="shared" si="3"/>
        <v>09</v>
      </c>
      <c r="I63" t="str">
        <f t="shared" si="4"/>
        <v>i</v>
      </c>
      <c r="J63" t="str">
        <f t="shared" si="5"/>
        <v>Line</v>
      </c>
      <c r="K63">
        <v>4613765.8190000001</v>
      </c>
      <c r="L63">
        <v>413490.25699999998</v>
      </c>
      <c r="M63">
        <v>0.68300000000000005</v>
      </c>
    </row>
    <row r="64" spans="1:14" x14ac:dyDescent="0.35">
      <c r="A64" t="s">
        <v>13</v>
      </c>
      <c r="B64">
        <v>17</v>
      </c>
      <c r="C64" t="s">
        <v>14</v>
      </c>
      <c r="D64">
        <v>2020</v>
      </c>
      <c r="E64">
        <v>24</v>
      </c>
      <c r="F64">
        <v>64</v>
      </c>
      <c r="G64" t="s">
        <v>18</v>
      </c>
      <c r="H64" t="str">
        <f t="shared" si="3"/>
        <v>03</v>
      </c>
      <c r="I64" t="str">
        <f t="shared" si="4"/>
        <v>a</v>
      </c>
      <c r="J64" t="str">
        <f t="shared" si="5"/>
        <v>MU</v>
      </c>
      <c r="K64">
        <v>4613767.7450000001</v>
      </c>
      <c r="L64">
        <v>413489.52600000001</v>
      </c>
      <c r="M64">
        <v>0.53400000000000003</v>
      </c>
      <c r="N64" t="s">
        <v>26</v>
      </c>
    </row>
    <row r="65" spans="1:14" x14ac:dyDescent="0.35">
      <c r="A65" t="s">
        <v>13</v>
      </c>
      <c r="B65">
        <v>17</v>
      </c>
      <c r="C65" t="s">
        <v>14</v>
      </c>
      <c r="D65">
        <v>2020</v>
      </c>
      <c r="E65">
        <v>25</v>
      </c>
      <c r="F65">
        <v>65</v>
      </c>
      <c r="G65" t="s">
        <v>41</v>
      </c>
      <c r="H65" t="str">
        <f t="shared" si="3"/>
        <v>04</v>
      </c>
      <c r="I65" t="str">
        <f t="shared" si="4"/>
        <v>a</v>
      </c>
      <c r="J65" t="str">
        <f t="shared" si="5"/>
        <v>Line</v>
      </c>
      <c r="K65">
        <v>4613769.3229999999</v>
      </c>
      <c r="L65">
        <v>413489.30099999998</v>
      </c>
      <c r="M65">
        <v>0.56200000000000006</v>
      </c>
    </row>
    <row r="66" spans="1:14" x14ac:dyDescent="0.35">
      <c r="A66" t="s">
        <v>13</v>
      </c>
      <c r="B66">
        <v>17</v>
      </c>
      <c r="C66" t="s">
        <v>14</v>
      </c>
      <c r="D66">
        <v>2020</v>
      </c>
      <c r="E66">
        <v>25</v>
      </c>
      <c r="F66">
        <v>66</v>
      </c>
      <c r="G66" t="s">
        <v>41</v>
      </c>
      <c r="H66" t="str">
        <f t="shared" ref="H66:H87" si="6">LEFT(G66,2)</f>
        <v>04</v>
      </c>
      <c r="I66" t="str">
        <f t="shared" ref="I66:I87" si="7">RIGHT(G66,LEN(G66)-LEN(H66))</f>
        <v>a</v>
      </c>
      <c r="J66" t="str">
        <f t="shared" si="5"/>
        <v>Line</v>
      </c>
      <c r="K66">
        <v>4613777.6519999998</v>
      </c>
      <c r="L66">
        <v>413487.26400000002</v>
      </c>
      <c r="M66">
        <v>0.58799999999999997</v>
      </c>
      <c r="N66" t="s">
        <v>42</v>
      </c>
    </row>
    <row r="67" spans="1:14" x14ac:dyDescent="0.35">
      <c r="A67" t="s">
        <v>13</v>
      </c>
      <c r="B67">
        <v>17</v>
      </c>
      <c r="C67" t="s">
        <v>14</v>
      </c>
      <c r="D67">
        <v>2020</v>
      </c>
      <c r="E67">
        <v>25</v>
      </c>
      <c r="F67">
        <v>67</v>
      </c>
      <c r="G67" t="s">
        <v>41</v>
      </c>
      <c r="H67" t="str">
        <f t="shared" si="6"/>
        <v>04</v>
      </c>
      <c r="I67" t="str">
        <f t="shared" si="7"/>
        <v>a</v>
      </c>
      <c r="J67" t="str">
        <f t="shared" si="5"/>
        <v>Line</v>
      </c>
      <c r="K67">
        <v>4613778.2470000004</v>
      </c>
      <c r="L67">
        <v>413490.83</v>
      </c>
      <c r="M67">
        <v>0.621</v>
      </c>
    </row>
    <row r="68" spans="1:14" x14ac:dyDescent="0.35">
      <c r="A68" t="s">
        <v>13</v>
      </c>
      <c r="B68">
        <v>17</v>
      </c>
      <c r="C68" t="s">
        <v>14</v>
      </c>
      <c r="D68">
        <v>2020</v>
      </c>
      <c r="E68">
        <v>26</v>
      </c>
      <c r="F68">
        <v>68</v>
      </c>
      <c r="G68" t="s">
        <v>43</v>
      </c>
      <c r="H68" t="str">
        <f t="shared" si="6"/>
        <v>12</v>
      </c>
      <c r="I68" t="str">
        <f t="shared" si="7"/>
        <v>a</v>
      </c>
      <c r="J68" t="str">
        <f t="shared" si="5"/>
        <v>Line</v>
      </c>
      <c r="K68">
        <v>4613779.8370000003</v>
      </c>
      <c r="L68">
        <v>413490.005</v>
      </c>
      <c r="M68">
        <v>0.57899999999999996</v>
      </c>
    </row>
    <row r="69" spans="1:14" x14ac:dyDescent="0.35">
      <c r="A69" t="s">
        <v>13</v>
      </c>
      <c r="B69">
        <v>17</v>
      </c>
      <c r="C69" t="s">
        <v>14</v>
      </c>
      <c r="D69">
        <v>2020</v>
      </c>
      <c r="E69">
        <v>26</v>
      </c>
      <c r="F69">
        <v>69</v>
      </c>
      <c r="G69" t="s">
        <v>43</v>
      </c>
      <c r="H69" t="str">
        <f t="shared" si="6"/>
        <v>12</v>
      </c>
      <c r="I69" t="str">
        <f t="shared" si="7"/>
        <v>a</v>
      </c>
      <c r="J69" t="str">
        <f t="shared" si="5"/>
        <v>Line</v>
      </c>
      <c r="K69">
        <v>4613792.0789999999</v>
      </c>
      <c r="L69">
        <v>413483.51199999999</v>
      </c>
      <c r="M69">
        <v>0.60499999999999998</v>
      </c>
    </row>
    <row r="70" spans="1:14" x14ac:dyDescent="0.35">
      <c r="A70" t="s">
        <v>13</v>
      </c>
      <c r="B70">
        <v>17</v>
      </c>
      <c r="C70" t="s">
        <v>14</v>
      </c>
      <c r="D70">
        <v>2020</v>
      </c>
      <c r="E70">
        <v>26</v>
      </c>
      <c r="F70">
        <v>70</v>
      </c>
      <c r="G70" t="s">
        <v>43</v>
      </c>
      <c r="H70" t="str">
        <f t="shared" si="6"/>
        <v>12</v>
      </c>
      <c r="I70" t="str">
        <f t="shared" si="7"/>
        <v>a</v>
      </c>
      <c r="J70" t="str">
        <f t="shared" si="5"/>
        <v>Line</v>
      </c>
      <c r="K70">
        <v>4613784.7709999997</v>
      </c>
      <c r="L70">
        <v>413500.09100000001</v>
      </c>
      <c r="M70">
        <v>0.64400000000000002</v>
      </c>
    </row>
    <row r="71" spans="1:14" x14ac:dyDescent="0.35">
      <c r="A71" t="s">
        <v>13</v>
      </c>
      <c r="B71">
        <v>17</v>
      </c>
      <c r="C71" t="s">
        <v>14</v>
      </c>
      <c r="D71">
        <v>2020</v>
      </c>
      <c r="E71">
        <v>27</v>
      </c>
      <c r="F71">
        <v>71</v>
      </c>
      <c r="G71" t="s">
        <v>33</v>
      </c>
      <c r="H71" t="str">
        <f t="shared" si="6"/>
        <v>11</v>
      </c>
      <c r="I71" t="str">
        <f t="shared" si="7"/>
        <v>a</v>
      </c>
      <c r="J71" t="str">
        <f t="shared" si="5"/>
        <v>MU</v>
      </c>
      <c r="K71">
        <v>4613783.1950000003</v>
      </c>
      <c r="L71">
        <v>413500.61800000002</v>
      </c>
      <c r="M71">
        <v>0.65900000000000003</v>
      </c>
      <c r="N71" t="s">
        <v>44</v>
      </c>
    </row>
    <row r="72" spans="1:14" x14ac:dyDescent="0.35">
      <c r="A72" t="s">
        <v>13</v>
      </c>
      <c r="B72">
        <v>17</v>
      </c>
      <c r="C72" t="s">
        <v>14</v>
      </c>
      <c r="D72">
        <v>2020</v>
      </c>
      <c r="E72">
        <v>28</v>
      </c>
      <c r="F72">
        <v>72</v>
      </c>
      <c r="G72" t="s">
        <v>41</v>
      </c>
      <c r="H72" t="str">
        <f t="shared" si="6"/>
        <v>04</v>
      </c>
      <c r="I72" t="str">
        <f t="shared" si="7"/>
        <v>a</v>
      </c>
      <c r="J72" t="str">
        <f t="shared" si="5"/>
        <v>Line</v>
      </c>
      <c r="K72">
        <v>4613781.835</v>
      </c>
      <c r="L72">
        <v>413501.527</v>
      </c>
      <c r="M72">
        <v>0.69699999999999995</v>
      </c>
    </row>
    <row r="73" spans="1:14" x14ac:dyDescent="0.35">
      <c r="A73" t="s">
        <v>13</v>
      </c>
      <c r="B73">
        <v>17</v>
      </c>
      <c r="C73" t="s">
        <v>14</v>
      </c>
      <c r="D73">
        <v>2020</v>
      </c>
      <c r="E73">
        <v>28</v>
      </c>
      <c r="F73">
        <v>73</v>
      </c>
      <c r="G73" t="s">
        <v>41</v>
      </c>
      <c r="H73" t="str">
        <f t="shared" si="6"/>
        <v>04</v>
      </c>
      <c r="I73" t="str">
        <f t="shared" si="7"/>
        <v>a</v>
      </c>
      <c r="J73" t="str">
        <f t="shared" si="5"/>
        <v>Line</v>
      </c>
      <c r="K73">
        <v>4613781.966</v>
      </c>
      <c r="L73">
        <v>413506.52600000001</v>
      </c>
      <c r="M73">
        <v>0.72499999999999998</v>
      </c>
    </row>
    <row r="74" spans="1:14" x14ac:dyDescent="0.35">
      <c r="A74" t="s">
        <v>13</v>
      </c>
      <c r="B74">
        <v>17</v>
      </c>
      <c r="C74" t="s">
        <v>14</v>
      </c>
      <c r="D74">
        <v>2020</v>
      </c>
      <c r="E74">
        <v>29</v>
      </c>
      <c r="F74">
        <v>74</v>
      </c>
      <c r="G74" t="s">
        <v>36</v>
      </c>
      <c r="H74" t="str">
        <f t="shared" si="6"/>
        <v>07</v>
      </c>
      <c r="I74" t="str">
        <f t="shared" si="7"/>
        <v>a</v>
      </c>
      <c r="J74" t="str">
        <f t="shared" si="5"/>
        <v>Line</v>
      </c>
      <c r="K74">
        <v>4613782.4440000001</v>
      </c>
      <c r="L74">
        <v>413507.92200000002</v>
      </c>
      <c r="M74">
        <v>0.73399999999999999</v>
      </c>
    </row>
    <row r="75" spans="1:14" x14ac:dyDescent="0.35">
      <c r="A75" t="s">
        <v>13</v>
      </c>
      <c r="B75">
        <v>17</v>
      </c>
      <c r="C75" t="s">
        <v>14</v>
      </c>
      <c r="D75">
        <v>2020</v>
      </c>
      <c r="E75">
        <v>29</v>
      </c>
      <c r="F75">
        <v>75</v>
      </c>
      <c r="G75" t="s">
        <v>36</v>
      </c>
      <c r="H75" t="str">
        <f t="shared" si="6"/>
        <v>07</v>
      </c>
      <c r="I75" t="str">
        <f t="shared" si="7"/>
        <v>a</v>
      </c>
      <c r="J75" t="str">
        <f t="shared" si="5"/>
        <v>Line</v>
      </c>
      <c r="K75">
        <v>4613792.6440000003</v>
      </c>
      <c r="L75">
        <v>413524.70500000002</v>
      </c>
      <c r="M75">
        <v>0.71</v>
      </c>
      <c r="N75" t="s">
        <v>45</v>
      </c>
    </row>
    <row r="76" spans="1:14" x14ac:dyDescent="0.35">
      <c r="A76" t="s">
        <v>13</v>
      </c>
      <c r="B76">
        <v>17</v>
      </c>
      <c r="C76" t="s">
        <v>14</v>
      </c>
      <c r="D76">
        <v>2020</v>
      </c>
      <c r="E76">
        <v>30</v>
      </c>
      <c r="F76">
        <v>76</v>
      </c>
      <c r="G76" t="s">
        <v>35</v>
      </c>
      <c r="H76" t="str">
        <f t="shared" si="6"/>
        <v>06</v>
      </c>
      <c r="I76" t="str">
        <f t="shared" si="7"/>
        <v>a</v>
      </c>
      <c r="J76" t="str">
        <f t="shared" si="5"/>
        <v>Line</v>
      </c>
      <c r="K76">
        <v>4613793.483</v>
      </c>
      <c r="L76">
        <v>413526.51799999998</v>
      </c>
      <c r="M76">
        <v>0.72299999999999998</v>
      </c>
    </row>
    <row r="77" spans="1:14" x14ac:dyDescent="0.35">
      <c r="A77" t="s">
        <v>13</v>
      </c>
      <c r="B77">
        <v>17</v>
      </c>
      <c r="C77" t="s">
        <v>14</v>
      </c>
      <c r="D77">
        <v>2020</v>
      </c>
      <c r="E77">
        <v>30</v>
      </c>
      <c r="F77">
        <v>77</v>
      </c>
      <c r="G77" t="s">
        <v>35</v>
      </c>
      <c r="H77" t="str">
        <f t="shared" si="6"/>
        <v>06</v>
      </c>
      <c r="I77" t="str">
        <f t="shared" si="7"/>
        <v>a</v>
      </c>
      <c r="J77" t="str">
        <f t="shared" si="5"/>
        <v>Line</v>
      </c>
      <c r="K77">
        <v>4613793.3940000003</v>
      </c>
      <c r="L77">
        <v>413542.20299999998</v>
      </c>
      <c r="M77">
        <v>0.72399999999999998</v>
      </c>
    </row>
    <row r="78" spans="1:14" x14ac:dyDescent="0.35">
      <c r="A78" t="s">
        <v>13</v>
      </c>
      <c r="B78">
        <v>17</v>
      </c>
      <c r="C78" t="s">
        <v>14</v>
      </c>
      <c r="D78">
        <v>2020</v>
      </c>
      <c r="E78">
        <v>30</v>
      </c>
      <c r="F78">
        <v>78</v>
      </c>
      <c r="G78" t="s">
        <v>35</v>
      </c>
      <c r="H78" t="str">
        <f t="shared" si="6"/>
        <v>06</v>
      </c>
      <c r="I78" t="str">
        <f t="shared" si="7"/>
        <v>a</v>
      </c>
      <c r="J78" t="str">
        <f t="shared" si="5"/>
        <v>Line</v>
      </c>
      <c r="K78">
        <v>4613809.4570000004</v>
      </c>
      <c r="L78">
        <v>413554.00599999999</v>
      </c>
      <c r="M78">
        <v>0.74399999999999999</v>
      </c>
    </row>
    <row r="79" spans="1:14" x14ac:dyDescent="0.35">
      <c r="A79" t="s">
        <v>13</v>
      </c>
      <c r="B79">
        <v>17</v>
      </c>
      <c r="C79" t="s">
        <v>14</v>
      </c>
      <c r="D79">
        <v>2020</v>
      </c>
      <c r="E79">
        <v>31</v>
      </c>
      <c r="F79">
        <v>79</v>
      </c>
      <c r="G79" t="s">
        <v>46</v>
      </c>
      <c r="H79" t="str">
        <f t="shared" si="6"/>
        <v>09</v>
      </c>
      <c r="I79" t="str">
        <f t="shared" si="7"/>
        <v>a</v>
      </c>
      <c r="J79" t="str">
        <f t="shared" si="5"/>
        <v>MU</v>
      </c>
      <c r="K79">
        <v>4613810.7609999999</v>
      </c>
      <c r="L79">
        <v>413554.54800000001</v>
      </c>
      <c r="M79">
        <v>0.71599999999999997</v>
      </c>
      <c r="N79" t="s">
        <v>26</v>
      </c>
    </row>
    <row r="80" spans="1:14" x14ac:dyDescent="0.35">
      <c r="A80" t="s">
        <v>13</v>
      </c>
      <c r="B80">
        <v>17</v>
      </c>
      <c r="C80" t="s">
        <v>14</v>
      </c>
      <c r="D80">
        <v>2020</v>
      </c>
      <c r="E80">
        <v>32</v>
      </c>
      <c r="F80">
        <v>80</v>
      </c>
      <c r="G80" t="s">
        <v>35</v>
      </c>
      <c r="H80" t="str">
        <f t="shared" si="6"/>
        <v>06</v>
      </c>
      <c r="I80" t="str">
        <f t="shared" si="7"/>
        <v>a</v>
      </c>
      <c r="J80" t="str">
        <f t="shared" si="5"/>
        <v>Line</v>
      </c>
      <c r="K80">
        <v>4613811.71</v>
      </c>
      <c r="L80">
        <v>413553.33</v>
      </c>
      <c r="M80">
        <v>0.754</v>
      </c>
    </row>
    <row r="81" spans="1:14" x14ac:dyDescent="0.35">
      <c r="A81" t="s">
        <v>13</v>
      </c>
      <c r="B81">
        <v>17</v>
      </c>
      <c r="C81" t="s">
        <v>14</v>
      </c>
      <c r="D81">
        <v>2020</v>
      </c>
      <c r="E81">
        <v>32</v>
      </c>
      <c r="F81">
        <v>81</v>
      </c>
      <c r="G81" t="s">
        <v>35</v>
      </c>
      <c r="H81" t="str">
        <f t="shared" si="6"/>
        <v>06</v>
      </c>
      <c r="I81" t="str">
        <f t="shared" si="7"/>
        <v>a</v>
      </c>
      <c r="J81" t="str">
        <f t="shared" si="5"/>
        <v>Line</v>
      </c>
      <c r="K81">
        <v>4613813.4929999998</v>
      </c>
      <c r="L81">
        <v>413540.30300000001</v>
      </c>
      <c r="M81">
        <v>0.70399999999999996</v>
      </c>
    </row>
    <row r="82" spans="1:14" x14ac:dyDescent="0.35">
      <c r="A82" t="s">
        <v>13</v>
      </c>
      <c r="B82">
        <v>17</v>
      </c>
      <c r="C82" t="s">
        <v>14</v>
      </c>
      <c r="D82">
        <v>2020</v>
      </c>
      <c r="E82">
        <v>33</v>
      </c>
      <c r="F82">
        <v>82</v>
      </c>
      <c r="G82" t="s">
        <v>33</v>
      </c>
      <c r="H82" t="str">
        <f t="shared" si="6"/>
        <v>11</v>
      </c>
      <c r="I82" t="str">
        <f t="shared" si="7"/>
        <v>a</v>
      </c>
      <c r="J82" t="str">
        <f t="shared" si="5"/>
        <v>Line</v>
      </c>
      <c r="K82">
        <v>4613814.1229999997</v>
      </c>
      <c r="L82">
        <v>413539.239</v>
      </c>
      <c r="M82">
        <v>0.73299999999999998</v>
      </c>
      <c r="N82" t="s">
        <v>47</v>
      </c>
    </row>
    <row r="83" spans="1:14" x14ac:dyDescent="0.35">
      <c r="A83" t="s">
        <v>13</v>
      </c>
      <c r="B83">
        <v>17</v>
      </c>
      <c r="C83" t="s">
        <v>14</v>
      </c>
      <c r="D83">
        <v>2020</v>
      </c>
      <c r="E83">
        <v>33</v>
      </c>
      <c r="F83">
        <v>83</v>
      </c>
      <c r="G83" t="s">
        <v>33</v>
      </c>
      <c r="H83" t="str">
        <f t="shared" si="6"/>
        <v>11</v>
      </c>
      <c r="I83" t="str">
        <f t="shared" si="7"/>
        <v>a</v>
      </c>
      <c r="J83" t="str">
        <f t="shared" si="5"/>
        <v>Line</v>
      </c>
      <c r="K83">
        <v>4613809.8540000003</v>
      </c>
      <c r="L83">
        <v>413531.38900000002</v>
      </c>
      <c r="M83">
        <v>0.72399999999999998</v>
      </c>
    </row>
    <row r="84" spans="1:14" x14ac:dyDescent="0.35">
      <c r="A84" t="s">
        <v>13</v>
      </c>
      <c r="B84">
        <v>17</v>
      </c>
      <c r="C84" t="s">
        <v>14</v>
      </c>
      <c r="D84">
        <v>2020</v>
      </c>
      <c r="E84">
        <v>34</v>
      </c>
      <c r="F84">
        <v>84</v>
      </c>
      <c r="G84" t="s">
        <v>41</v>
      </c>
      <c r="H84" t="str">
        <f t="shared" si="6"/>
        <v>04</v>
      </c>
      <c r="I84" t="str">
        <f t="shared" si="7"/>
        <v>a</v>
      </c>
      <c r="J84" t="str">
        <f t="shared" si="5"/>
        <v>Line</v>
      </c>
      <c r="K84">
        <v>4613755.233</v>
      </c>
      <c r="L84">
        <v>413478.40899999999</v>
      </c>
      <c r="M84">
        <v>0.58599999999999997</v>
      </c>
    </row>
    <row r="85" spans="1:14" x14ac:dyDescent="0.35">
      <c r="A85" t="s">
        <v>13</v>
      </c>
      <c r="B85">
        <v>17</v>
      </c>
      <c r="C85" t="s">
        <v>14</v>
      </c>
      <c r="D85">
        <v>2020</v>
      </c>
      <c r="E85">
        <v>34</v>
      </c>
      <c r="F85">
        <v>85</v>
      </c>
      <c r="G85" t="s">
        <v>41</v>
      </c>
      <c r="H85" t="str">
        <f t="shared" si="6"/>
        <v>04</v>
      </c>
      <c r="I85" t="str">
        <f t="shared" si="7"/>
        <v>a</v>
      </c>
      <c r="J85" t="str">
        <f t="shared" si="5"/>
        <v>Line</v>
      </c>
      <c r="K85">
        <v>4613748.8629999999</v>
      </c>
      <c r="L85">
        <v>413470.79700000002</v>
      </c>
      <c r="M85">
        <v>0.54500000000000004</v>
      </c>
    </row>
    <row r="86" spans="1:14" x14ac:dyDescent="0.35">
      <c r="A86" t="s">
        <v>13</v>
      </c>
      <c r="B86">
        <v>17</v>
      </c>
      <c r="C86" t="s">
        <v>14</v>
      </c>
      <c r="D86">
        <v>2020</v>
      </c>
      <c r="E86">
        <v>35</v>
      </c>
      <c r="F86">
        <v>86</v>
      </c>
      <c r="G86" t="s">
        <v>48</v>
      </c>
      <c r="H86" t="str">
        <f t="shared" si="6"/>
        <v>01</v>
      </c>
      <c r="I86" t="str">
        <f t="shared" si="7"/>
        <v>b</v>
      </c>
      <c r="J86" t="str">
        <f t="shared" si="5"/>
        <v>Line</v>
      </c>
      <c r="K86">
        <v>4613747.4400000004</v>
      </c>
      <c r="L86">
        <v>413470.03399999999</v>
      </c>
      <c r="M86">
        <v>0.495</v>
      </c>
      <c r="N86" t="s">
        <v>49</v>
      </c>
    </row>
    <row r="87" spans="1:14" x14ac:dyDescent="0.35">
      <c r="A87" t="s">
        <v>13</v>
      </c>
      <c r="B87">
        <v>17</v>
      </c>
      <c r="C87" t="s">
        <v>14</v>
      </c>
      <c r="D87">
        <v>2020</v>
      </c>
      <c r="E87">
        <v>35</v>
      </c>
      <c r="F87">
        <v>87</v>
      </c>
      <c r="G87" t="s">
        <v>48</v>
      </c>
      <c r="H87" t="str">
        <f t="shared" si="6"/>
        <v>01</v>
      </c>
      <c r="I87" t="str">
        <f t="shared" si="7"/>
        <v>b</v>
      </c>
      <c r="J87" t="str">
        <f t="shared" si="5"/>
        <v>Line</v>
      </c>
      <c r="K87">
        <v>4613740.9050000003</v>
      </c>
      <c r="L87">
        <v>413472.12099999998</v>
      </c>
      <c r="M87">
        <v>0.41099999999999998</v>
      </c>
      <c r="N87" t="s">
        <v>49</v>
      </c>
    </row>
  </sheetData>
  <autoFilter ref="A1:N87" xr:uid="{ABD78F3A-3450-42C0-A9CF-4C3FF7605DC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6CA0-838A-4B2A-98C2-7EF04762BD7C}">
  <dimension ref="A1:N68"/>
  <sheetViews>
    <sheetView workbookViewId="0">
      <selection activeCell="D8" sqref="D8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51</v>
      </c>
    </row>
    <row r="2" spans="1:14" x14ac:dyDescent="0.35">
      <c r="A2" t="s">
        <v>13</v>
      </c>
      <c r="B2">
        <v>17</v>
      </c>
      <c r="C2" t="s">
        <v>14</v>
      </c>
      <c r="D2">
        <v>2020</v>
      </c>
      <c r="E2">
        <v>1</v>
      </c>
      <c r="F2">
        <v>2</v>
      </c>
      <c r="G2" t="s">
        <v>15</v>
      </c>
      <c r="H2" t="s">
        <v>53</v>
      </c>
      <c r="I2" t="s">
        <v>54</v>
      </c>
      <c r="J2" t="s">
        <v>52</v>
      </c>
      <c r="K2">
        <v>4613710.6979999999</v>
      </c>
      <c r="L2">
        <v>413679.90500000003</v>
      </c>
      <c r="M2">
        <v>0.26600000000000001</v>
      </c>
      <c r="N2" t="s">
        <v>16</v>
      </c>
    </row>
    <row r="3" spans="1:14" x14ac:dyDescent="0.35">
      <c r="A3" t="s">
        <v>13</v>
      </c>
      <c r="B3">
        <v>17</v>
      </c>
      <c r="C3" t="s">
        <v>14</v>
      </c>
      <c r="D3">
        <v>2020</v>
      </c>
      <c r="E3">
        <v>1</v>
      </c>
      <c r="F3">
        <v>3</v>
      </c>
      <c r="G3" t="s">
        <v>15</v>
      </c>
      <c r="H3" t="s">
        <v>53</v>
      </c>
      <c r="I3" t="s">
        <v>54</v>
      </c>
      <c r="J3" t="s">
        <v>52</v>
      </c>
      <c r="K3">
        <v>4613716.2740000002</v>
      </c>
      <c r="L3">
        <v>413685.39899999998</v>
      </c>
      <c r="M3">
        <v>0.185</v>
      </c>
      <c r="N3" t="s">
        <v>16</v>
      </c>
    </row>
    <row r="4" spans="1:14" x14ac:dyDescent="0.35">
      <c r="A4" t="s">
        <v>13</v>
      </c>
      <c r="B4">
        <v>17</v>
      </c>
      <c r="C4" t="s">
        <v>14</v>
      </c>
      <c r="D4">
        <v>2020</v>
      </c>
      <c r="E4">
        <v>1</v>
      </c>
      <c r="F4">
        <v>4</v>
      </c>
      <c r="G4" t="s">
        <v>15</v>
      </c>
      <c r="H4" t="s">
        <v>53</v>
      </c>
      <c r="I4" t="s">
        <v>54</v>
      </c>
      <c r="J4" t="s">
        <v>52</v>
      </c>
      <c r="K4">
        <v>4613714.5580000002</v>
      </c>
      <c r="L4">
        <v>413686.83899999998</v>
      </c>
      <c r="M4">
        <v>0.28100000000000003</v>
      </c>
      <c r="N4" t="s">
        <v>17</v>
      </c>
    </row>
    <row r="5" spans="1:14" x14ac:dyDescent="0.35">
      <c r="A5" t="s">
        <v>13</v>
      </c>
      <c r="B5">
        <v>17</v>
      </c>
      <c r="C5" t="s">
        <v>14</v>
      </c>
      <c r="D5">
        <v>2020</v>
      </c>
      <c r="E5">
        <v>2</v>
      </c>
      <c r="F5">
        <v>5</v>
      </c>
      <c r="G5" t="s">
        <v>18</v>
      </c>
      <c r="H5" t="s">
        <v>55</v>
      </c>
      <c r="I5" t="s">
        <v>56</v>
      </c>
      <c r="J5" t="s">
        <v>52</v>
      </c>
      <c r="K5">
        <v>4613713.3360000001</v>
      </c>
      <c r="L5">
        <v>413688.21799999999</v>
      </c>
      <c r="M5">
        <v>0.38600000000000001</v>
      </c>
    </row>
    <row r="6" spans="1:14" x14ac:dyDescent="0.35">
      <c r="A6" t="s">
        <v>13</v>
      </c>
      <c r="B6">
        <v>17</v>
      </c>
      <c r="C6" t="s">
        <v>14</v>
      </c>
      <c r="D6">
        <v>2020</v>
      </c>
      <c r="E6">
        <v>2</v>
      </c>
      <c r="F6">
        <v>6</v>
      </c>
      <c r="G6" t="s">
        <v>18</v>
      </c>
      <c r="H6" t="s">
        <v>55</v>
      </c>
      <c r="I6" t="s">
        <v>56</v>
      </c>
      <c r="J6" t="s">
        <v>52</v>
      </c>
      <c r="K6">
        <v>4613712.4189999998</v>
      </c>
      <c r="L6">
        <v>413689.23100000003</v>
      </c>
      <c r="M6">
        <v>0.36099999999999999</v>
      </c>
    </row>
    <row r="7" spans="1:14" x14ac:dyDescent="0.35">
      <c r="A7" t="s">
        <v>13</v>
      </c>
      <c r="B7">
        <v>17</v>
      </c>
      <c r="C7" t="s">
        <v>14</v>
      </c>
      <c r="D7">
        <v>2020</v>
      </c>
      <c r="E7">
        <v>3</v>
      </c>
      <c r="F7">
        <v>7</v>
      </c>
      <c r="G7" t="s">
        <v>19</v>
      </c>
      <c r="H7" t="s">
        <v>55</v>
      </c>
      <c r="I7" t="s">
        <v>57</v>
      </c>
      <c r="J7" t="s">
        <v>52</v>
      </c>
      <c r="K7">
        <v>4613711.591</v>
      </c>
      <c r="L7">
        <v>413690.30300000001</v>
      </c>
      <c r="M7">
        <v>0.36699999999999999</v>
      </c>
      <c r="N7" t="s">
        <v>20</v>
      </c>
    </row>
    <row r="8" spans="1:14" x14ac:dyDescent="0.35">
      <c r="A8" t="s">
        <v>13</v>
      </c>
      <c r="B8">
        <v>17</v>
      </c>
      <c r="C8" t="s">
        <v>14</v>
      </c>
      <c r="D8">
        <v>2020</v>
      </c>
      <c r="E8">
        <v>3</v>
      </c>
      <c r="F8">
        <v>8</v>
      </c>
      <c r="G8" t="s">
        <v>19</v>
      </c>
      <c r="H8" t="s">
        <v>55</v>
      </c>
      <c r="I8" t="s">
        <v>57</v>
      </c>
      <c r="J8" t="s">
        <v>52</v>
      </c>
      <c r="K8">
        <v>4613710.9369999999</v>
      </c>
      <c r="L8">
        <v>413691.56300000002</v>
      </c>
      <c r="M8">
        <v>0.38300000000000001</v>
      </c>
      <c r="N8" t="s">
        <v>20</v>
      </c>
    </row>
    <row r="9" spans="1:14" x14ac:dyDescent="0.35">
      <c r="A9" t="s">
        <v>13</v>
      </c>
      <c r="B9">
        <v>17</v>
      </c>
      <c r="C9" t="s">
        <v>14</v>
      </c>
      <c r="D9">
        <v>2020</v>
      </c>
      <c r="E9">
        <v>4</v>
      </c>
      <c r="F9">
        <v>9</v>
      </c>
      <c r="G9" t="s">
        <v>18</v>
      </c>
      <c r="H9" t="s">
        <v>55</v>
      </c>
      <c r="I9" t="s">
        <v>56</v>
      </c>
      <c r="J9" t="s">
        <v>52</v>
      </c>
      <c r="K9">
        <v>4613710.1519999998</v>
      </c>
      <c r="L9">
        <v>413692.77500000002</v>
      </c>
      <c r="M9">
        <v>0.38800000000000001</v>
      </c>
      <c r="N9" t="s">
        <v>21</v>
      </c>
    </row>
    <row r="10" spans="1:14" x14ac:dyDescent="0.35">
      <c r="A10" t="s">
        <v>13</v>
      </c>
      <c r="B10">
        <v>17</v>
      </c>
      <c r="C10" t="s">
        <v>14</v>
      </c>
      <c r="D10">
        <v>2020</v>
      </c>
      <c r="E10">
        <v>4</v>
      </c>
      <c r="F10">
        <v>10</v>
      </c>
      <c r="G10" t="s">
        <v>18</v>
      </c>
      <c r="H10" t="s">
        <v>55</v>
      </c>
      <c r="I10" t="s">
        <v>56</v>
      </c>
      <c r="J10" t="s">
        <v>52</v>
      </c>
      <c r="K10">
        <v>4613709.4939999999</v>
      </c>
      <c r="L10">
        <v>413693.76500000001</v>
      </c>
      <c r="M10">
        <v>0.40899999999999997</v>
      </c>
    </row>
    <row r="11" spans="1:14" x14ac:dyDescent="0.35">
      <c r="A11" t="s">
        <v>13</v>
      </c>
      <c r="B11">
        <v>17</v>
      </c>
      <c r="C11" t="s">
        <v>14</v>
      </c>
      <c r="D11">
        <v>2020</v>
      </c>
      <c r="E11">
        <v>5</v>
      </c>
      <c r="F11">
        <v>11</v>
      </c>
      <c r="G11" t="s">
        <v>22</v>
      </c>
      <c r="H11" t="s">
        <v>58</v>
      </c>
      <c r="I11" t="s">
        <v>56</v>
      </c>
      <c r="J11" t="s">
        <v>52</v>
      </c>
      <c r="K11">
        <v>4613708.983</v>
      </c>
      <c r="L11">
        <v>413695.212</v>
      </c>
      <c r="M11">
        <v>0.35899999999999999</v>
      </c>
      <c r="N11" t="s">
        <v>23</v>
      </c>
    </row>
    <row r="12" spans="1:14" x14ac:dyDescent="0.35">
      <c r="A12" t="s">
        <v>13</v>
      </c>
      <c r="B12">
        <v>17</v>
      </c>
      <c r="C12" t="s">
        <v>14</v>
      </c>
      <c r="D12">
        <v>2020</v>
      </c>
      <c r="E12">
        <v>5</v>
      </c>
      <c r="F12">
        <v>12</v>
      </c>
      <c r="G12" t="s">
        <v>22</v>
      </c>
      <c r="H12" t="s">
        <v>58</v>
      </c>
      <c r="I12" t="s">
        <v>56</v>
      </c>
      <c r="J12" t="s">
        <v>52</v>
      </c>
      <c r="K12">
        <v>4613710.8210000005</v>
      </c>
      <c r="L12">
        <v>413702.54399999999</v>
      </c>
      <c r="M12">
        <v>0.38900000000000001</v>
      </c>
      <c r="N12" t="s">
        <v>23</v>
      </c>
    </row>
    <row r="13" spans="1:14" x14ac:dyDescent="0.35">
      <c r="A13" t="s">
        <v>13</v>
      </c>
      <c r="B13">
        <v>17</v>
      </c>
      <c r="C13" t="s">
        <v>14</v>
      </c>
      <c r="D13">
        <v>2020</v>
      </c>
      <c r="E13">
        <v>6</v>
      </c>
      <c r="F13">
        <v>13</v>
      </c>
      <c r="G13" t="s">
        <v>18</v>
      </c>
      <c r="H13" t="s">
        <v>55</v>
      </c>
      <c r="I13" t="s">
        <v>56</v>
      </c>
      <c r="J13" t="s">
        <v>52</v>
      </c>
      <c r="K13">
        <v>4613711.0329999998</v>
      </c>
      <c r="L13">
        <v>413704.12300000002</v>
      </c>
      <c r="M13">
        <v>0.46300000000000002</v>
      </c>
    </row>
    <row r="14" spans="1:14" x14ac:dyDescent="0.35">
      <c r="A14" t="s">
        <v>13</v>
      </c>
      <c r="B14">
        <v>17</v>
      </c>
      <c r="C14" t="s">
        <v>14</v>
      </c>
      <c r="D14">
        <v>2020</v>
      </c>
      <c r="E14">
        <v>6</v>
      </c>
      <c r="F14">
        <v>14</v>
      </c>
      <c r="G14" t="s">
        <v>18</v>
      </c>
      <c r="H14" t="s">
        <v>55</v>
      </c>
      <c r="I14" t="s">
        <v>56</v>
      </c>
      <c r="J14" t="s">
        <v>52</v>
      </c>
      <c r="K14">
        <v>4613702.6569999997</v>
      </c>
      <c r="L14">
        <v>413705.84899999999</v>
      </c>
      <c r="M14">
        <v>0.498</v>
      </c>
    </row>
    <row r="15" spans="1:14" x14ac:dyDescent="0.35">
      <c r="A15" t="s">
        <v>13</v>
      </c>
      <c r="B15">
        <v>17</v>
      </c>
      <c r="C15" t="s">
        <v>14</v>
      </c>
      <c r="D15">
        <v>2020</v>
      </c>
      <c r="E15">
        <v>8</v>
      </c>
      <c r="F15">
        <v>16</v>
      </c>
      <c r="G15" t="s">
        <v>18</v>
      </c>
      <c r="H15" t="s">
        <v>55</v>
      </c>
      <c r="I15" t="s">
        <v>56</v>
      </c>
      <c r="J15" t="s">
        <v>52</v>
      </c>
      <c r="K15">
        <v>4613700.6940000001</v>
      </c>
      <c r="L15">
        <v>413704.44699999999</v>
      </c>
      <c r="M15">
        <v>0.48899999999999999</v>
      </c>
      <c r="N15" t="s">
        <v>21</v>
      </c>
    </row>
    <row r="16" spans="1:14" x14ac:dyDescent="0.35">
      <c r="A16" t="s">
        <v>13</v>
      </c>
      <c r="B16">
        <v>17</v>
      </c>
      <c r="C16" t="s">
        <v>14</v>
      </c>
      <c r="D16">
        <v>2020</v>
      </c>
      <c r="E16">
        <v>8</v>
      </c>
      <c r="F16">
        <v>17</v>
      </c>
      <c r="G16" t="s">
        <v>18</v>
      </c>
      <c r="H16" t="s">
        <v>55</v>
      </c>
      <c r="I16" t="s">
        <v>56</v>
      </c>
      <c r="J16" t="s">
        <v>52</v>
      </c>
      <c r="K16">
        <v>4613696.5420000004</v>
      </c>
      <c r="L16">
        <v>413705.59899999999</v>
      </c>
      <c r="M16">
        <v>0.53100000000000003</v>
      </c>
    </row>
    <row r="17" spans="1:14" x14ac:dyDescent="0.35">
      <c r="A17" t="s">
        <v>13</v>
      </c>
      <c r="B17">
        <v>17</v>
      </c>
      <c r="C17" t="s">
        <v>14</v>
      </c>
      <c r="D17">
        <v>2020</v>
      </c>
      <c r="E17">
        <v>9</v>
      </c>
      <c r="F17">
        <v>18</v>
      </c>
      <c r="G17" t="s">
        <v>19</v>
      </c>
      <c r="H17" t="s">
        <v>55</v>
      </c>
      <c r="I17" t="s">
        <v>57</v>
      </c>
      <c r="J17" t="s">
        <v>52</v>
      </c>
      <c r="K17">
        <v>4613695.773</v>
      </c>
      <c r="L17">
        <v>413706.70500000002</v>
      </c>
      <c r="M17">
        <v>0.49</v>
      </c>
    </row>
    <row r="18" spans="1:14" x14ac:dyDescent="0.35">
      <c r="A18" t="s">
        <v>13</v>
      </c>
      <c r="B18">
        <v>17</v>
      </c>
      <c r="C18" t="s">
        <v>14</v>
      </c>
      <c r="D18">
        <v>2020</v>
      </c>
      <c r="E18">
        <v>9</v>
      </c>
      <c r="F18">
        <v>19</v>
      </c>
      <c r="G18" t="s">
        <v>19</v>
      </c>
      <c r="H18" t="s">
        <v>55</v>
      </c>
      <c r="I18" t="s">
        <v>57</v>
      </c>
      <c r="J18" t="s">
        <v>52</v>
      </c>
      <c r="K18">
        <v>4613694.4460000005</v>
      </c>
      <c r="L18">
        <v>413706.99200000003</v>
      </c>
      <c r="M18">
        <v>0.502</v>
      </c>
      <c r="N18" t="s">
        <v>25</v>
      </c>
    </row>
    <row r="19" spans="1:14" x14ac:dyDescent="0.35">
      <c r="A19" t="s">
        <v>13</v>
      </c>
      <c r="B19">
        <v>17</v>
      </c>
      <c r="C19" t="s">
        <v>14</v>
      </c>
      <c r="D19">
        <v>2020</v>
      </c>
      <c r="E19">
        <v>10</v>
      </c>
      <c r="F19">
        <v>20</v>
      </c>
      <c r="G19" t="s">
        <v>18</v>
      </c>
      <c r="H19" t="s">
        <v>55</v>
      </c>
      <c r="I19" t="s">
        <v>56</v>
      </c>
      <c r="J19" t="s">
        <v>52</v>
      </c>
      <c r="K19">
        <v>4613692.9060000004</v>
      </c>
      <c r="L19">
        <v>413707.19099999999</v>
      </c>
      <c r="M19">
        <v>0.54600000000000004</v>
      </c>
    </row>
    <row r="20" spans="1:14" x14ac:dyDescent="0.35">
      <c r="A20" t="s">
        <v>13</v>
      </c>
      <c r="B20">
        <v>17</v>
      </c>
      <c r="C20" t="s">
        <v>14</v>
      </c>
      <c r="D20">
        <v>2020</v>
      </c>
      <c r="E20">
        <v>10</v>
      </c>
      <c r="F20">
        <v>21</v>
      </c>
      <c r="G20" t="s">
        <v>18</v>
      </c>
      <c r="H20" t="s">
        <v>55</v>
      </c>
      <c r="I20" t="s">
        <v>56</v>
      </c>
      <c r="J20" t="s">
        <v>52</v>
      </c>
      <c r="K20">
        <v>4613691.8870000001</v>
      </c>
      <c r="L20">
        <v>413707.27100000001</v>
      </c>
      <c r="M20">
        <v>0.54700000000000004</v>
      </c>
    </row>
    <row r="21" spans="1:14" x14ac:dyDescent="0.35">
      <c r="A21" t="s">
        <v>13</v>
      </c>
      <c r="B21">
        <v>17</v>
      </c>
      <c r="C21" t="s">
        <v>14</v>
      </c>
      <c r="D21">
        <v>2020</v>
      </c>
      <c r="E21">
        <v>13</v>
      </c>
      <c r="F21">
        <v>36</v>
      </c>
      <c r="G21" t="s">
        <v>29</v>
      </c>
      <c r="H21" t="s">
        <v>53</v>
      </c>
      <c r="I21" t="s">
        <v>59</v>
      </c>
      <c r="J21" t="s">
        <v>52</v>
      </c>
      <c r="K21">
        <v>4613703.142</v>
      </c>
      <c r="L21">
        <v>413737.424</v>
      </c>
      <c r="M21">
        <v>0.36899999999999999</v>
      </c>
      <c r="N21" t="s">
        <v>16</v>
      </c>
    </row>
    <row r="22" spans="1:14" x14ac:dyDescent="0.35">
      <c r="A22" t="s">
        <v>13</v>
      </c>
      <c r="B22">
        <v>17</v>
      </c>
      <c r="C22" t="s">
        <v>14</v>
      </c>
      <c r="D22">
        <v>2020</v>
      </c>
      <c r="E22">
        <v>13</v>
      </c>
      <c r="F22">
        <v>37</v>
      </c>
      <c r="G22" t="s">
        <v>29</v>
      </c>
      <c r="H22" t="s">
        <v>53</v>
      </c>
      <c r="I22" t="s">
        <v>59</v>
      </c>
      <c r="J22" t="s">
        <v>52</v>
      </c>
      <c r="K22">
        <v>4613709.5590000004</v>
      </c>
      <c r="L22">
        <v>413734.79</v>
      </c>
      <c r="M22">
        <v>0.255</v>
      </c>
      <c r="N22" t="s">
        <v>16</v>
      </c>
    </row>
    <row r="23" spans="1:14" x14ac:dyDescent="0.35">
      <c r="A23" t="s">
        <v>13</v>
      </c>
      <c r="B23">
        <v>17</v>
      </c>
      <c r="C23" t="s">
        <v>14</v>
      </c>
      <c r="D23">
        <v>2020</v>
      </c>
      <c r="E23">
        <v>14</v>
      </c>
      <c r="F23">
        <v>38</v>
      </c>
      <c r="G23" t="s">
        <v>29</v>
      </c>
      <c r="H23" t="s">
        <v>53</v>
      </c>
      <c r="I23" t="s">
        <v>59</v>
      </c>
      <c r="J23" t="s">
        <v>52</v>
      </c>
      <c r="K23">
        <v>4613609.3859999999</v>
      </c>
      <c r="L23">
        <v>413675.10499999998</v>
      </c>
      <c r="M23">
        <v>0.40400000000000003</v>
      </c>
      <c r="N23" t="s">
        <v>16</v>
      </c>
    </row>
    <row r="24" spans="1:14" x14ac:dyDescent="0.35">
      <c r="A24" t="s">
        <v>13</v>
      </c>
      <c r="B24">
        <v>17</v>
      </c>
      <c r="C24" t="s">
        <v>14</v>
      </c>
      <c r="D24">
        <v>2020</v>
      </c>
      <c r="E24">
        <v>14</v>
      </c>
      <c r="F24">
        <v>39</v>
      </c>
      <c r="G24" t="s">
        <v>29</v>
      </c>
      <c r="H24" t="s">
        <v>53</v>
      </c>
      <c r="I24" t="s">
        <v>59</v>
      </c>
      <c r="J24" t="s">
        <v>52</v>
      </c>
      <c r="K24">
        <v>4613609.4939999999</v>
      </c>
      <c r="L24">
        <v>413672.565</v>
      </c>
      <c r="M24">
        <v>0.3</v>
      </c>
      <c r="N24" t="s">
        <v>16</v>
      </c>
    </row>
    <row r="25" spans="1:14" x14ac:dyDescent="0.35">
      <c r="A25" t="s">
        <v>13</v>
      </c>
      <c r="B25">
        <v>17</v>
      </c>
      <c r="C25" t="s">
        <v>14</v>
      </c>
      <c r="D25">
        <v>2020</v>
      </c>
      <c r="E25">
        <v>14</v>
      </c>
      <c r="F25">
        <v>40</v>
      </c>
      <c r="G25" t="s">
        <v>29</v>
      </c>
      <c r="H25" t="s">
        <v>53</v>
      </c>
      <c r="I25" t="s">
        <v>59</v>
      </c>
      <c r="J25" t="s">
        <v>52</v>
      </c>
      <c r="K25">
        <v>4613612.0590000004</v>
      </c>
      <c r="L25">
        <v>413671.41899999999</v>
      </c>
      <c r="M25">
        <v>0.30499999999999999</v>
      </c>
      <c r="N25" t="s">
        <v>16</v>
      </c>
    </row>
    <row r="26" spans="1:14" x14ac:dyDescent="0.35">
      <c r="A26" t="s">
        <v>13</v>
      </c>
      <c r="B26">
        <v>17</v>
      </c>
      <c r="C26" t="s">
        <v>14</v>
      </c>
      <c r="D26">
        <v>2020</v>
      </c>
      <c r="E26">
        <v>14</v>
      </c>
      <c r="F26">
        <v>41</v>
      </c>
      <c r="G26" t="s">
        <v>29</v>
      </c>
      <c r="H26" t="s">
        <v>53</v>
      </c>
      <c r="I26" t="s">
        <v>59</v>
      </c>
      <c r="J26" t="s">
        <v>52</v>
      </c>
      <c r="K26">
        <v>4613615.8660000004</v>
      </c>
      <c r="L26">
        <v>413670.93699999998</v>
      </c>
      <c r="M26">
        <v>0.309</v>
      </c>
      <c r="N26" t="s">
        <v>16</v>
      </c>
    </row>
    <row r="27" spans="1:14" x14ac:dyDescent="0.35">
      <c r="A27" t="s">
        <v>13</v>
      </c>
      <c r="B27">
        <v>17</v>
      </c>
      <c r="C27" t="s">
        <v>14</v>
      </c>
      <c r="D27">
        <v>2020</v>
      </c>
      <c r="E27">
        <v>15</v>
      </c>
      <c r="F27">
        <v>42</v>
      </c>
      <c r="G27" t="s">
        <v>30</v>
      </c>
      <c r="H27" t="s">
        <v>60</v>
      </c>
      <c r="I27" t="s">
        <v>56</v>
      </c>
      <c r="J27" t="s">
        <v>52</v>
      </c>
      <c r="K27">
        <v>4613517.4019999998</v>
      </c>
      <c r="L27">
        <v>413585.82199999999</v>
      </c>
      <c r="M27">
        <v>0.67300000000000004</v>
      </c>
      <c r="N27" t="s">
        <v>31</v>
      </c>
    </row>
    <row r="28" spans="1:14" x14ac:dyDescent="0.35">
      <c r="A28" t="s">
        <v>13</v>
      </c>
      <c r="B28">
        <v>17</v>
      </c>
      <c r="C28" t="s">
        <v>14</v>
      </c>
      <c r="D28">
        <v>2020</v>
      </c>
      <c r="E28">
        <v>15</v>
      </c>
      <c r="F28">
        <v>43</v>
      </c>
      <c r="G28" t="s">
        <v>30</v>
      </c>
      <c r="H28" t="s">
        <v>60</v>
      </c>
      <c r="I28" t="s">
        <v>56</v>
      </c>
      <c r="J28" t="s">
        <v>52</v>
      </c>
      <c r="K28">
        <v>4613514.1739999996</v>
      </c>
      <c r="L28">
        <v>413582.723</v>
      </c>
      <c r="M28">
        <v>0.56999999999999995</v>
      </c>
      <c r="N28" t="s">
        <v>31</v>
      </c>
    </row>
    <row r="29" spans="1:14" x14ac:dyDescent="0.35">
      <c r="A29" t="s">
        <v>13</v>
      </c>
      <c r="B29">
        <v>17</v>
      </c>
      <c r="C29" t="s">
        <v>14</v>
      </c>
      <c r="D29">
        <v>2020</v>
      </c>
      <c r="E29">
        <v>15</v>
      </c>
      <c r="F29">
        <v>44</v>
      </c>
      <c r="G29" t="s">
        <v>30</v>
      </c>
      <c r="H29" t="s">
        <v>60</v>
      </c>
      <c r="I29" t="s">
        <v>56</v>
      </c>
      <c r="J29" t="s">
        <v>52</v>
      </c>
      <c r="K29">
        <v>4613510.6359999999</v>
      </c>
      <c r="L29">
        <v>413585.36900000001</v>
      </c>
      <c r="M29">
        <v>0.63</v>
      </c>
      <c r="N29" t="s">
        <v>31</v>
      </c>
    </row>
    <row r="30" spans="1:14" x14ac:dyDescent="0.35">
      <c r="A30" t="s">
        <v>13</v>
      </c>
      <c r="B30">
        <v>17</v>
      </c>
      <c r="C30" t="s">
        <v>14</v>
      </c>
      <c r="D30">
        <v>2020</v>
      </c>
      <c r="E30">
        <v>15</v>
      </c>
      <c r="F30">
        <v>45</v>
      </c>
      <c r="G30" t="s">
        <v>30</v>
      </c>
      <c r="H30" t="s">
        <v>60</v>
      </c>
      <c r="I30" t="s">
        <v>56</v>
      </c>
      <c r="J30" t="s">
        <v>52</v>
      </c>
      <c r="K30">
        <v>4613510.267</v>
      </c>
      <c r="L30">
        <v>413588.01699999999</v>
      </c>
      <c r="M30">
        <v>0.67800000000000005</v>
      </c>
      <c r="N30" t="s">
        <v>31</v>
      </c>
    </row>
    <row r="31" spans="1:14" x14ac:dyDescent="0.35">
      <c r="A31" t="s">
        <v>13</v>
      </c>
      <c r="B31">
        <v>17</v>
      </c>
      <c r="C31" t="s">
        <v>14</v>
      </c>
      <c r="D31">
        <v>2020</v>
      </c>
      <c r="E31">
        <v>17</v>
      </c>
      <c r="F31">
        <v>47</v>
      </c>
      <c r="G31" t="s">
        <v>30</v>
      </c>
      <c r="H31" t="s">
        <v>60</v>
      </c>
      <c r="I31" t="s">
        <v>56</v>
      </c>
      <c r="J31" t="s">
        <v>52</v>
      </c>
      <c r="K31">
        <v>4613507.477</v>
      </c>
      <c r="L31">
        <v>413587.77600000001</v>
      </c>
      <c r="M31">
        <v>0.83599999999999997</v>
      </c>
    </row>
    <row r="32" spans="1:14" x14ac:dyDescent="0.35">
      <c r="A32" t="s">
        <v>13</v>
      </c>
      <c r="B32">
        <v>17</v>
      </c>
      <c r="C32" t="s">
        <v>14</v>
      </c>
      <c r="D32">
        <v>2020</v>
      </c>
      <c r="E32">
        <v>17</v>
      </c>
      <c r="F32">
        <v>48</v>
      </c>
      <c r="G32" t="s">
        <v>30</v>
      </c>
      <c r="H32" t="s">
        <v>60</v>
      </c>
      <c r="I32" t="s">
        <v>56</v>
      </c>
      <c r="J32" t="s">
        <v>52</v>
      </c>
      <c r="K32">
        <v>4613500.966</v>
      </c>
      <c r="L32">
        <v>413586.02399999998</v>
      </c>
      <c r="M32">
        <v>0.82099999999999995</v>
      </c>
    </row>
    <row r="33" spans="1:14" x14ac:dyDescent="0.35">
      <c r="A33" t="s">
        <v>13</v>
      </c>
      <c r="B33">
        <v>17</v>
      </c>
      <c r="C33" t="s">
        <v>14</v>
      </c>
      <c r="D33">
        <v>2020</v>
      </c>
      <c r="E33">
        <v>17</v>
      </c>
      <c r="F33">
        <v>49</v>
      </c>
      <c r="G33" t="s">
        <v>30</v>
      </c>
      <c r="H33" t="s">
        <v>60</v>
      </c>
      <c r="I33" t="s">
        <v>56</v>
      </c>
      <c r="J33" t="s">
        <v>52</v>
      </c>
      <c r="K33">
        <v>4613490.5789999999</v>
      </c>
      <c r="L33">
        <v>413579.66399999999</v>
      </c>
      <c r="M33">
        <v>0.64900000000000002</v>
      </c>
    </row>
    <row r="34" spans="1:14" x14ac:dyDescent="0.35">
      <c r="A34" t="s">
        <v>13</v>
      </c>
      <c r="B34">
        <v>17</v>
      </c>
      <c r="C34" t="s">
        <v>14</v>
      </c>
      <c r="D34">
        <v>2020</v>
      </c>
      <c r="E34">
        <v>18</v>
      </c>
      <c r="F34">
        <v>50</v>
      </c>
      <c r="G34" t="s">
        <v>22</v>
      </c>
      <c r="H34" t="s">
        <v>58</v>
      </c>
      <c r="I34" t="s">
        <v>56</v>
      </c>
      <c r="J34" t="s">
        <v>52</v>
      </c>
      <c r="K34">
        <v>4613489.3729999997</v>
      </c>
      <c r="L34">
        <v>413578.14799999999</v>
      </c>
      <c r="M34">
        <v>0.66600000000000004</v>
      </c>
    </row>
    <row r="35" spans="1:14" x14ac:dyDescent="0.35">
      <c r="A35" t="s">
        <v>13</v>
      </c>
      <c r="B35">
        <v>17</v>
      </c>
      <c r="C35" t="s">
        <v>14</v>
      </c>
      <c r="D35">
        <v>2020</v>
      </c>
      <c r="E35">
        <v>18</v>
      </c>
      <c r="F35">
        <v>51</v>
      </c>
      <c r="G35" t="s">
        <v>22</v>
      </c>
      <c r="H35" t="s">
        <v>58</v>
      </c>
      <c r="I35" t="s">
        <v>56</v>
      </c>
      <c r="J35" t="s">
        <v>52</v>
      </c>
      <c r="K35">
        <v>4613482.426</v>
      </c>
      <c r="L35">
        <v>413575.92800000001</v>
      </c>
      <c r="M35">
        <v>0.61699999999999999</v>
      </c>
    </row>
    <row r="36" spans="1:14" x14ac:dyDescent="0.35">
      <c r="A36" t="s">
        <v>13</v>
      </c>
      <c r="B36">
        <v>17</v>
      </c>
      <c r="C36" t="s">
        <v>14</v>
      </c>
      <c r="D36">
        <v>2020</v>
      </c>
      <c r="E36">
        <v>19</v>
      </c>
      <c r="F36">
        <v>52</v>
      </c>
      <c r="G36" t="s">
        <v>33</v>
      </c>
      <c r="H36" t="s">
        <v>61</v>
      </c>
      <c r="I36" t="s">
        <v>56</v>
      </c>
      <c r="J36" t="s">
        <v>52</v>
      </c>
      <c r="K36">
        <v>4613804.2149999999</v>
      </c>
      <c r="L36">
        <v>413523.533</v>
      </c>
      <c r="M36">
        <v>0.77100000000000002</v>
      </c>
      <c r="N36" t="s">
        <v>34</v>
      </c>
    </row>
    <row r="37" spans="1:14" x14ac:dyDescent="0.35">
      <c r="A37" t="s">
        <v>13</v>
      </c>
      <c r="B37">
        <v>17</v>
      </c>
      <c r="C37" t="s">
        <v>14</v>
      </c>
      <c r="D37">
        <v>2020</v>
      </c>
      <c r="E37">
        <v>19</v>
      </c>
      <c r="F37">
        <v>53</v>
      </c>
      <c r="G37" t="s">
        <v>33</v>
      </c>
      <c r="H37" t="s">
        <v>61</v>
      </c>
      <c r="I37" t="s">
        <v>56</v>
      </c>
      <c r="J37" t="s">
        <v>52</v>
      </c>
      <c r="K37">
        <v>4613801.6349999998</v>
      </c>
      <c r="L37">
        <v>413526.72</v>
      </c>
      <c r="M37">
        <v>0.75800000000000001</v>
      </c>
    </row>
    <row r="38" spans="1:14" x14ac:dyDescent="0.35">
      <c r="A38" t="s">
        <v>13</v>
      </c>
      <c r="B38">
        <v>17</v>
      </c>
      <c r="C38" t="s">
        <v>14</v>
      </c>
      <c r="D38">
        <v>2020</v>
      </c>
      <c r="E38">
        <v>20</v>
      </c>
      <c r="F38">
        <v>54</v>
      </c>
      <c r="G38" t="s">
        <v>35</v>
      </c>
      <c r="H38" t="s">
        <v>62</v>
      </c>
      <c r="I38" t="s">
        <v>56</v>
      </c>
      <c r="J38" t="s">
        <v>52</v>
      </c>
      <c r="K38">
        <v>4613800.0060000001</v>
      </c>
      <c r="L38">
        <v>413527.43</v>
      </c>
      <c r="M38">
        <v>0.754</v>
      </c>
    </row>
    <row r="39" spans="1:14" x14ac:dyDescent="0.35">
      <c r="A39" t="s">
        <v>13</v>
      </c>
      <c r="B39">
        <v>17</v>
      </c>
      <c r="C39" t="s">
        <v>14</v>
      </c>
      <c r="D39">
        <v>2020</v>
      </c>
      <c r="E39">
        <v>20</v>
      </c>
      <c r="F39">
        <v>55</v>
      </c>
      <c r="G39" t="s">
        <v>35</v>
      </c>
      <c r="H39" t="s">
        <v>62</v>
      </c>
      <c r="I39" t="s">
        <v>56</v>
      </c>
      <c r="J39" t="s">
        <v>52</v>
      </c>
      <c r="K39">
        <v>4613798.5729999999</v>
      </c>
      <c r="L39">
        <v>413528.63400000002</v>
      </c>
      <c r="M39">
        <v>0.69399999999999995</v>
      </c>
    </row>
    <row r="40" spans="1:14" x14ac:dyDescent="0.35">
      <c r="A40" t="s">
        <v>13</v>
      </c>
      <c r="B40">
        <v>17</v>
      </c>
      <c r="C40" t="s">
        <v>14</v>
      </c>
      <c r="D40">
        <v>2020</v>
      </c>
      <c r="E40">
        <v>21</v>
      </c>
      <c r="F40">
        <v>56</v>
      </c>
      <c r="G40" t="s">
        <v>36</v>
      </c>
      <c r="H40" t="s">
        <v>63</v>
      </c>
      <c r="I40" t="s">
        <v>56</v>
      </c>
      <c r="J40" t="s">
        <v>52</v>
      </c>
      <c r="K40">
        <v>4613797.699</v>
      </c>
      <c r="L40">
        <v>413529.83</v>
      </c>
      <c r="M40">
        <v>0.75800000000000001</v>
      </c>
      <c r="N40" t="s">
        <v>37</v>
      </c>
    </row>
    <row r="41" spans="1:14" x14ac:dyDescent="0.35">
      <c r="A41" t="s">
        <v>13</v>
      </c>
      <c r="B41">
        <v>17</v>
      </c>
      <c r="C41" t="s">
        <v>14</v>
      </c>
      <c r="D41">
        <v>2020</v>
      </c>
      <c r="E41">
        <v>21</v>
      </c>
      <c r="F41">
        <v>57</v>
      </c>
      <c r="G41" t="s">
        <v>36</v>
      </c>
      <c r="H41" t="s">
        <v>63</v>
      </c>
      <c r="I41" t="s">
        <v>56</v>
      </c>
      <c r="J41" t="s">
        <v>52</v>
      </c>
      <c r="K41">
        <v>4613796.4390000002</v>
      </c>
      <c r="L41">
        <v>413531.88299999997</v>
      </c>
      <c r="M41">
        <v>0.73099999999999998</v>
      </c>
    </row>
    <row r="42" spans="1:14" x14ac:dyDescent="0.35">
      <c r="A42" t="s">
        <v>13</v>
      </c>
      <c r="B42">
        <v>17</v>
      </c>
      <c r="C42" t="s">
        <v>14</v>
      </c>
      <c r="D42">
        <v>2020</v>
      </c>
      <c r="E42">
        <v>22</v>
      </c>
      <c r="F42">
        <v>58</v>
      </c>
      <c r="G42" t="s">
        <v>35</v>
      </c>
      <c r="H42" t="s">
        <v>62</v>
      </c>
      <c r="I42" t="s">
        <v>56</v>
      </c>
      <c r="J42" t="s">
        <v>52</v>
      </c>
      <c r="K42">
        <v>4613795.4630000005</v>
      </c>
      <c r="L42">
        <v>413533.30499999999</v>
      </c>
      <c r="M42">
        <v>0.745</v>
      </c>
    </row>
    <row r="43" spans="1:14" x14ac:dyDescent="0.35">
      <c r="A43" t="s">
        <v>13</v>
      </c>
      <c r="B43">
        <v>17</v>
      </c>
      <c r="C43" t="s">
        <v>14</v>
      </c>
      <c r="D43">
        <v>2020</v>
      </c>
      <c r="E43">
        <v>22</v>
      </c>
      <c r="F43">
        <v>59</v>
      </c>
      <c r="G43" t="s">
        <v>35</v>
      </c>
      <c r="H43" t="s">
        <v>62</v>
      </c>
      <c r="I43" t="s">
        <v>56</v>
      </c>
      <c r="J43" t="s">
        <v>52</v>
      </c>
      <c r="K43">
        <v>4613790.608</v>
      </c>
      <c r="L43">
        <v>413540.821</v>
      </c>
      <c r="M43">
        <v>0.69199999999999995</v>
      </c>
    </row>
    <row r="44" spans="1:14" x14ac:dyDescent="0.35">
      <c r="A44" t="s">
        <v>13</v>
      </c>
      <c r="B44">
        <v>17</v>
      </c>
      <c r="C44" t="s">
        <v>14</v>
      </c>
      <c r="D44">
        <v>2020</v>
      </c>
      <c r="E44">
        <v>23</v>
      </c>
      <c r="F44">
        <v>60</v>
      </c>
      <c r="G44" t="s">
        <v>38</v>
      </c>
      <c r="H44" t="s">
        <v>64</v>
      </c>
      <c r="I44" t="s">
        <v>65</v>
      </c>
      <c r="J44" t="s">
        <v>52</v>
      </c>
      <c r="K44">
        <v>4613789.5080000004</v>
      </c>
      <c r="L44">
        <v>413542.35499999998</v>
      </c>
      <c r="M44">
        <v>1.0389999999999999</v>
      </c>
      <c r="N44" t="s">
        <v>39</v>
      </c>
    </row>
    <row r="45" spans="1:14" x14ac:dyDescent="0.35">
      <c r="A45" t="s">
        <v>13</v>
      </c>
      <c r="B45">
        <v>17</v>
      </c>
      <c r="C45" t="s">
        <v>14</v>
      </c>
      <c r="D45">
        <v>2020</v>
      </c>
      <c r="E45">
        <v>23</v>
      </c>
      <c r="F45">
        <v>61</v>
      </c>
      <c r="G45" t="s">
        <v>38</v>
      </c>
      <c r="H45" t="s">
        <v>64</v>
      </c>
      <c r="I45" t="s">
        <v>65</v>
      </c>
      <c r="J45" t="s">
        <v>52</v>
      </c>
      <c r="K45">
        <v>4613775.4730000002</v>
      </c>
      <c r="L45">
        <v>413524.40500000003</v>
      </c>
      <c r="M45">
        <v>1.0980000000000001</v>
      </c>
    </row>
    <row r="46" spans="1:14" x14ac:dyDescent="0.35">
      <c r="A46" t="s">
        <v>13</v>
      </c>
      <c r="B46">
        <v>17</v>
      </c>
      <c r="C46" t="s">
        <v>14</v>
      </c>
      <c r="D46">
        <v>2020</v>
      </c>
      <c r="E46">
        <v>23</v>
      </c>
      <c r="F46">
        <v>62</v>
      </c>
      <c r="G46" t="s">
        <v>38</v>
      </c>
      <c r="H46" t="s">
        <v>64</v>
      </c>
      <c r="I46" t="s">
        <v>65</v>
      </c>
      <c r="J46" t="s">
        <v>52</v>
      </c>
      <c r="K46">
        <v>4613769.9280000003</v>
      </c>
      <c r="L46">
        <v>413504.15500000003</v>
      </c>
      <c r="M46">
        <v>0.94699999999999995</v>
      </c>
      <c r="N46" t="s">
        <v>40</v>
      </c>
    </row>
    <row r="47" spans="1:14" x14ac:dyDescent="0.35">
      <c r="A47" t="s">
        <v>13</v>
      </c>
      <c r="B47">
        <v>17</v>
      </c>
      <c r="C47" t="s">
        <v>14</v>
      </c>
      <c r="D47">
        <v>2020</v>
      </c>
      <c r="E47">
        <v>23</v>
      </c>
      <c r="F47">
        <v>63</v>
      </c>
      <c r="G47" t="s">
        <v>38</v>
      </c>
      <c r="H47" t="s">
        <v>64</v>
      </c>
      <c r="I47" t="s">
        <v>65</v>
      </c>
      <c r="J47" t="s">
        <v>52</v>
      </c>
      <c r="K47">
        <v>4613765.8190000001</v>
      </c>
      <c r="L47">
        <v>413490.25699999998</v>
      </c>
      <c r="M47">
        <v>0.68300000000000005</v>
      </c>
    </row>
    <row r="48" spans="1:14" x14ac:dyDescent="0.35">
      <c r="A48" t="s">
        <v>13</v>
      </c>
      <c r="B48">
        <v>17</v>
      </c>
      <c r="C48" t="s">
        <v>14</v>
      </c>
      <c r="D48">
        <v>2020</v>
      </c>
      <c r="E48">
        <v>25</v>
      </c>
      <c r="F48">
        <v>65</v>
      </c>
      <c r="G48" t="s">
        <v>41</v>
      </c>
      <c r="H48" t="s">
        <v>66</v>
      </c>
      <c r="I48" t="s">
        <v>56</v>
      </c>
      <c r="J48" t="s">
        <v>52</v>
      </c>
      <c r="K48">
        <v>4613769.3229999999</v>
      </c>
      <c r="L48">
        <v>413489.30099999998</v>
      </c>
      <c r="M48">
        <v>0.56200000000000006</v>
      </c>
    </row>
    <row r="49" spans="1:14" x14ac:dyDescent="0.35">
      <c r="A49" t="s">
        <v>13</v>
      </c>
      <c r="B49">
        <v>17</v>
      </c>
      <c r="C49" t="s">
        <v>14</v>
      </c>
      <c r="D49">
        <v>2020</v>
      </c>
      <c r="E49">
        <v>25</v>
      </c>
      <c r="F49">
        <v>66</v>
      </c>
      <c r="G49" t="s">
        <v>41</v>
      </c>
      <c r="H49" t="s">
        <v>66</v>
      </c>
      <c r="I49" t="s">
        <v>56</v>
      </c>
      <c r="J49" t="s">
        <v>52</v>
      </c>
      <c r="K49">
        <v>4613777.6519999998</v>
      </c>
      <c r="L49">
        <v>413487.26400000002</v>
      </c>
      <c r="M49">
        <v>0.58799999999999997</v>
      </c>
      <c r="N49" t="s">
        <v>42</v>
      </c>
    </row>
    <row r="50" spans="1:14" x14ac:dyDescent="0.35">
      <c r="A50" t="s">
        <v>13</v>
      </c>
      <c r="B50">
        <v>17</v>
      </c>
      <c r="C50" t="s">
        <v>14</v>
      </c>
      <c r="D50">
        <v>2020</v>
      </c>
      <c r="E50">
        <v>25</v>
      </c>
      <c r="F50">
        <v>67</v>
      </c>
      <c r="G50" t="s">
        <v>41</v>
      </c>
      <c r="H50" t="s">
        <v>66</v>
      </c>
      <c r="I50" t="s">
        <v>56</v>
      </c>
      <c r="J50" t="s">
        <v>52</v>
      </c>
      <c r="K50">
        <v>4613778.2470000004</v>
      </c>
      <c r="L50">
        <v>413490.83</v>
      </c>
      <c r="M50">
        <v>0.621</v>
      </c>
    </row>
    <row r="51" spans="1:14" x14ac:dyDescent="0.35">
      <c r="A51" t="s">
        <v>13</v>
      </c>
      <c r="B51">
        <v>17</v>
      </c>
      <c r="C51" t="s">
        <v>14</v>
      </c>
      <c r="D51">
        <v>2020</v>
      </c>
      <c r="E51">
        <v>26</v>
      </c>
      <c r="F51">
        <v>68</v>
      </c>
      <c r="G51" t="s">
        <v>43</v>
      </c>
      <c r="H51" t="s">
        <v>67</v>
      </c>
      <c r="I51" t="s">
        <v>56</v>
      </c>
      <c r="J51" t="s">
        <v>52</v>
      </c>
      <c r="K51">
        <v>4613779.8370000003</v>
      </c>
      <c r="L51">
        <v>413490.005</v>
      </c>
      <c r="M51">
        <v>0.57899999999999996</v>
      </c>
    </row>
    <row r="52" spans="1:14" x14ac:dyDescent="0.35">
      <c r="A52" t="s">
        <v>13</v>
      </c>
      <c r="B52">
        <v>17</v>
      </c>
      <c r="C52" t="s">
        <v>14</v>
      </c>
      <c r="D52">
        <v>2020</v>
      </c>
      <c r="E52">
        <v>26</v>
      </c>
      <c r="F52">
        <v>69</v>
      </c>
      <c r="G52" t="s">
        <v>43</v>
      </c>
      <c r="H52" t="s">
        <v>67</v>
      </c>
      <c r="I52" t="s">
        <v>56</v>
      </c>
      <c r="J52" t="s">
        <v>52</v>
      </c>
      <c r="K52">
        <v>4613792.0789999999</v>
      </c>
      <c r="L52">
        <v>413483.51199999999</v>
      </c>
      <c r="M52">
        <v>0.60499999999999998</v>
      </c>
    </row>
    <row r="53" spans="1:14" x14ac:dyDescent="0.35">
      <c r="A53" t="s">
        <v>13</v>
      </c>
      <c r="B53">
        <v>17</v>
      </c>
      <c r="C53" t="s">
        <v>14</v>
      </c>
      <c r="D53">
        <v>2020</v>
      </c>
      <c r="E53">
        <v>26</v>
      </c>
      <c r="F53">
        <v>70</v>
      </c>
      <c r="G53" t="s">
        <v>43</v>
      </c>
      <c r="H53" t="s">
        <v>67</v>
      </c>
      <c r="I53" t="s">
        <v>56</v>
      </c>
      <c r="J53" t="s">
        <v>52</v>
      </c>
      <c r="K53">
        <v>4613784.7709999997</v>
      </c>
      <c r="L53">
        <v>413500.09100000001</v>
      </c>
      <c r="M53">
        <v>0.64400000000000002</v>
      </c>
    </row>
    <row r="54" spans="1:14" x14ac:dyDescent="0.35">
      <c r="A54" t="s">
        <v>13</v>
      </c>
      <c r="B54">
        <v>17</v>
      </c>
      <c r="C54" t="s">
        <v>14</v>
      </c>
      <c r="D54">
        <v>2020</v>
      </c>
      <c r="E54">
        <v>28</v>
      </c>
      <c r="F54">
        <v>72</v>
      </c>
      <c r="G54" t="s">
        <v>41</v>
      </c>
      <c r="H54" t="s">
        <v>66</v>
      </c>
      <c r="I54" t="s">
        <v>56</v>
      </c>
      <c r="J54" t="s">
        <v>52</v>
      </c>
      <c r="K54">
        <v>4613781.835</v>
      </c>
      <c r="L54">
        <v>413501.527</v>
      </c>
      <c r="M54">
        <v>0.69699999999999995</v>
      </c>
    </row>
    <row r="55" spans="1:14" x14ac:dyDescent="0.35">
      <c r="A55" t="s">
        <v>13</v>
      </c>
      <c r="B55">
        <v>17</v>
      </c>
      <c r="C55" t="s">
        <v>14</v>
      </c>
      <c r="D55">
        <v>2020</v>
      </c>
      <c r="E55">
        <v>28</v>
      </c>
      <c r="F55">
        <v>73</v>
      </c>
      <c r="G55" t="s">
        <v>41</v>
      </c>
      <c r="H55" t="s">
        <v>66</v>
      </c>
      <c r="I55" t="s">
        <v>56</v>
      </c>
      <c r="J55" t="s">
        <v>52</v>
      </c>
      <c r="K55">
        <v>4613781.966</v>
      </c>
      <c r="L55">
        <v>413506.52600000001</v>
      </c>
      <c r="M55">
        <v>0.72499999999999998</v>
      </c>
    </row>
    <row r="56" spans="1:14" x14ac:dyDescent="0.35">
      <c r="A56" t="s">
        <v>13</v>
      </c>
      <c r="B56">
        <v>17</v>
      </c>
      <c r="C56" t="s">
        <v>14</v>
      </c>
      <c r="D56">
        <v>2020</v>
      </c>
      <c r="E56">
        <v>29</v>
      </c>
      <c r="F56">
        <v>74</v>
      </c>
      <c r="G56" t="s">
        <v>36</v>
      </c>
      <c r="H56" t="s">
        <v>63</v>
      </c>
      <c r="I56" t="s">
        <v>56</v>
      </c>
      <c r="J56" t="s">
        <v>52</v>
      </c>
      <c r="K56">
        <v>4613782.4440000001</v>
      </c>
      <c r="L56">
        <v>413507.92200000002</v>
      </c>
      <c r="M56">
        <v>0.73399999999999999</v>
      </c>
    </row>
    <row r="57" spans="1:14" x14ac:dyDescent="0.35">
      <c r="A57" t="s">
        <v>13</v>
      </c>
      <c r="B57">
        <v>17</v>
      </c>
      <c r="C57" t="s">
        <v>14</v>
      </c>
      <c r="D57">
        <v>2020</v>
      </c>
      <c r="E57">
        <v>29</v>
      </c>
      <c r="F57">
        <v>75</v>
      </c>
      <c r="G57" t="s">
        <v>36</v>
      </c>
      <c r="H57" t="s">
        <v>63</v>
      </c>
      <c r="I57" t="s">
        <v>56</v>
      </c>
      <c r="J57" t="s">
        <v>52</v>
      </c>
      <c r="K57">
        <v>4613792.6440000003</v>
      </c>
      <c r="L57">
        <v>413524.70500000002</v>
      </c>
      <c r="M57">
        <v>0.71</v>
      </c>
      <c r="N57" t="s">
        <v>45</v>
      </c>
    </row>
    <row r="58" spans="1:14" x14ac:dyDescent="0.35">
      <c r="A58" t="s">
        <v>13</v>
      </c>
      <c r="B58">
        <v>17</v>
      </c>
      <c r="C58" t="s">
        <v>14</v>
      </c>
      <c r="D58">
        <v>2020</v>
      </c>
      <c r="E58">
        <v>30</v>
      </c>
      <c r="F58">
        <v>76</v>
      </c>
      <c r="G58" t="s">
        <v>35</v>
      </c>
      <c r="H58" t="s">
        <v>62</v>
      </c>
      <c r="I58" t="s">
        <v>56</v>
      </c>
      <c r="J58" t="s">
        <v>52</v>
      </c>
      <c r="K58">
        <v>4613793.483</v>
      </c>
      <c r="L58">
        <v>413526.51799999998</v>
      </c>
      <c r="M58">
        <v>0.72299999999999998</v>
      </c>
    </row>
    <row r="59" spans="1:14" x14ac:dyDescent="0.35">
      <c r="A59" t="s">
        <v>13</v>
      </c>
      <c r="B59">
        <v>17</v>
      </c>
      <c r="C59" t="s">
        <v>14</v>
      </c>
      <c r="D59">
        <v>2020</v>
      </c>
      <c r="E59">
        <v>30</v>
      </c>
      <c r="F59">
        <v>77</v>
      </c>
      <c r="G59" t="s">
        <v>35</v>
      </c>
      <c r="H59" t="s">
        <v>62</v>
      </c>
      <c r="I59" t="s">
        <v>56</v>
      </c>
      <c r="J59" t="s">
        <v>52</v>
      </c>
      <c r="K59">
        <v>4613793.3940000003</v>
      </c>
      <c r="L59">
        <v>413542.20299999998</v>
      </c>
      <c r="M59">
        <v>0.72399999999999998</v>
      </c>
    </row>
    <row r="60" spans="1:14" x14ac:dyDescent="0.35">
      <c r="A60" t="s">
        <v>13</v>
      </c>
      <c r="B60">
        <v>17</v>
      </c>
      <c r="C60" t="s">
        <v>14</v>
      </c>
      <c r="D60">
        <v>2020</v>
      </c>
      <c r="E60">
        <v>30</v>
      </c>
      <c r="F60">
        <v>78</v>
      </c>
      <c r="G60" t="s">
        <v>35</v>
      </c>
      <c r="H60" t="s">
        <v>62</v>
      </c>
      <c r="I60" t="s">
        <v>56</v>
      </c>
      <c r="J60" t="s">
        <v>52</v>
      </c>
      <c r="K60">
        <v>4613809.4570000004</v>
      </c>
      <c r="L60">
        <v>413554.00599999999</v>
      </c>
      <c r="M60">
        <v>0.74399999999999999</v>
      </c>
    </row>
    <row r="61" spans="1:14" x14ac:dyDescent="0.35">
      <c r="A61" t="s">
        <v>13</v>
      </c>
      <c r="B61">
        <v>17</v>
      </c>
      <c r="C61" t="s">
        <v>14</v>
      </c>
      <c r="D61">
        <v>2020</v>
      </c>
      <c r="E61">
        <v>32</v>
      </c>
      <c r="F61">
        <v>80</v>
      </c>
      <c r="G61" t="s">
        <v>35</v>
      </c>
      <c r="H61" t="s">
        <v>62</v>
      </c>
      <c r="I61" t="s">
        <v>56</v>
      </c>
      <c r="J61" t="s">
        <v>52</v>
      </c>
      <c r="K61">
        <v>4613811.71</v>
      </c>
      <c r="L61">
        <v>413553.33</v>
      </c>
      <c r="M61">
        <v>0.754</v>
      </c>
    </row>
    <row r="62" spans="1:14" x14ac:dyDescent="0.35">
      <c r="A62" t="s">
        <v>13</v>
      </c>
      <c r="B62">
        <v>17</v>
      </c>
      <c r="C62" t="s">
        <v>14</v>
      </c>
      <c r="D62">
        <v>2020</v>
      </c>
      <c r="E62">
        <v>32</v>
      </c>
      <c r="F62">
        <v>81</v>
      </c>
      <c r="G62" t="s">
        <v>35</v>
      </c>
      <c r="H62" t="s">
        <v>62</v>
      </c>
      <c r="I62" t="s">
        <v>56</v>
      </c>
      <c r="J62" t="s">
        <v>52</v>
      </c>
      <c r="K62">
        <v>4613813.4929999998</v>
      </c>
      <c r="L62">
        <v>413540.30300000001</v>
      </c>
      <c r="M62">
        <v>0.70399999999999996</v>
      </c>
    </row>
    <row r="63" spans="1:14" x14ac:dyDescent="0.35">
      <c r="A63" t="s">
        <v>13</v>
      </c>
      <c r="B63">
        <v>17</v>
      </c>
      <c r="C63" t="s">
        <v>14</v>
      </c>
      <c r="D63">
        <v>2020</v>
      </c>
      <c r="E63">
        <v>33</v>
      </c>
      <c r="F63">
        <v>82</v>
      </c>
      <c r="G63" t="s">
        <v>33</v>
      </c>
      <c r="H63" t="s">
        <v>61</v>
      </c>
      <c r="I63" t="s">
        <v>56</v>
      </c>
      <c r="J63" t="s">
        <v>52</v>
      </c>
      <c r="K63">
        <v>4613814.1229999997</v>
      </c>
      <c r="L63">
        <v>413539.239</v>
      </c>
      <c r="M63">
        <v>0.73299999999999998</v>
      </c>
      <c r="N63" t="s">
        <v>47</v>
      </c>
    </row>
    <row r="64" spans="1:14" x14ac:dyDescent="0.35">
      <c r="A64" t="s">
        <v>13</v>
      </c>
      <c r="B64">
        <v>17</v>
      </c>
      <c r="C64" t="s">
        <v>14</v>
      </c>
      <c r="D64">
        <v>2020</v>
      </c>
      <c r="E64">
        <v>33</v>
      </c>
      <c r="F64">
        <v>83</v>
      </c>
      <c r="G64" t="s">
        <v>33</v>
      </c>
      <c r="H64" t="s">
        <v>61</v>
      </c>
      <c r="I64" t="s">
        <v>56</v>
      </c>
      <c r="J64" t="s">
        <v>52</v>
      </c>
      <c r="K64">
        <v>4613809.8540000003</v>
      </c>
      <c r="L64">
        <v>413531.38900000002</v>
      </c>
      <c r="M64">
        <v>0.72399999999999998</v>
      </c>
    </row>
    <row r="65" spans="1:14" x14ac:dyDescent="0.35">
      <c r="A65" t="s">
        <v>13</v>
      </c>
      <c r="B65">
        <v>17</v>
      </c>
      <c r="C65" t="s">
        <v>14</v>
      </c>
      <c r="D65">
        <v>2020</v>
      </c>
      <c r="E65">
        <v>34</v>
      </c>
      <c r="F65">
        <v>84</v>
      </c>
      <c r="G65" t="s">
        <v>41</v>
      </c>
      <c r="H65" t="s">
        <v>66</v>
      </c>
      <c r="I65" t="s">
        <v>56</v>
      </c>
      <c r="J65" t="s">
        <v>52</v>
      </c>
      <c r="K65">
        <v>4613755.233</v>
      </c>
      <c r="L65">
        <v>413478.40899999999</v>
      </c>
      <c r="M65">
        <v>0.58599999999999997</v>
      </c>
    </row>
    <row r="66" spans="1:14" x14ac:dyDescent="0.35">
      <c r="A66" t="s">
        <v>13</v>
      </c>
      <c r="B66">
        <v>17</v>
      </c>
      <c r="C66" t="s">
        <v>14</v>
      </c>
      <c r="D66">
        <v>2020</v>
      </c>
      <c r="E66">
        <v>34</v>
      </c>
      <c r="F66">
        <v>85</v>
      </c>
      <c r="G66" t="s">
        <v>41</v>
      </c>
      <c r="H66" t="s">
        <v>66</v>
      </c>
      <c r="I66" t="s">
        <v>56</v>
      </c>
      <c r="J66" t="s">
        <v>52</v>
      </c>
      <c r="K66">
        <v>4613748.8629999999</v>
      </c>
      <c r="L66">
        <v>413470.79700000002</v>
      </c>
      <c r="M66">
        <v>0.54500000000000004</v>
      </c>
    </row>
    <row r="67" spans="1:14" x14ac:dyDescent="0.35">
      <c r="A67" t="s">
        <v>13</v>
      </c>
      <c r="B67">
        <v>17</v>
      </c>
      <c r="C67" t="s">
        <v>14</v>
      </c>
      <c r="D67">
        <v>2020</v>
      </c>
      <c r="E67">
        <v>35</v>
      </c>
      <c r="F67">
        <v>86</v>
      </c>
      <c r="G67" t="s">
        <v>48</v>
      </c>
      <c r="H67" t="s">
        <v>53</v>
      </c>
      <c r="I67" t="s">
        <v>57</v>
      </c>
      <c r="J67" t="s">
        <v>52</v>
      </c>
      <c r="K67">
        <v>4613747.4400000004</v>
      </c>
      <c r="L67">
        <v>413470.03399999999</v>
      </c>
      <c r="M67">
        <v>0.495</v>
      </c>
      <c r="N67" t="s">
        <v>49</v>
      </c>
    </row>
    <row r="68" spans="1:14" x14ac:dyDescent="0.35">
      <c r="A68" t="s">
        <v>13</v>
      </c>
      <c r="B68">
        <v>17</v>
      </c>
      <c r="C68" t="s">
        <v>14</v>
      </c>
      <c r="D68">
        <v>2020</v>
      </c>
      <c r="E68">
        <v>35</v>
      </c>
      <c r="F68">
        <v>87</v>
      </c>
      <c r="G68" t="s">
        <v>48</v>
      </c>
      <c r="H68" t="s">
        <v>53</v>
      </c>
      <c r="I68" t="s">
        <v>57</v>
      </c>
      <c r="J68" t="s">
        <v>52</v>
      </c>
      <c r="K68">
        <v>4613740.9050000003</v>
      </c>
      <c r="L68">
        <v>413472.12099999998</v>
      </c>
      <c r="M68">
        <v>0.41099999999999998</v>
      </c>
      <c r="N68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FD6B-B5E1-4DF4-886C-F63808B0DC47}">
  <dimension ref="A1:N7"/>
  <sheetViews>
    <sheetView workbookViewId="0">
      <selection activeCell="F11" sqref="F1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51</v>
      </c>
    </row>
    <row r="2" spans="1:14" x14ac:dyDescent="0.35">
      <c r="A2" t="s">
        <v>13</v>
      </c>
      <c r="B2">
        <v>17</v>
      </c>
      <c r="C2" t="s">
        <v>14</v>
      </c>
      <c r="D2">
        <v>2020</v>
      </c>
      <c r="E2">
        <v>7</v>
      </c>
      <c r="F2">
        <v>15</v>
      </c>
      <c r="G2" t="s">
        <v>24</v>
      </c>
      <c r="H2" t="s">
        <v>58</v>
      </c>
      <c r="I2" t="s">
        <v>57</v>
      </c>
      <c r="J2" t="s">
        <v>68</v>
      </c>
      <c r="K2">
        <v>4613702.3490000004</v>
      </c>
      <c r="L2">
        <v>413704.56099999999</v>
      </c>
      <c r="M2">
        <v>0.44800000000000001</v>
      </c>
      <c r="N2" t="s">
        <v>23</v>
      </c>
    </row>
    <row r="3" spans="1:14" x14ac:dyDescent="0.35">
      <c r="A3" t="s">
        <v>13</v>
      </c>
      <c r="B3">
        <v>17</v>
      </c>
      <c r="C3" t="s">
        <v>14</v>
      </c>
      <c r="D3">
        <v>2020</v>
      </c>
      <c r="E3">
        <v>11</v>
      </c>
      <c r="F3">
        <v>22</v>
      </c>
      <c r="G3">
        <v>33</v>
      </c>
      <c r="H3" t="s">
        <v>69</v>
      </c>
      <c r="I3" t="s">
        <v>70</v>
      </c>
      <c r="J3" t="s">
        <v>68</v>
      </c>
      <c r="K3">
        <v>4613690.4210000001</v>
      </c>
      <c r="L3">
        <v>413707.40899999999</v>
      </c>
      <c r="M3">
        <v>0.50700000000000001</v>
      </c>
      <c r="N3" t="s">
        <v>26</v>
      </c>
    </row>
    <row r="4" spans="1:14" x14ac:dyDescent="0.35">
      <c r="A4" t="s">
        <v>13</v>
      </c>
      <c r="B4">
        <v>17</v>
      </c>
      <c r="C4" t="s">
        <v>14</v>
      </c>
      <c r="D4">
        <v>2020</v>
      </c>
      <c r="E4">
        <v>16</v>
      </c>
      <c r="F4">
        <v>46</v>
      </c>
      <c r="G4">
        <v>31</v>
      </c>
      <c r="H4" t="s">
        <v>71</v>
      </c>
      <c r="I4" t="s">
        <v>70</v>
      </c>
      <c r="J4" t="s">
        <v>68</v>
      </c>
      <c r="K4">
        <v>4613508.8260000004</v>
      </c>
      <c r="L4">
        <v>413588.158</v>
      </c>
      <c r="M4">
        <v>0.82899999999999996</v>
      </c>
      <c r="N4" t="s">
        <v>32</v>
      </c>
    </row>
    <row r="5" spans="1:14" x14ac:dyDescent="0.35">
      <c r="A5" t="s">
        <v>13</v>
      </c>
      <c r="B5">
        <v>17</v>
      </c>
      <c r="C5" t="s">
        <v>14</v>
      </c>
      <c r="D5">
        <v>2020</v>
      </c>
      <c r="E5">
        <v>24</v>
      </c>
      <c r="F5">
        <v>64</v>
      </c>
      <c r="G5" t="s">
        <v>18</v>
      </c>
      <c r="H5" t="s">
        <v>55</v>
      </c>
      <c r="I5" t="s">
        <v>56</v>
      </c>
      <c r="J5" t="s">
        <v>68</v>
      </c>
      <c r="K5">
        <v>4613767.7450000001</v>
      </c>
      <c r="L5">
        <v>413489.52600000001</v>
      </c>
      <c r="M5">
        <v>0.53400000000000003</v>
      </c>
      <c r="N5" t="s">
        <v>26</v>
      </c>
    </row>
    <row r="6" spans="1:14" x14ac:dyDescent="0.35">
      <c r="A6" t="s">
        <v>13</v>
      </c>
      <c r="B6">
        <v>17</v>
      </c>
      <c r="C6" t="s">
        <v>14</v>
      </c>
      <c r="D6">
        <v>2020</v>
      </c>
      <c r="E6">
        <v>27</v>
      </c>
      <c r="F6">
        <v>71</v>
      </c>
      <c r="G6" t="s">
        <v>33</v>
      </c>
      <c r="H6" t="s">
        <v>61</v>
      </c>
      <c r="I6" t="s">
        <v>56</v>
      </c>
      <c r="J6" t="s">
        <v>68</v>
      </c>
      <c r="K6">
        <v>4613783.1950000003</v>
      </c>
      <c r="L6">
        <v>413500.61800000002</v>
      </c>
      <c r="M6">
        <v>0.65900000000000003</v>
      </c>
      <c r="N6" t="s">
        <v>44</v>
      </c>
    </row>
    <row r="7" spans="1:14" x14ac:dyDescent="0.35">
      <c r="A7" t="s">
        <v>13</v>
      </c>
      <c r="B7">
        <v>17</v>
      </c>
      <c r="C7" t="s">
        <v>14</v>
      </c>
      <c r="D7">
        <v>2020</v>
      </c>
      <c r="E7">
        <v>31</v>
      </c>
      <c r="F7">
        <v>79</v>
      </c>
      <c r="G7" t="s">
        <v>46</v>
      </c>
      <c r="H7" t="s">
        <v>64</v>
      </c>
      <c r="I7" t="s">
        <v>56</v>
      </c>
      <c r="J7" t="s">
        <v>68</v>
      </c>
      <c r="K7">
        <v>4613810.7609999999</v>
      </c>
      <c r="L7">
        <v>413554.54800000001</v>
      </c>
      <c r="M7">
        <v>0.71599999999999997</v>
      </c>
      <c r="N7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4436-1936-4684-B994-2AB0A4EA6DDB}">
  <dimension ref="A1:N14"/>
  <sheetViews>
    <sheetView tabSelected="1" workbookViewId="0">
      <selection activeCell="E8" sqref="E8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51</v>
      </c>
    </row>
    <row r="2" spans="1:14" x14ac:dyDescent="0.35">
      <c r="A2" t="s">
        <v>13</v>
      </c>
      <c r="B2">
        <v>17</v>
      </c>
      <c r="C2" t="s">
        <v>14</v>
      </c>
      <c r="D2">
        <v>2020</v>
      </c>
      <c r="E2">
        <v>12</v>
      </c>
      <c r="F2">
        <v>23</v>
      </c>
      <c r="G2" t="s">
        <v>27</v>
      </c>
      <c r="H2" t="s">
        <v>72</v>
      </c>
      <c r="I2" t="s">
        <v>73</v>
      </c>
      <c r="J2" t="s">
        <v>50</v>
      </c>
      <c r="K2">
        <v>4613699.2149999999</v>
      </c>
      <c r="L2">
        <v>413715.37800000003</v>
      </c>
      <c r="M2">
        <v>0.499</v>
      </c>
      <c r="N2" t="s">
        <v>28</v>
      </c>
    </row>
    <row r="3" spans="1:14" x14ac:dyDescent="0.35">
      <c r="A3" t="s">
        <v>13</v>
      </c>
      <c r="B3">
        <v>17</v>
      </c>
      <c r="C3" t="s">
        <v>14</v>
      </c>
      <c r="D3">
        <v>2020</v>
      </c>
      <c r="E3">
        <v>12</v>
      </c>
      <c r="F3">
        <v>24</v>
      </c>
      <c r="G3" t="s">
        <v>27</v>
      </c>
      <c r="H3" t="s">
        <v>72</v>
      </c>
      <c r="I3" t="s">
        <v>73</v>
      </c>
      <c r="J3" t="s">
        <v>50</v>
      </c>
      <c r="K3">
        <v>4613700.3320000004</v>
      </c>
      <c r="L3">
        <v>413716.34499999997</v>
      </c>
      <c r="M3">
        <v>0.49</v>
      </c>
      <c r="N3" t="s">
        <v>28</v>
      </c>
    </row>
    <row r="4" spans="1:14" x14ac:dyDescent="0.35">
      <c r="A4" t="s">
        <v>13</v>
      </c>
      <c r="B4">
        <v>17</v>
      </c>
      <c r="C4" t="s">
        <v>14</v>
      </c>
      <c r="D4">
        <v>2020</v>
      </c>
      <c r="E4">
        <v>12</v>
      </c>
      <c r="F4">
        <v>25</v>
      </c>
      <c r="G4" t="s">
        <v>27</v>
      </c>
      <c r="H4" t="s">
        <v>72</v>
      </c>
      <c r="I4" t="s">
        <v>73</v>
      </c>
      <c r="J4" t="s">
        <v>50</v>
      </c>
      <c r="K4">
        <v>4613700.9079999998</v>
      </c>
      <c r="L4">
        <v>413716.58399999997</v>
      </c>
      <c r="M4">
        <v>0.46400000000000002</v>
      </c>
      <c r="N4" t="s">
        <v>28</v>
      </c>
    </row>
    <row r="5" spans="1:14" x14ac:dyDescent="0.35">
      <c r="A5" t="s">
        <v>13</v>
      </c>
      <c r="B5">
        <v>17</v>
      </c>
      <c r="C5" t="s">
        <v>14</v>
      </c>
      <c r="D5">
        <v>2020</v>
      </c>
      <c r="E5">
        <v>12</v>
      </c>
      <c r="F5">
        <v>26</v>
      </c>
      <c r="G5" t="s">
        <v>27</v>
      </c>
      <c r="H5" t="s">
        <v>72</v>
      </c>
      <c r="I5" t="s">
        <v>73</v>
      </c>
      <c r="J5" t="s">
        <v>50</v>
      </c>
      <c r="K5">
        <v>4613702.0439999998</v>
      </c>
      <c r="L5">
        <v>413716.17499999999</v>
      </c>
      <c r="M5">
        <v>0.45900000000000002</v>
      </c>
      <c r="N5" t="s">
        <v>28</v>
      </c>
    </row>
    <row r="6" spans="1:14" x14ac:dyDescent="0.35">
      <c r="A6" t="s">
        <v>13</v>
      </c>
      <c r="B6">
        <v>17</v>
      </c>
      <c r="C6" t="s">
        <v>14</v>
      </c>
      <c r="D6">
        <v>2020</v>
      </c>
      <c r="E6">
        <v>12</v>
      </c>
      <c r="F6">
        <v>27</v>
      </c>
      <c r="G6" t="s">
        <v>27</v>
      </c>
      <c r="H6" t="s">
        <v>72</v>
      </c>
      <c r="I6" t="s">
        <v>73</v>
      </c>
      <c r="J6" t="s">
        <v>50</v>
      </c>
      <c r="K6">
        <v>4613703.4249999998</v>
      </c>
      <c r="L6">
        <v>413716.70500000002</v>
      </c>
      <c r="M6">
        <v>0.435</v>
      </c>
      <c r="N6" t="s">
        <v>28</v>
      </c>
    </row>
    <row r="7" spans="1:14" x14ac:dyDescent="0.35">
      <c r="A7" t="s">
        <v>13</v>
      </c>
      <c r="B7">
        <v>17</v>
      </c>
      <c r="C7" t="s">
        <v>14</v>
      </c>
      <c r="D7">
        <v>2020</v>
      </c>
      <c r="E7">
        <v>12</v>
      </c>
      <c r="F7">
        <v>28</v>
      </c>
      <c r="G7" t="s">
        <v>27</v>
      </c>
      <c r="H7" t="s">
        <v>72</v>
      </c>
      <c r="I7" t="s">
        <v>73</v>
      </c>
      <c r="J7" t="s">
        <v>50</v>
      </c>
      <c r="K7">
        <v>4613704.0489999996</v>
      </c>
      <c r="L7">
        <v>413718.33</v>
      </c>
      <c r="M7">
        <v>0.48899999999999999</v>
      </c>
      <c r="N7" t="s">
        <v>28</v>
      </c>
    </row>
    <row r="8" spans="1:14" x14ac:dyDescent="0.35">
      <c r="A8" t="s">
        <v>13</v>
      </c>
      <c r="B8">
        <v>17</v>
      </c>
      <c r="C8" t="s">
        <v>14</v>
      </c>
      <c r="D8">
        <v>2020</v>
      </c>
      <c r="E8">
        <v>12</v>
      </c>
      <c r="F8">
        <v>29</v>
      </c>
      <c r="G8" t="s">
        <v>27</v>
      </c>
      <c r="H8" t="s">
        <v>72</v>
      </c>
      <c r="I8" t="s">
        <v>73</v>
      </c>
      <c r="J8" t="s">
        <v>50</v>
      </c>
      <c r="K8">
        <v>4613704.0199999996</v>
      </c>
      <c r="L8">
        <v>413720.02600000001</v>
      </c>
      <c r="M8">
        <v>0.45900000000000002</v>
      </c>
      <c r="N8" t="s">
        <v>28</v>
      </c>
    </row>
    <row r="9" spans="1:14" x14ac:dyDescent="0.35">
      <c r="A9" t="s">
        <v>13</v>
      </c>
      <c r="B9">
        <v>17</v>
      </c>
      <c r="C9" t="s">
        <v>14</v>
      </c>
      <c r="D9">
        <v>2020</v>
      </c>
      <c r="E9">
        <v>12</v>
      </c>
      <c r="F9">
        <v>30</v>
      </c>
      <c r="G9" t="s">
        <v>27</v>
      </c>
      <c r="H9" t="s">
        <v>72</v>
      </c>
      <c r="I9" t="s">
        <v>73</v>
      </c>
      <c r="J9" t="s">
        <v>50</v>
      </c>
      <c r="K9">
        <v>4613702.2350000003</v>
      </c>
      <c r="L9">
        <v>413722.28700000001</v>
      </c>
      <c r="M9">
        <v>0.44700000000000001</v>
      </c>
      <c r="N9" t="s">
        <v>28</v>
      </c>
    </row>
    <row r="10" spans="1:14" x14ac:dyDescent="0.35">
      <c r="A10" t="s">
        <v>13</v>
      </c>
      <c r="B10">
        <v>17</v>
      </c>
      <c r="C10" t="s">
        <v>14</v>
      </c>
      <c r="D10">
        <v>2020</v>
      </c>
      <c r="E10">
        <v>12</v>
      </c>
      <c r="F10">
        <v>31</v>
      </c>
      <c r="G10" t="s">
        <v>27</v>
      </c>
      <c r="H10" t="s">
        <v>72</v>
      </c>
      <c r="I10" t="s">
        <v>73</v>
      </c>
      <c r="J10" t="s">
        <v>50</v>
      </c>
      <c r="K10">
        <v>4613701.3420000002</v>
      </c>
      <c r="L10">
        <v>413721.109</v>
      </c>
      <c r="M10">
        <v>0.434</v>
      </c>
      <c r="N10" t="s">
        <v>28</v>
      </c>
    </row>
    <row r="11" spans="1:14" x14ac:dyDescent="0.35">
      <c r="A11" t="s">
        <v>13</v>
      </c>
      <c r="B11">
        <v>17</v>
      </c>
      <c r="C11" t="s">
        <v>14</v>
      </c>
      <c r="D11">
        <v>2020</v>
      </c>
      <c r="E11">
        <v>12</v>
      </c>
      <c r="F11">
        <v>32</v>
      </c>
      <c r="G11" t="s">
        <v>27</v>
      </c>
      <c r="H11" t="s">
        <v>72</v>
      </c>
      <c r="I11" t="s">
        <v>73</v>
      </c>
      <c r="J11" t="s">
        <v>50</v>
      </c>
      <c r="K11">
        <v>4613701.8470000001</v>
      </c>
      <c r="L11">
        <v>413720.79499999998</v>
      </c>
      <c r="M11">
        <v>0.46700000000000003</v>
      </c>
      <c r="N11" t="s">
        <v>28</v>
      </c>
    </row>
    <row r="12" spans="1:14" x14ac:dyDescent="0.35">
      <c r="A12" t="s">
        <v>13</v>
      </c>
      <c r="B12">
        <v>17</v>
      </c>
      <c r="C12" t="s">
        <v>14</v>
      </c>
      <c r="D12">
        <v>2020</v>
      </c>
      <c r="E12">
        <v>12</v>
      </c>
      <c r="F12">
        <v>33</v>
      </c>
      <c r="G12" t="s">
        <v>27</v>
      </c>
      <c r="H12" t="s">
        <v>72</v>
      </c>
      <c r="I12" t="s">
        <v>73</v>
      </c>
      <c r="J12" t="s">
        <v>50</v>
      </c>
      <c r="K12">
        <v>4613700.0539999995</v>
      </c>
      <c r="L12">
        <v>413717.78</v>
      </c>
      <c r="M12">
        <v>0.44700000000000001</v>
      </c>
      <c r="N12" t="s">
        <v>28</v>
      </c>
    </row>
    <row r="13" spans="1:14" x14ac:dyDescent="0.35">
      <c r="A13" t="s">
        <v>13</v>
      </c>
      <c r="B13">
        <v>17</v>
      </c>
      <c r="C13" t="s">
        <v>14</v>
      </c>
      <c r="D13">
        <v>2020</v>
      </c>
      <c r="E13">
        <v>12</v>
      </c>
      <c r="F13">
        <v>34</v>
      </c>
      <c r="G13" t="s">
        <v>27</v>
      </c>
      <c r="H13" t="s">
        <v>72</v>
      </c>
      <c r="I13" t="s">
        <v>73</v>
      </c>
      <c r="J13" t="s">
        <v>50</v>
      </c>
      <c r="K13">
        <v>4613699.2340000002</v>
      </c>
      <c r="L13">
        <v>413717.84600000002</v>
      </c>
      <c r="M13">
        <v>0.45700000000000002</v>
      </c>
      <c r="N13" t="s">
        <v>28</v>
      </c>
    </row>
    <row r="14" spans="1:14" x14ac:dyDescent="0.35">
      <c r="A14" t="s">
        <v>13</v>
      </c>
      <c r="B14">
        <v>17</v>
      </c>
      <c r="C14" t="s">
        <v>14</v>
      </c>
      <c r="D14">
        <v>2020</v>
      </c>
      <c r="E14">
        <v>12</v>
      </c>
      <c r="F14">
        <v>35</v>
      </c>
      <c r="G14" t="s">
        <v>27</v>
      </c>
      <c r="H14" t="s">
        <v>72</v>
      </c>
      <c r="I14" t="s">
        <v>73</v>
      </c>
      <c r="J14" t="s">
        <v>50</v>
      </c>
      <c r="K14">
        <v>4613699.0630000001</v>
      </c>
      <c r="L14">
        <v>413715.58299999998</v>
      </c>
      <c r="M14">
        <v>0.46500000000000002</v>
      </c>
      <c r="N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redriver17sept2020_revised</vt:lpstr>
      <vt:lpstr>Line</vt:lpstr>
      <vt:lpstr>MU</vt:lpstr>
      <vt:lpstr>Poly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Wicks</dc:creator>
  <cp:lastModifiedBy>Ryan Wicks</cp:lastModifiedBy>
  <dcterms:created xsi:type="dcterms:W3CDTF">2025-03-17T18:32:23Z</dcterms:created>
  <dcterms:modified xsi:type="dcterms:W3CDTF">2025-04-15T18:20:37Z</dcterms:modified>
</cp:coreProperties>
</file>