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6-MI-dco6FLWkZmTDZ4MFhRU1k\7. SaltMUAS_share\In Situ Data Collection\Peggotty Beach\Ground Truthing\NAD83_UTM19N\"/>
    </mc:Choice>
  </mc:AlternateContent>
  <xr:revisionPtr revIDLastSave="0" documentId="13_ncr:1_{1A4248BD-BEA4-4A4D-8DCB-B408A235CE4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eggoty08oct2018" sheetId="1" r:id="rId1"/>
    <sheet name="MU" sheetId="2" r:id="rId2"/>
    <sheet name="Line" sheetId="3" r:id="rId3"/>
    <sheet name="Poly" sheetId="4" r:id="rId4"/>
  </sheets>
  <definedNames>
    <definedName name="_xlnm._FilterDatabase" localSheetId="0" hidden="1">peggoty08oct2018!$A$1:$M$83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" l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<sst xmlns="http://schemas.openxmlformats.org/spreadsheetml/2006/main" count="672" uniqueCount="49">
  <si>
    <t>PolygonNum</t>
  </si>
  <si>
    <t>PointNum</t>
  </si>
  <si>
    <t>Subclass</t>
  </si>
  <si>
    <t>Northing</t>
  </si>
  <si>
    <t>Easting</t>
  </si>
  <si>
    <t>Altitude</t>
  </si>
  <si>
    <t>12a</t>
  </si>
  <si>
    <t>01a</t>
  </si>
  <si>
    <t>02a</t>
  </si>
  <si>
    <t>10a</t>
  </si>
  <si>
    <t>06a</t>
  </si>
  <si>
    <t>06b</t>
  </si>
  <si>
    <t>09s</t>
  </si>
  <si>
    <t>09a</t>
  </si>
  <si>
    <t>04a</t>
  </si>
  <si>
    <t>01b</t>
  </si>
  <si>
    <t>01ah</t>
  </si>
  <si>
    <t>31s</t>
  </si>
  <si>
    <t>08a</t>
  </si>
  <si>
    <t>4a</t>
  </si>
  <si>
    <t>Day</t>
  </si>
  <si>
    <t>Month</t>
  </si>
  <si>
    <t>Year</t>
  </si>
  <si>
    <t>Sub&amp;Att</t>
  </si>
  <si>
    <t>Attributes</t>
  </si>
  <si>
    <t>SampFormat</t>
  </si>
  <si>
    <t>Site</t>
  </si>
  <si>
    <t>PEG</t>
  </si>
  <si>
    <t>MU</t>
  </si>
  <si>
    <t>Line</t>
  </si>
  <si>
    <t>12</t>
  </si>
  <si>
    <t>a</t>
  </si>
  <si>
    <t>01</t>
  </si>
  <si>
    <t>02</t>
  </si>
  <si>
    <t>10</t>
  </si>
  <si>
    <t>06</t>
  </si>
  <si>
    <t>b</t>
  </si>
  <si>
    <t>09</t>
  </si>
  <si>
    <t>s</t>
  </si>
  <si>
    <t>1</t>
  </si>
  <si>
    <t/>
  </si>
  <si>
    <t>31</t>
  </si>
  <si>
    <t>32</t>
  </si>
  <si>
    <t>04</t>
  </si>
  <si>
    <t>27</t>
  </si>
  <si>
    <t>ah</t>
  </si>
  <si>
    <t>08</t>
  </si>
  <si>
    <t>8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</si>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</sst>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2" activePane="bottomLeft" state="frozen"/>
      <selection pane="bottomLeft" activeCell="N2" sqref="N2"/>
    </sheetView>
  </sheetViews>
  <sheetFormatPr defaultColWidth="12.5703125" defaultRowHeight="15.75" customHeight="1" x14ac:dyDescent="0.2"/>
  <sheetData>
    <row r="1" spans="1:27" ht="15.75" customHeight="1" x14ac:dyDescent="0.2">
      <c r="A1" t="s">
        <v>26</v>
      </c>
      <c r="B1" t="s">
        <v>20</v>
      </c>
      <c r="C1" t="s">
        <v>21</v>
      </c>
      <c r="D1" t="s">
        <v>22</v>
      </c>
      <c r="E1" t="s">
        <v>0</v>
      </c>
      <c r="F1" t="s">
        <v>1</v>
      </c>
      <c r="G1" t="s">
        <v>23</v>
      </c>
      <c r="H1" t="s">
        <v>2</v>
      </c>
      <c r="I1" t="s">
        <v>24</v>
      </c>
      <c r="J1" t="s">
        <v>25</v>
      </c>
      <c r="K1" t="s">
        <v>3</v>
      </c>
      <c r="L1" t="s">
        <v>4</v>
      </c>
      <c r="M1" t="s">
        <v>5</v>
      </c>
      <c r="N1" s="1" t="s">
        <v>48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t="s">
        <v>27</v>
      </c>
      <c r="C2" s="3"/>
      <c r="E2" s="1">
        <v>94</v>
      </c>
      <c r="F2" s="1">
        <v>380</v>
      </c>
      <c r="G2" s="1" t="s">
        <v>6</v>
      </c>
      <c r="H2" t="str">
        <f t="shared" ref="H2:H33" si="0">LEFT(G2,2)</f>
        <v>12</v>
      </c>
      <c r="I2" t="str">
        <f>RIGHT(G2,LEN(G2)-LEN(H2))</f>
        <v>a</v>
      </c>
      <c r="J2" s="1" t="s">
        <v>28</v>
      </c>
      <c r="K2" s="1">
        <v>4672342.6550000003</v>
      </c>
      <c r="L2" s="1">
        <v>357970.728</v>
      </c>
      <c r="M2" s="1">
        <v>1.6220000000000001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">
      <c r="A3" t="s">
        <v>27</v>
      </c>
      <c r="C3" s="3"/>
      <c r="E3" s="1">
        <v>95</v>
      </c>
      <c r="F3" s="1">
        <v>381</v>
      </c>
      <c r="G3" s="1">
        <v>32</v>
      </c>
      <c r="H3" t="str">
        <f t="shared" si="0"/>
        <v>32</v>
      </c>
      <c r="I3" t="str">
        <f t="shared" ref="I3:I57" si="1">RIGHT(G3,LEN(G3)-LEN(H3))</f>
        <v/>
      </c>
      <c r="J3" s="1" t="s">
        <v>29</v>
      </c>
      <c r="K3" s="1">
        <v>4672342.5829999996</v>
      </c>
      <c r="L3" s="1">
        <v>357969.67599999998</v>
      </c>
      <c r="M3" s="1">
        <v>1.8560000000000001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">
      <c r="A4" t="s">
        <v>27</v>
      </c>
      <c r="C4" s="3"/>
      <c r="E4" s="1">
        <v>95</v>
      </c>
      <c r="F4" s="1">
        <v>382</v>
      </c>
      <c r="G4" s="1">
        <v>32</v>
      </c>
      <c r="H4" t="str">
        <f t="shared" si="0"/>
        <v>32</v>
      </c>
      <c r="I4" t="str">
        <f t="shared" si="1"/>
        <v/>
      </c>
      <c r="J4" s="1" t="s">
        <v>29</v>
      </c>
      <c r="K4" s="1">
        <v>4672343.307</v>
      </c>
      <c r="L4" s="1">
        <v>357967.45400000003</v>
      </c>
      <c r="M4" s="1">
        <v>1.5129999999999999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">
      <c r="A5" t="s">
        <v>27</v>
      </c>
      <c r="C5" s="3"/>
      <c r="E5" s="1">
        <v>96</v>
      </c>
      <c r="F5" s="1">
        <v>383</v>
      </c>
      <c r="G5" s="1" t="s">
        <v>7</v>
      </c>
      <c r="H5" t="str">
        <f t="shared" si="0"/>
        <v>01</v>
      </c>
      <c r="I5" t="str">
        <f t="shared" si="1"/>
        <v>a</v>
      </c>
      <c r="J5" s="1" t="s">
        <v>28</v>
      </c>
      <c r="K5" s="1">
        <v>4672343.4510000004</v>
      </c>
      <c r="L5" s="1">
        <v>357966.484</v>
      </c>
      <c r="M5" s="1">
        <v>1.431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">
      <c r="A6" t="s">
        <v>27</v>
      </c>
      <c r="C6" s="3"/>
      <c r="E6" s="1">
        <v>97</v>
      </c>
      <c r="F6" s="1">
        <v>384</v>
      </c>
      <c r="G6" s="1" t="s">
        <v>8</v>
      </c>
      <c r="H6" t="str">
        <f t="shared" si="0"/>
        <v>02</v>
      </c>
      <c r="I6" t="str">
        <f t="shared" si="1"/>
        <v>a</v>
      </c>
      <c r="J6" s="1" t="s">
        <v>28</v>
      </c>
      <c r="K6" s="1">
        <v>4672344.4740000004</v>
      </c>
      <c r="L6" s="1">
        <v>357965.08899999998</v>
      </c>
      <c r="M6" s="1">
        <v>1.401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">
      <c r="A7" t="s">
        <v>27</v>
      </c>
      <c r="C7" s="3"/>
      <c r="E7" s="1">
        <v>98</v>
      </c>
      <c r="F7" s="1">
        <v>385</v>
      </c>
      <c r="G7" s="1" t="s">
        <v>9</v>
      </c>
      <c r="H7" t="str">
        <f t="shared" si="0"/>
        <v>10</v>
      </c>
      <c r="I7" t="str">
        <f t="shared" si="1"/>
        <v>a</v>
      </c>
      <c r="J7" s="1" t="s">
        <v>28</v>
      </c>
      <c r="K7" s="1">
        <v>4672343.7429999998</v>
      </c>
      <c r="L7" s="1">
        <v>357963.74300000002</v>
      </c>
      <c r="M7" s="1">
        <v>1.413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">
      <c r="A8" t="s">
        <v>27</v>
      </c>
      <c r="C8" s="3"/>
      <c r="E8" s="1">
        <v>99</v>
      </c>
      <c r="F8" s="1">
        <v>386</v>
      </c>
      <c r="G8" s="1" t="s">
        <v>10</v>
      </c>
      <c r="H8" t="str">
        <f t="shared" si="0"/>
        <v>06</v>
      </c>
      <c r="I8" t="str">
        <f t="shared" si="1"/>
        <v>a</v>
      </c>
      <c r="J8" s="1" t="s">
        <v>29</v>
      </c>
      <c r="K8" s="1">
        <v>4672344.0719999997</v>
      </c>
      <c r="L8" s="1">
        <v>357962.64</v>
      </c>
      <c r="M8" s="1">
        <v>1.383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">
      <c r="A9" t="s">
        <v>27</v>
      </c>
      <c r="C9" s="3"/>
      <c r="E9" s="1">
        <v>99</v>
      </c>
      <c r="F9" s="1">
        <v>387</v>
      </c>
      <c r="G9" s="1" t="s">
        <v>10</v>
      </c>
      <c r="H9" t="str">
        <f t="shared" si="0"/>
        <v>06</v>
      </c>
      <c r="I9" t="str">
        <f t="shared" si="1"/>
        <v>a</v>
      </c>
      <c r="J9" s="1" t="s">
        <v>29</v>
      </c>
      <c r="K9" s="1">
        <v>4672342.3619999997</v>
      </c>
      <c r="L9" s="1">
        <v>357960.74900000001</v>
      </c>
      <c r="M9" s="1">
        <v>1.401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">
      <c r="A10" t="s">
        <v>27</v>
      </c>
      <c r="C10" s="3"/>
      <c r="E10" s="1">
        <v>99</v>
      </c>
      <c r="F10" s="1">
        <v>388</v>
      </c>
      <c r="G10" s="1" t="s">
        <v>10</v>
      </c>
      <c r="H10" t="str">
        <f t="shared" si="0"/>
        <v>06</v>
      </c>
      <c r="I10" t="str">
        <f t="shared" si="1"/>
        <v>a</v>
      </c>
      <c r="J10" s="1" t="s">
        <v>29</v>
      </c>
      <c r="K10" s="1">
        <v>4672341.693</v>
      </c>
      <c r="L10" s="1">
        <v>357961.85</v>
      </c>
      <c r="M10" s="1">
        <v>1.4770000000000001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">
      <c r="A11" t="s">
        <v>27</v>
      </c>
      <c r="C11" s="3"/>
      <c r="E11" s="1">
        <v>100</v>
      </c>
      <c r="F11" s="1">
        <v>389</v>
      </c>
      <c r="G11" s="1" t="s">
        <v>9</v>
      </c>
      <c r="H11" t="str">
        <f t="shared" si="0"/>
        <v>10</v>
      </c>
      <c r="I11" t="str">
        <f t="shared" si="1"/>
        <v>a</v>
      </c>
      <c r="J11" s="1" t="s">
        <v>28</v>
      </c>
      <c r="K11" s="1">
        <v>4672340.7120000003</v>
      </c>
      <c r="L11" s="1">
        <v>357962.82500000001</v>
      </c>
      <c r="M11" s="1">
        <v>1.4870000000000001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">
      <c r="A12" t="s">
        <v>27</v>
      </c>
      <c r="C12" s="3"/>
      <c r="E12" s="1">
        <v>101</v>
      </c>
      <c r="F12" s="1">
        <v>390</v>
      </c>
      <c r="G12" s="1">
        <v>31</v>
      </c>
      <c r="H12" t="str">
        <f t="shared" si="0"/>
        <v>31</v>
      </c>
      <c r="I12" t="str">
        <f t="shared" si="1"/>
        <v/>
      </c>
      <c r="J12" s="1" t="s">
        <v>29</v>
      </c>
      <c r="K12" s="1">
        <v>4672340.2980000004</v>
      </c>
      <c r="L12" s="1">
        <v>357961.88</v>
      </c>
      <c r="M12" s="1">
        <v>1.522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">
      <c r="A13" t="s">
        <v>27</v>
      </c>
      <c r="C13" s="3"/>
      <c r="E13" s="1">
        <v>101</v>
      </c>
      <c r="F13" s="1">
        <v>391</v>
      </c>
      <c r="G13" s="1">
        <v>31</v>
      </c>
      <c r="H13" t="str">
        <f t="shared" si="0"/>
        <v>31</v>
      </c>
      <c r="I13" t="str">
        <f t="shared" si="1"/>
        <v/>
      </c>
      <c r="J13" s="1" t="s">
        <v>29</v>
      </c>
      <c r="K13" s="1">
        <v>4672336.4890000001</v>
      </c>
      <c r="L13" s="1">
        <v>357957.625</v>
      </c>
      <c r="M13" s="1">
        <v>1.629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t="s">
        <v>27</v>
      </c>
      <c r="C14" s="3"/>
      <c r="E14" s="1">
        <v>102</v>
      </c>
      <c r="F14" s="1">
        <v>392</v>
      </c>
      <c r="G14" s="1" t="s">
        <v>11</v>
      </c>
      <c r="H14" t="str">
        <f t="shared" si="0"/>
        <v>06</v>
      </c>
      <c r="I14" t="str">
        <f t="shared" si="1"/>
        <v>b</v>
      </c>
      <c r="J14" s="1" t="s">
        <v>28</v>
      </c>
      <c r="K14" s="1">
        <v>4672335.7220000001</v>
      </c>
      <c r="L14" s="1">
        <v>357956.85399999999</v>
      </c>
      <c r="M14" s="1">
        <v>1.7210000000000001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t="s">
        <v>27</v>
      </c>
      <c r="C15" s="3"/>
      <c r="E15" s="1">
        <v>103</v>
      </c>
      <c r="F15" s="1">
        <v>393</v>
      </c>
      <c r="G15" s="1">
        <v>31</v>
      </c>
      <c r="H15" t="str">
        <f t="shared" si="0"/>
        <v>31</v>
      </c>
      <c r="I15" t="str">
        <f t="shared" si="1"/>
        <v/>
      </c>
      <c r="J15" s="1" t="s">
        <v>29</v>
      </c>
      <c r="K15" s="1">
        <v>4672334.8810000001</v>
      </c>
      <c r="L15" s="1">
        <v>357956.549</v>
      </c>
      <c r="M15" s="1">
        <v>1.635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t="s">
        <v>27</v>
      </c>
      <c r="C16" s="3"/>
      <c r="E16" s="1">
        <v>103</v>
      </c>
      <c r="F16" s="1">
        <v>394</v>
      </c>
      <c r="G16" s="1">
        <v>31</v>
      </c>
      <c r="H16" t="str">
        <f t="shared" si="0"/>
        <v>31</v>
      </c>
      <c r="I16" t="str">
        <f t="shared" si="1"/>
        <v/>
      </c>
      <c r="J16" s="1" t="s">
        <v>29</v>
      </c>
      <c r="K16" s="1">
        <v>4672331.6840000004</v>
      </c>
      <c r="L16" s="1">
        <v>357953.83399999997</v>
      </c>
      <c r="M16" s="1">
        <v>1.728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t="s">
        <v>27</v>
      </c>
      <c r="C17" s="3"/>
      <c r="E17" s="1">
        <v>104</v>
      </c>
      <c r="F17" s="1">
        <v>395</v>
      </c>
      <c r="G17" s="1" t="s">
        <v>12</v>
      </c>
      <c r="H17" t="str">
        <f t="shared" si="0"/>
        <v>09</v>
      </c>
      <c r="I17" t="str">
        <f t="shared" si="1"/>
        <v>s</v>
      </c>
      <c r="J17" s="1" t="s">
        <v>28</v>
      </c>
      <c r="K17" s="1">
        <v>4672330.3360000001</v>
      </c>
      <c r="L17" s="1">
        <v>357953.565</v>
      </c>
      <c r="M17" s="1">
        <v>1.9259999999999999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t="s">
        <v>27</v>
      </c>
      <c r="C18" s="3"/>
      <c r="E18" s="1">
        <v>105</v>
      </c>
      <c r="F18" s="1">
        <v>396</v>
      </c>
      <c r="G18" s="1" t="s">
        <v>9</v>
      </c>
      <c r="H18" t="str">
        <f t="shared" si="0"/>
        <v>10</v>
      </c>
      <c r="I18" t="str">
        <f t="shared" si="1"/>
        <v>a</v>
      </c>
      <c r="J18" s="1" t="s">
        <v>29</v>
      </c>
      <c r="K18" s="1">
        <v>4672328.7439999999</v>
      </c>
      <c r="L18" s="1">
        <v>357952.50199999998</v>
      </c>
      <c r="M18" s="1">
        <v>1.6819999999999999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t="s">
        <v>27</v>
      </c>
      <c r="C19" s="3"/>
      <c r="E19" s="1">
        <v>105</v>
      </c>
      <c r="F19" s="1">
        <v>397</v>
      </c>
      <c r="G19" s="1" t="s">
        <v>9</v>
      </c>
      <c r="H19" t="str">
        <f t="shared" si="0"/>
        <v>10</v>
      </c>
      <c r="I19" t="str">
        <f t="shared" si="1"/>
        <v>a</v>
      </c>
      <c r="J19" s="1" t="s">
        <v>29</v>
      </c>
      <c r="K19" s="1">
        <v>4672326.8480000002</v>
      </c>
      <c r="L19" s="1">
        <v>357951.902</v>
      </c>
      <c r="M19" s="1">
        <v>1.6160000000000001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t="s">
        <v>27</v>
      </c>
      <c r="C20" s="3"/>
      <c r="E20" s="1">
        <v>106</v>
      </c>
      <c r="F20" s="1">
        <v>398</v>
      </c>
      <c r="G20" s="1" t="s">
        <v>13</v>
      </c>
      <c r="H20" t="str">
        <f t="shared" si="0"/>
        <v>09</v>
      </c>
      <c r="I20" t="str">
        <f t="shared" si="1"/>
        <v>a</v>
      </c>
      <c r="J20" s="1" t="s">
        <v>29</v>
      </c>
      <c r="K20" s="1">
        <v>4672325.5250000004</v>
      </c>
      <c r="L20" s="1">
        <v>357951.15399999998</v>
      </c>
      <c r="M20" s="1">
        <v>1.879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t="s">
        <v>27</v>
      </c>
      <c r="C21" s="3"/>
      <c r="E21" s="1">
        <v>106</v>
      </c>
      <c r="F21" s="1">
        <v>399</v>
      </c>
      <c r="G21" s="1" t="s">
        <v>13</v>
      </c>
      <c r="H21" t="str">
        <f t="shared" si="0"/>
        <v>09</v>
      </c>
      <c r="I21" t="str">
        <f t="shared" si="1"/>
        <v>a</v>
      </c>
      <c r="J21" s="1" t="s">
        <v>29</v>
      </c>
      <c r="K21" s="1">
        <v>4672320.4409999996</v>
      </c>
      <c r="L21" s="1">
        <v>357943.05200000003</v>
      </c>
      <c r="M21" s="1">
        <v>1.657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t="s">
        <v>27</v>
      </c>
      <c r="C22" s="3"/>
      <c r="E22" s="1">
        <v>107</v>
      </c>
      <c r="F22" s="1">
        <v>400</v>
      </c>
      <c r="G22" s="1" t="s">
        <v>14</v>
      </c>
      <c r="H22" t="str">
        <f t="shared" si="0"/>
        <v>04</v>
      </c>
      <c r="I22" t="str">
        <f t="shared" si="1"/>
        <v>a</v>
      </c>
      <c r="J22" s="1" t="s">
        <v>29</v>
      </c>
      <c r="K22" s="1">
        <v>4672319.7580000004</v>
      </c>
      <c r="L22" s="1">
        <v>357942.15399999998</v>
      </c>
      <c r="M22" s="1">
        <v>1.5309999999999999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t="s">
        <v>27</v>
      </c>
      <c r="C23" s="3"/>
      <c r="E23" s="1">
        <v>107</v>
      </c>
      <c r="F23" s="1">
        <v>401</v>
      </c>
      <c r="G23" s="1" t="s">
        <v>14</v>
      </c>
      <c r="H23" t="str">
        <f t="shared" si="0"/>
        <v>04</v>
      </c>
      <c r="I23" t="str">
        <f t="shared" si="1"/>
        <v>a</v>
      </c>
      <c r="J23" s="1" t="s">
        <v>29</v>
      </c>
      <c r="K23" s="1">
        <v>4672314.3509999998</v>
      </c>
      <c r="L23" s="1">
        <v>357933.68900000001</v>
      </c>
      <c r="M23" s="1">
        <v>1.5669999999999999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t="s">
        <v>27</v>
      </c>
      <c r="C24" s="3"/>
      <c r="E24" s="1">
        <v>107</v>
      </c>
      <c r="F24" s="1">
        <v>402</v>
      </c>
      <c r="G24" s="1" t="s">
        <v>14</v>
      </c>
      <c r="H24" t="str">
        <f t="shared" si="0"/>
        <v>04</v>
      </c>
      <c r="I24" t="str">
        <f t="shared" si="1"/>
        <v>a</v>
      </c>
      <c r="J24" s="1" t="s">
        <v>29</v>
      </c>
      <c r="K24" s="1">
        <v>4672318.1339999996</v>
      </c>
      <c r="L24" s="1">
        <v>357929.55599999998</v>
      </c>
      <c r="M24" s="1">
        <v>1.5620000000000001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t="s">
        <v>27</v>
      </c>
      <c r="C25" s="3"/>
      <c r="E25" s="1">
        <v>108</v>
      </c>
      <c r="F25" s="1">
        <v>403</v>
      </c>
      <c r="G25" s="1" t="s">
        <v>10</v>
      </c>
      <c r="H25" t="str">
        <f t="shared" si="0"/>
        <v>06</v>
      </c>
      <c r="I25" t="str">
        <f t="shared" si="1"/>
        <v>a</v>
      </c>
      <c r="J25" s="1" t="s">
        <v>29</v>
      </c>
      <c r="K25" s="1">
        <v>4672319.2659999998</v>
      </c>
      <c r="L25" s="1">
        <v>357928.55599999998</v>
      </c>
      <c r="M25" s="1">
        <v>1.5529999999999999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x14ac:dyDescent="0.2">
      <c r="A26" t="s">
        <v>27</v>
      </c>
      <c r="C26" s="3"/>
      <c r="E26" s="1">
        <v>108</v>
      </c>
      <c r="F26" s="1">
        <v>404</v>
      </c>
      <c r="G26" s="1" t="s">
        <v>10</v>
      </c>
      <c r="H26" t="str">
        <f t="shared" si="0"/>
        <v>06</v>
      </c>
      <c r="I26" t="str">
        <f t="shared" si="1"/>
        <v>a</v>
      </c>
      <c r="J26" s="1" t="s">
        <v>29</v>
      </c>
      <c r="K26" s="1">
        <v>4672321.392</v>
      </c>
      <c r="L26" s="1">
        <v>357925.18099999998</v>
      </c>
      <c r="M26" s="1">
        <v>1.4430000000000001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x14ac:dyDescent="0.2">
      <c r="A27" t="s">
        <v>27</v>
      </c>
      <c r="C27" s="3"/>
      <c r="E27" s="1">
        <v>109</v>
      </c>
      <c r="F27" s="1">
        <v>405</v>
      </c>
      <c r="G27" s="1" t="s">
        <v>8</v>
      </c>
      <c r="H27" t="str">
        <f t="shared" si="0"/>
        <v>02</v>
      </c>
      <c r="I27" t="str">
        <f t="shared" si="1"/>
        <v>a</v>
      </c>
      <c r="J27" s="1" t="s">
        <v>29</v>
      </c>
      <c r="K27" s="1">
        <v>4672321.9919999996</v>
      </c>
      <c r="L27" s="1">
        <v>357924.26799999998</v>
      </c>
      <c r="M27" s="1">
        <v>1.321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x14ac:dyDescent="0.2">
      <c r="A28" t="s">
        <v>27</v>
      </c>
      <c r="C28" s="3"/>
      <c r="E28" s="1">
        <v>109</v>
      </c>
      <c r="F28" s="1">
        <v>406</v>
      </c>
      <c r="G28" s="1" t="s">
        <v>8</v>
      </c>
      <c r="H28" t="str">
        <f t="shared" si="0"/>
        <v>02</v>
      </c>
      <c r="I28" t="str">
        <f t="shared" si="1"/>
        <v>a</v>
      </c>
      <c r="J28" s="1" t="s">
        <v>29</v>
      </c>
      <c r="K28" s="1">
        <v>4672320.1100000003</v>
      </c>
      <c r="L28" s="1">
        <v>357920.76500000001</v>
      </c>
      <c r="M28" s="1">
        <v>1.2629999999999999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x14ac:dyDescent="0.2">
      <c r="A29" t="s">
        <v>27</v>
      </c>
      <c r="C29" s="3"/>
      <c r="E29" s="1">
        <v>110</v>
      </c>
      <c r="F29" s="1">
        <v>407</v>
      </c>
      <c r="G29" s="1" t="s">
        <v>7</v>
      </c>
      <c r="H29" t="str">
        <f t="shared" si="0"/>
        <v>01</v>
      </c>
      <c r="I29" t="str">
        <f t="shared" si="1"/>
        <v>a</v>
      </c>
      <c r="J29" s="1" t="s">
        <v>29</v>
      </c>
      <c r="K29" s="1">
        <v>4672320.9579999996</v>
      </c>
      <c r="L29" s="1">
        <v>357920.337</v>
      </c>
      <c r="M29" s="1">
        <v>1.2569999999999999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x14ac:dyDescent="0.2">
      <c r="A30" t="s">
        <v>27</v>
      </c>
      <c r="C30" s="3"/>
      <c r="E30" s="1">
        <v>110</v>
      </c>
      <c r="F30" s="1">
        <v>408</v>
      </c>
      <c r="G30" s="1" t="s">
        <v>7</v>
      </c>
      <c r="H30" t="str">
        <f t="shared" si="0"/>
        <v>01</v>
      </c>
      <c r="I30" t="str">
        <f t="shared" si="1"/>
        <v>a</v>
      </c>
      <c r="J30" s="1" t="s">
        <v>29</v>
      </c>
      <c r="K30" s="1">
        <v>4672321.983</v>
      </c>
      <c r="L30" s="1">
        <v>357918.82699999999</v>
      </c>
      <c r="M30" s="1">
        <v>1.1499999999999999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x14ac:dyDescent="0.2">
      <c r="A31" t="s">
        <v>27</v>
      </c>
      <c r="C31" s="3"/>
      <c r="E31" s="1">
        <v>110</v>
      </c>
      <c r="F31" s="1">
        <v>409</v>
      </c>
      <c r="G31" s="1" t="s">
        <v>7</v>
      </c>
      <c r="H31" t="str">
        <f t="shared" si="0"/>
        <v>01</v>
      </c>
      <c r="I31" t="str">
        <f t="shared" si="1"/>
        <v>a</v>
      </c>
      <c r="J31" s="1" t="s">
        <v>29</v>
      </c>
      <c r="K31" s="1">
        <v>4672325.1459999997</v>
      </c>
      <c r="L31" s="1">
        <v>357916.87199999997</v>
      </c>
      <c r="M31" s="1">
        <v>1.046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x14ac:dyDescent="0.2">
      <c r="A32" t="s">
        <v>27</v>
      </c>
      <c r="C32" s="3"/>
      <c r="E32" s="1">
        <v>110</v>
      </c>
      <c r="F32" s="1">
        <v>410</v>
      </c>
      <c r="G32" s="1" t="s">
        <v>7</v>
      </c>
      <c r="H32" t="str">
        <f t="shared" si="0"/>
        <v>01</v>
      </c>
      <c r="I32" t="str">
        <f t="shared" si="1"/>
        <v>a</v>
      </c>
      <c r="J32" s="1" t="s">
        <v>29</v>
      </c>
      <c r="K32" s="1">
        <v>4672329.6359999999</v>
      </c>
      <c r="L32" s="1">
        <v>357920.58299999998</v>
      </c>
      <c r="M32" s="1">
        <v>0.99399999999999999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x14ac:dyDescent="0.2">
      <c r="A33" t="s">
        <v>27</v>
      </c>
      <c r="C33" s="3"/>
      <c r="E33" s="1">
        <v>111</v>
      </c>
      <c r="F33" s="1">
        <v>411</v>
      </c>
      <c r="G33" s="1" t="s">
        <v>8</v>
      </c>
      <c r="H33" t="str">
        <f t="shared" si="0"/>
        <v>02</v>
      </c>
      <c r="I33" t="str">
        <f t="shared" si="1"/>
        <v>a</v>
      </c>
      <c r="J33" s="1" t="s">
        <v>29</v>
      </c>
      <c r="K33" s="1">
        <v>4672330.8310000002</v>
      </c>
      <c r="L33" s="1">
        <v>357922.31800000003</v>
      </c>
      <c r="M33" s="1">
        <v>1.071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x14ac:dyDescent="0.2">
      <c r="A34" t="s">
        <v>27</v>
      </c>
      <c r="C34" s="3"/>
      <c r="E34" s="1">
        <v>111</v>
      </c>
      <c r="F34" s="1">
        <v>412</v>
      </c>
      <c r="G34" s="1" t="s">
        <v>8</v>
      </c>
      <c r="H34" t="str">
        <f t="shared" ref="H34:H57" si="2">LEFT(G34,2)</f>
        <v>02</v>
      </c>
      <c r="I34" t="str">
        <f t="shared" si="1"/>
        <v>a</v>
      </c>
      <c r="J34" s="1" t="s">
        <v>29</v>
      </c>
      <c r="K34" s="1">
        <v>4672332.8890000004</v>
      </c>
      <c r="L34" s="1">
        <v>357923.897</v>
      </c>
      <c r="M34" s="1">
        <v>1.1439999999999999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x14ac:dyDescent="0.2">
      <c r="A35" t="s">
        <v>27</v>
      </c>
      <c r="C35" s="3"/>
      <c r="E35" s="1">
        <v>112</v>
      </c>
      <c r="F35" s="1">
        <v>413</v>
      </c>
      <c r="G35" s="1" t="s">
        <v>10</v>
      </c>
      <c r="H35" t="str">
        <f t="shared" si="2"/>
        <v>06</v>
      </c>
      <c r="I35" t="str">
        <f t="shared" si="1"/>
        <v>a</v>
      </c>
      <c r="J35" s="1" t="s">
        <v>29</v>
      </c>
      <c r="K35" s="1">
        <v>4672333.6720000003</v>
      </c>
      <c r="L35" s="1">
        <v>357924.86700000003</v>
      </c>
      <c r="M35" s="1">
        <v>1.248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x14ac:dyDescent="0.2">
      <c r="A36" t="s">
        <v>27</v>
      </c>
      <c r="C36" s="3"/>
      <c r="E36" s="1">
        <v>112</v>
      </c>
      <c r="F36" s="1">
        <v>414</v>
      </c>
      <c r="G36" s="1" t="s">
        <v>10</v>
      </c>
      <c r="H36" t="str">
        <f t="shared" si="2"/>
        <v>06</v>
      </c>
      <c r="I36" t="str">
        <f t="shared" si="1"/>
        <v>a</v>
      </c>
      <c r="J36" s="1" t="s">
        <v>29</v>
      </c>
      <c r="K36" s="1">
        <v>4672349.875</v>
      </c>
      <c r="L36" s="1">
        <v>357930.96500000003</v>
      </c>
      <c r="M36" s="1">
        <v>1.1739999999999999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x14ac:dyDescent="0.2">
      <c r="A37" t="s">
        <v>27</v>
      </c>
      <c r="C37" s="3"/>
      <c r="E37" s="1">
        <v>113</v>
      </c>
      <c r="F37" s="1">
        <v>415</v>
      </c>
      <c r="G37" s="1" t="s">
        <v>7</v>
      </c>
      <c r="H37" t="str">
        <f t="shared" si="2"/>
        <v>01</v>
      </c>
      <c r="I37" t="str">
        <f t="shared" si="1"/>
        <v>a</v>
      </c>
      <c r="J37" s="1" t="s">
        <v>29</v>
      </c>
      <c r="K37" s="1">
        <v>4672351.3830000004</v>
      </c>
      <c r="L37" s="1">
        <v>357931.66399999999</v>
      </c>
      <c r="M37" s="1">
        <v>1.105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x14ac:dyDescent="0.2">
      <c r="A38" t="s">
        <v>27</v>
      </c>
      <c r="C38" s="3"/>
      <c r="E38" s="1">
        <v>113</v>
      </c>
      <c r="F38" s="1">
        <v>416</v>
      </c>
      <c r="G38" s="1" t="s">
        <v>7</v>
      </c>
      <c r="H38" t="str">
        <f t="shared" si="2"/>
        <v>01</v>
      </c>
      <c r="I38" t="str">
        <f t="shared" si="1"/>
        <v>a</v>
      </c>
      <c r="J38" s="1" t="s">
        <v>29</v>
      </c>
      <c r="K38" s="1">
        <v>4672352.2290000003</v>
      </c>
      <c r="L38" s="1">
        <v>357933.337</v>
      </c>
      <c r="M38" s="1">
        <v>0.88100000000000001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x14ac:dyDescent="0.2">
      <c r="A39" t="s">
        <v>27</v>
      </c>
      <c r="C39" s="3"/>
      <c r="E39" s="1">
        <v>113</v>
      </c>
      <c r="F39" s="1">
        <v>417</v>
      </c>
      <c r="G39" s="1" t="s">
        <v>7</v>
      </c>
      <c r="H39" t="str">
        <f t="shared" si="2"/>
        <v>01</v>
      </c>
      <c r="I39" t="str">
        <f t="shared" si="1"/>
        <v>a</v>
      </c>
      <c r="J39" s="1" t="s">
        <v>29</v>
      </c>
      <c r="K39" s="1">
        <v>4672359.3080000002</v>
      </c>
      <c r="L39" s="1">
        <v>357930.92</v>
      </c>
      <c r="M39" s="1">
        <v>0.85299999999999998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x14ac:dyDescent="0.2">
      <c r="A40" t="s">
        <v>27</v>
      </c>
      <c r="C40" s="3"/>
      <c r="E40" s="1">
        <v>113</v>
      </c>
      <c r="F40" s="1">
        <v>418</v>
      </c>
      <c r="G40" s="1" t="s">
        <v>7</v>
      </c>
      <c r="H40" t="str">
        <f t="shared" si="2"/>
        <v>01</v>
      </c>
      <c r="I40" t="str">
        <f t="shared" si="1"/>
        <v>a</v>
      </c>
      <c r="J40" s="1" t="s">
        <v>29</v>
      </c>
      <c r="K40" s="1">
        <v>4672358.7920000004</v>
      </c>
      <c r="L40" s="1">
        <v>357928.83100000001</v>
      </c>
      <c r="M40" s="1">
        <v>1.0669999999999999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x14ac:dyDescent="0.2">
      <c r="A41" t="s">
        <v>27</v>
      </c>
      <c r="C41" s="3"/>
      <c r="E41" s="1">
        <v>113</v>
      </c>
      <c r="F41" s="1">
        <v>419</v>
      </c>
      <c r="G41" s="1" t="s">
        <v>7</v>
      </c>
      <c r="H41" t="str">
        <f t="shared" si="2"/>
        <v>01</v>
      </c>
      <c r="I41" t="str">
        <f t="shared" si="1"/>
        <v>a</v>
      </c>
      <c r="J41" s="1" t="s">
        <v>29</v>
      </c>
      <c r="K41" s="1">
        <v>4672357.0549999997</v>
      </c>
      <c r="L41" s="1">
        <v>357930.13799999998</v>
      </c>
      <c r="M41" s="1">
        <v>1.0029999999999999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x14ac:dyDescent="0.2">
      <c r="A42" t="s">
        <v>27</v>
      </c>
      <c r="C42" s="3"/>
      <c r="E42" s="1">
        <v>114</v>
      </c>
      <c r="F42" s="1">
        <v>420</v>
      </c>
      <c r="G42" s="1" t="s">
        <v>9</v>
      </c>
      <c r="H42" t="str">
        <f t="shared" si="2"/>
        <v>10</v>
      </c>
      <c r="I42" t="str">
        <f t="shared" si="1"/>
        <v>a</v>
      </c>
      <c r="J42" s="1" t="s">
        <v>28</v>
      </c>
      <c r="K42" s="1">
        <v>4672355.7019999996</v>
      </c>
      <c r="L42" s="1">
        <v>357930.66200000001</v>
      </c>
      <c r="M42" s="1">
        <v>1.0269999999999999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x14ac:dyDescent="0.2">
      <c r="A43" t="s">
        <v>27</v>
      </c>
      <c r="C43" s="3"/>
      <c r="E43" s="1">
        <v>115</v>
      </c>
      <c r="F43" s="1">
        <v>421</v>
      </c>
      <c r="G43" s="1">
        <v>1</v>
      </c>
      <c r="H43" t="str">
        <f t="shared" si="2"/>
        <v>1</v>
      </c>
      <c r="I43" t="str">
        <f t="shared" si="1"/>
        <v/>
      </c>
      <c r="J43" s="1" t="s">
        <v>28</v>
      </c>
      <c r="K43" s="1">
        <v>4672354.9230000004</v>
      </c>
      <c r="L43" s="1">
        <v>357929.94400000002</v>
      </c>
      <c r="M43" s="1">
        <v>1.0940000000000001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x14ac:dyDescent="0.2">
      <c r="A44" t="s">
        <v>27</v>
      </c>
      <c r="C44" s="3"/>
      <c r="E44" s="1">
        <v>116</v>
      </c>
      <c r="F44" s="1">
        <v>422</v>
      </c>
      <c r="G44" s="1" t="s">
        <v>10</v>
      </c>
      <c r="H44" t="str">
        <f t="shared" si="2"/>
        <v>06</v>
      </c>
      <c r="I44" t="str">
        <f t="shared" si="1"/>
        <v>a</v>
      </c>
      <c r="J44" s="1" t="s">
        <v>29</v>
      </c>
      <c r="K44" s="1">
        <v>4672354.199</v>
      </c>
      <c r="L44" s="1">
        <v>357928.55499999999</v>
      </c>
      <c r="M44" s="1">
        <v>1.1619999999999999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x14ac:dyDescent="0.2">
      <c r="A45" t="s">
        <v>27</v>
      </c>
      <c r="C45" s="3"/>
      <c r="E45" s="1">
        <v>116</v>
      </c>
      <c r="F45" s="1">
        <v>423</v>
      </c>
      <c r="G45" s="1" t="s">
        <v>10</v>
      </c>
      <c r="H45" t="str">
        <f t="shared" si="2"/>
        <v>06</v>
      </c>
      <c r="I45" t="str">
        <f t="shared" si="1"/>
        <v>a</v>
      </c>
      <c r="J45" s="1" t="s">
        <v>29</v>
      </c>
      <c r="K45" s="1">
        <v>4672358.4040000001</v>
      </c>
      <c r="L45" s="1">
        <v>357921.01799999998</v>
      </c>
      <c r="M45" s="1">
        <v>1.17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x14ac:dyDescent="0.2">
      <c r="A46" t="s">
        <v>27</v>
      </c>
      <c r="C46" s="3"/>
      <c r="E46" s="1">
        <v>116</v>
      </c>
      <c r="F46" s="1">
        <v>424</v>
      </c>
      <c r="G46" s="1" t="s">
        <v>10</v>
      </c>
      <c r="H46" t="str">
        <f t="shared" si="2"/>
        <v>06</v>
      </c>
      <c r="I46" t="str">
        <f t="shared" si="1"/>
        <v>a</v>
      </c>
      <c r="J46" s="1" t="s">
        <v>29</v>
      </c>
      <c r="K46" s="1">
        <v>4672360.8140000002</v>
      </c>
      <c r="L46" s="1">
        <v>357920.31699999998</v>
      </c>
      <c r="M46" s="1">
        <v>1.1890000000000001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x14ac:dyDescent="0.2">
      <c r="A47" t="s">
        <v>27</v>
      </c>
      <c r="C47" s="3"/>
      <c r="E47" s="1">
        <v>117</v>
      </c>
      <c r="F47" s="1">
        <v>425</v>
      </c>
      <c r="G47" s="1" t="s">
        <v>14</v>
      </c>
      <c r="H47" t="str">
        <f t="shared" si="2"/>
        <v>04</v>
      </c>
      <c r="I47" t="str">
        <f t="shared" si="1"/>
        <v>a</v>
      </c>
      <c r="J47" s="1" t="s">
        <v>29</v>
      </c>
      <c r="K47" s="1">
        <v>4672362.42</v>
      </c>
      <c r="L47" s="1">
        <v>357920.18400000001</v>
      </c>
      <c r="M47" s="1">
        <v>1.171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x14ac:dyDescent="0.2">
      <c r="A48" t="s">
        <v>27</v>
      </c>
      <c r="C48" s="3"/>
      <c r="E48" s="1">
        <v>117</v>
      </c>
      <c r="F48" s="1">
        <v>426</v>
      </c>
      <c r="G48" s="1" t="s">
        <v>14</v>
      </c>
      <c r="H48" t="str">
        <f t="shared" si="2"/>
        <v>04</v>
      </c>
      <c r="I48" t="str">
        <f t="shared" si="1"/>
        <v>a</v>
      </c>
      <c r="J48" s="1" t="s">
        <v>29</v>
      </c>
      <c r="K48" s="1">
        <v>4672365.0279999999</v>
      </c>
      <c r="L48" s="1">
        <v>357919.98599999998</v>
      </c>
      <c r="M48" s="1">
        <v>1.1819999999999999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x14ac:dyDescent="0.2">
      <c r="A49" t="s">
        <v>27</v>
      </c>
      <c r="C49" s="3"/>
      <c r="E49" s="1">
        <v>118</v>
      </c>
      <c r="F49" s="1">
        <v>427</v>
      </c>
      <c r="G49" s="1" t="s">
        <v>7</v>
      </c>
      <c r="H49" t="str">
        <f t="shared" si="2"/>
        <v>01</v>
      </c>
      <c r="I49" t="str">
        <f t="shared" si="1"/>
        <v>a</v>
      </c>
      <c r="J49" s="1" t="s">
        <v>29</v>
      </c>
      <c r="K49" s="1">
        <v>4672366.25</v>
      </c>
      <c r="L49" s="1">
        <v>357920.15600000002</v>
      </c>
      <c r="M49" s="1">
        <v>1.167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x14ac:dyDescent="0.2">
      <c r="A50" t="s">
        <v>27</v>
      </c>
      <c r="C50" s="3"/>
      <c r="E50" s="1">
        <v>118</v>
      </c>
      <c r="F50" s="1">
        <v>428</v>
      </c>
      <c r="G50" s="1" t="s">
        <v>7</v>
      </c>
      <c r="H50" t="str">
        <f t="shared" si="2"/>
        <v>01</v>
      </c>
      <c r="I50" t="str">
        <f t="shared" si="1"/>
        <v>a</v>
      </c>
      <c r="J50" s="1" t="s">
        <v>29</v>
      </c>
      <c r="K50" s="1">
        <v>4672372.8150000004</v>
      </c>
      <c r="L50" s="1">
        <v>357915.77899999998</v>
      </c>
      <c r="M50" s="1">
        <v>0.94799999999999995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x14ac:dyDescent="0.2">
      <c r="A51" t="s">
        <v>27</v>
      </c>
      <c r="C51" s="3"/>
      <c r="E51" s="1">
        <v>119</v>
      </c>
      <c r="F51" s="1">
        <v>429</v>
      </c>
      <c r="G51" s="1" t="s">
        <v>15</v>
      </c>
      <c r="H51" t="str">
        <f t="shared" si="2"/>
        <v>01</v>
      </c>
      <c r="I51" t="str">
        <f t="shared" si="1"/>
        <v>b</v>
      </c>
      <c r="J51" s="1" t="s">
        <v>29</v>
      </c>
      <c r="K51" s="1">
        <v>4672373.9790000003</v>
      </c>
      <c r="L51" s="1">
        <v>357914.86200000002</v>
      </c>
      <c r="M51" s="1">
        <v>0.57299999999999995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x14ac:dyDescent="0.2">
      <c r="A52" t="s">
        <v>27</v>
      </c>
      <c r="C52" s="3"/>
      <c r="E52" s="1">
        <v>119</v>
      </c>
      <c r="F52" s="1">
        <v>430</v>
      </c>
      <c r="G52" s="1" t="s">
        <v>15</v>
      </c>
      <c r="H52" t="str">
        <f t="shared" si="2"/>
        <v>01</v>
      </c>
      <c r="I52" t="str">
        <f t="shared" si="1"/>
        <v>b</v>
      </c>
      <c r="J52" s="1" t="s">
        <v>29</v>
      </c>
      <c r="K52" s="1">
        <v>4672370.398</v>
      </c>
      <c r="L52" s="1">
        <v>357911.91399999999</v>
      </c>
      <c r="M52" s="1">
        <v>0.66900000000000004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x14ac:dyDescent="0.2">
      <c r="A53" t="s">
        <v>27</v>
      </c>
      <c r="C53" s="3"/>
      <c r="E53" s="1">
        <v>120</v>
      </c>
      <c r="F53" s="1">
        <v>431</v>
      </c>
      <c r="G53" s="1">
        <v>27</v>
      </c>
      <c r="H53" t="str">
        <f t="shared" si="2"/>
        <v>27</v>
      </c>
      <c r="I53" t="str">
        <f t="shared" si="1"/>
        <v/>
      </c>
      <c r="J53" s="1" t="s">
        <v>29</v>
      </c>
      <c r="K53" s="1">
        <v>4672369.5939999996</v>
      </c>
      <c r="L53" s="1">
        <v>357910.96899999998</v>
      </c>
      <c r="M53" s="1">
        <v>0.35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x14ac:dyDescent="0.2">
      <c r="A54" t="s">
        <v>27</v>
      </c>
      <c r="C54" s="3"/>
      <c r="E54" s="1">
        <v>120</v>
      </c>
      <c r="F54" s="1">
        <v>432</v>
      </c>
      <c r="G54" s="1">
        <v>27</v>
      </c>
      <c r="H54" t="str">
        <f t="shared" si="2"/>
        <v>27</v>
      </c>
      <c r="I54" t="str">
        <f t="shared" si="1"/>
        <v/>
      </c>
      <c r="J54" s="1" t="s">
        <v>29</v>
      </c>
      <c r="K54" s="1">
        <v>4672365.8710000003</v>
      </c>
      <c r="L54" s="1">
        <v>357912.125</v>
      </c>
      <c r="M54" s="1">
        <v>0.42799999999999999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x14ac:dyDescent="0.2">
      <c r="A55" t="s">
        <v>27</v>
      </c>
      <c r="C55" s="3"/>
      <c r="E55" s="1">
        <v>120</v>
      </c>
      <c r="F55" s="1">
        <v>433</v>
      </c>
      <c r="G55" s="1">
        <v>27</v>
      </c>
      <c r="H55" t="str">
        <f t="shared" si="2"/>
        <v>27</v>
      </c>
      <c r="I55" t="str">
        <f t="shared" si="1"/>
        <v/>
      </c>
      <c r="J55" s="1" t="s">
        <v>29</v>
      </c>
      <c r="K55" s="1">
        <v>4672366.2960000001</v>
      </c>
      <c r="L55" s="1">
        <v>357913.141</v>
      </c>
      <c r="M55" s="1">
        <v>0.64200000000000002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x14ac:dyDescent="0.2">
      <c r="A56" t="s">
        <v>27</v>
      </c>
      <c r="C56" s="3"/>
      <c r="E56" s="1">
        <v>121</v>
      </c>
      <c r="F56" s="1">
        <v>434</v>
      </c>
      <c r="G56" s="1" t="s">
        <v>7</v>
      </c>
      <c r="H56" t="str">
        <f t="shared" si="2"/>
        <v>01</v>
      </c>
      <c r="I56" t="str">
        <f t="shared" si="1"/>
        <v>a</v>
      </c>
      <c r="J56" s="1" t="s">
        <v>29</v>
      </c>
      <c r="K56" s="1">
        <v>4672366.5930000003</v>
      </c>
      <c r="L56" s="1">
        <v>357914.45500000002</v>
      </c>
      <c r="M56" s="1">
        <v>0.95299999999999996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x14ac:dyDescent="0.2">
      <c r="A57" t="s">
        <v>27</v>
      </c>
      <c r="C57" s="3"/>
      <c r="E57" s="1">
        <v>121</v>
      </c>
      <c r="F57" s="1">
        <v>435</v>
      </c>
      <c r="G57" s="1" t="s">
        <v>7</v>
      </c>
      <c r="H57" t="str">
        <f t="shared" si="2"/>
        <v>01</v>
      </c>
      <c r="I57" t="str">
        <f t="shared" si="1"/>
        <v>a</v>
      </c>
      <c r="J57" s="1" t="s">
        <v>29</v>
      </c>
      <c r="K57" s="1">
        <v>4672349.5379999997</v>
      </c>
      <c r="L57" s="1">
        <v>357922.44199999998</v>
      </c>
      <c r="M57" s="1">
        <v>0.84599999999999997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2">
      <c r="A58" t="s">
        <v>27</v>
      </c>
      <c r="C58" s="3"/>
      <c r="E58" s="1">
        <v>123</v>
      </c>
      <c r="F58" s="1">
        <v>454</v>
      </c>
      <c r="G58" s="1" t="s">
        <v>16</v>
      </c>
      <c r="H58" t="str">
        <f t="shared" ref="H58:H79" si="3">LEFT(G58,2)</f>
        <v>01</v>
      </c>
      <c r="I58" t="str">
        <f t="shared" ref="I58:I83" si="4">RIGHT(G58,LEN(G58)-LEN(H58))</f>
        <v>ah</v>
      </c>
      <c r="J58" s="1" t="s">
        <v>29</v>
      </c>
      <c r="K58" s="1">
        <v>4672337.3619999997</v>
      </c>
      <c r="L58" s="1">
        <v>357947.81099999999</v>
      </c>
      <c r="M58" s="1">
        <v>0.96899999999999997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x14ac:dyDescent="0.2">
      <c r="A59" t="s">
        <v>27</v>
      </c>
      <c r="C59" s="3"/>
      <c r="E59" s="1">
        <v>123</v>
      </c>
      <c r="F59" s="1">
        <v>455</v>
      </c>
      <c r="G59" s="1" t="s">
        <v>16</v>
      </c>
      <c r="H59" t="str">
        <f t="shared" si="3"/>
        <v>01</v>
      </c>
      <c r="I59" t="str">
        <f t="shared" si="4"/>
        <v>ah</v>
      </c>
      <c r="J59" s="1" t="s">
        <v>29</v>
      </c>
      <c r="K59" s="1">
        <v>4672341.8389999997</v>
      </c>
      <c r="L59" s="1">
        <v>357943.19</v>
      </c>
      <c r="M59" s="1">
        <v>0.83899999999999997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x14ac:dyDescent="0.2">
      <c r="A60" t="s">
        <v>27</v>
      </c>
      <c r="C60" s="3"/>
      <c r="E60" s="1">
        <v>124</v>
      </c>
      <c r="F60" s="1">
        <v>456</v>
      </c>
      <c r="G60" s="1" t="s">
        <v>17</v>
      </c>
      <c r="H60" t="str">
        <f t="shared" si="3"/>
        <v>31</v>
      </c>
      <c r="I60" t="str">
        <f t="shared" si="4"/>
        <v>s</v>
      </c>
      <c r="J60" s="1" t="s">
        <v>28</v>
      </c>
      <c r="K60" s="1">
        <v>4672311.0530000003</v>
      </c>
      <c r="L60" s="1">
        <v>357914.44400000002</v>
      </c>
      <c r="M60" s="1">
        <v>1.6419999999999999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x14ac:dyDescent="0.2">
      <c r="A61" t="s">
        <v>27</v>
      </c>
      <c r="C61" s="3"/>
      <c r="E61" s="1">
        <v>125</v>
      </c>
      <c r="F61" s="1">
        <v>457</v>
      </c>
      <c r="G61" s="1" t="s">
        <v>9</v>
      </c>
      <c r="H61" t="str">
        <f t="shared" si="3"/>
        <v>10</v>
      </c>
      <c r="I61" t="str">
        <f t="shared" si="4"/>
        <v>a</v>
      </c>
      <c r="J61" s="1" t="s">
        <v>29</v>
      </c>
      <c r="K61" s="1">
        <v>4672312.7</v>
      </c>
      <c r="L61" s="1">
        <v>357914.05599999998</v>
      </c>
      <c r="M61" s="1">
        <v>1.575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x14ac:dyDescent="0.2">
      <c r="A62" t="s">
        <v>27</v>
      </c>
      <c r="C62" s="3"/>
      <c r="E62" s="1">
        <v>125</v>
      </c>
      <c r="F62" s="1">
        <v>458</v>
      </c>
      <c r="G62" s="1" t="s">
        <v>9</v>
      </c>
      <c r="H62" t="str">
        <f t="shared" si="3"/>
        <v>10</v>
      </c>
      <c r="I62" t="str">
        <f t="shared" si="4"/>
        <v>a</v>
      </c>
      <c r="J62" s="1" t="s">
        <v>29</v>
      </c>
      <c r="K62" s="1">
        <v>4672312.557</v>
      </c>
      <c r="L62" s="1">
        <v>357912.33899999998</v>
      </c>
      <c r="M62" s="1">
        <v>1.59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2">
      <c r="A63" t="s">
        <v>27</v>
      </c>
      <c r="C63" s="3"/>
      <c r="E63" s="1">
        <v>126</v>
      </c>
      <c r="F63" s="1">
        <v>459</v>
      </c>
      <c r="G63" s="1" t="s">
        <v>6</v>
      </c>
      <c r="H63" t="str">
        <f t="shared" si="3"/>
        <v>12</v>
      </c>
      <c r="I63" t="str">
        <f t="shared" si="4"/>
        <v>a</v>
      </c>
      <c r="J63" s="1" t="s">
        <v>29</v>
      </c>
      <c r="K63" s="1">
        <v>4672311.5010000002</v>
      </c>
      <c r="L63" s="1">
        <v>357911.59499999997</v>
      </c>
      <c r="M63" s="1">
        <v>1.659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2">
      <c r="A64" t="s">
        <v>27</v>
      </c>
      <c r="C64" s="3"/>
      <c r="E64" s="1">
        <v>126</v>
      </c>
      <c r="F64" s="1">
        <v>460</v>
      </c>
      <c r="G64" s="1" t="s">
        <v>6</v>
      </c>
      <c r="H64" t="str">
        <f t="shared" si="3"/>
        <v>12</v>
      </c>
      <c r="I64" t="str">
        <f t="shared" si="4"/>
        <v>a</v>
      </c>
      <c r="J64" s="1" t="s">
        <v>29</v>
      </c>
      <c r="K64" s="1">
        <v>4672313.0530000003</v>
      </c>
      <c r="L64" s="1">
        <v>357903.72200000001</v>
      </c>
      <c r="M64" s="1">
        <v>1.778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2">
      <c r="A65" t="s">
        <v>27</v>
      </c>
      <c r="C65" s="3"/>
      <c r="E65" s="1">
        <v>126</v>
      </c>
      <c r="F65" s="1">
        <v>461</v>
      </c>
      <c r="G65" s="1" t="s">
        <v>6</v>
      </c>
      <c r="H65" t="str">
        <f t="shared" si="3"/>
        <v>12</v>
      </c>
      <c r="I65" t="str">
        <f t="shared" si="4"/>
        <v>a</v>
      </c>
      <c r="J65" s="1" t="s">
        <v>29</v>
      </c>
      <c r="K65" s="1">
        <v>4672324.74</v>
      </c>
      <c r="L65" s="1">
        <v>357901.29</v>
      </c>
      <c r="M65" s="1">
        <v>1.726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t="s">
        <v>27</v>
      </c>
      <c r="C66" s="3"/>
      <c r="E66" s="1">
        <v>127</v>
      </c>
      <c r="F66" s="1">
        <v>462</v>
      </c>
      <c r="G66" s="1" t="s">
        <v>13</v>
      </c>
      <c r="H66" t="str">
        <f t="shared" si="3"/>
        <v>09</v>
      </c>
      <c r="I66" t="str">
        <f t="shared" si="4"/>
        <v>a</v>
      </c>
      <c r="J66" s="1" t="s">
        <v>29</v>
      </c>
      <c r="K66" s="1">
        <v>4672325.3329999996</v>
      </c>
      <c r="L66" s="1">
        <v>357898.89600000001</v>
      </c>
      <c r="M66" s="1">
        <v>1.875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t="s">
        <v>27</v>
      </c>
      <c r="C67" s="3"/>
      <c r="E67" s="1">
        <v>127</v>
      </c>
      <c r="F67" s="1">
        <v>463</v>
      </c>
      <c r="G67" s="1" t="s">
        <v>13</v>
      </c>
      <c r="H67" t="str">
        <f t="shared" si="3"/>
        <v>09</v>
      </c>
      <c r="I67" t="str">
        <f t="shared" si="4"/>
        <v>a</v>
      </c>
      <c r="J67" s="1" t="s">
        <v>29</v>
      </c>
      <c r="K67" s="1">
        <v>4672333.0369999995</v>
      </c>
      <c r="L67" s="1">
        <v>357895.995</v>
      </c>
      <c r="M67" s="1">
        <v>1.7589999999999999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t="s">
        <v>27</v>
      </c>
      <c r="C68" s="3"/>
      <c r="E68" s="1">
        <v>128</v>
      </c>
      <c r="F68" s="1">
        <v>464</v>
      </c>
      <c r="G68" s="1" t="s">
        <v>9</v>
      </c>
      <c r="H68" t="str">
        <f t="shared" si="3"/>
        <v>10</v>
      </c>
      <c r="I68" t="str">
        <f t="shared" si="4"/>
        <v>a</v>
      </c>
      <c r="J68" s="1" t="s">
        <v>29</v>
      </c>
      <c r="K68" s="1">
        <v>4672334.1519999998</v>
      </c>
      <c r="L68" s="1">
        <v>357896.755</v>
      </c>
      <c r="M68" s="1">
        <v>1.74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t="s">
        <v>27</v>
      </c>
      <c r="C69" s="3"/>
      <c r="E69" s="1">
        <v>129</v>
      </c>
      <c r="F69" s="1">
        <v>465</v>
      </c>
      <c r="G69" s="1" t="s">
        <v>13</v>
      </c>
      <c r="H69" t="str">
        <f t="shared" si="3"/>
        <v>09</v>
      </c>
      <c r="I69" t="str">
        <f t="shared" si="4"/>
        <v>a</v>
      </c>
      <c r="J69" s="1" t="s">
        <v>29</v>
      </c>
      <c r="K69" s="1">
        <v>4672334.7810000004</v>
      </c>
      <c r="L69" s="1">
        <v>357895.85800000001</v>
      </c>
      <c r="M69" s="1">
        <v>1.798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t="s">
        <v>27</v>
      </c>
      <c r="C70" s="3"/>
      <c r="E70" s="1">
        <v>130</v>
      </c>
      <c r="F70" s="1">
        <v>466</v>
      </c>
      <c r="G70" s="1" t="s">
        <v>9</v>
      </c>
      <c r="H70" t="str">
        <f t="shared" si="3"/>
        <v>10</v>
      </c>
      <c r="I70" t="str">
        <f t="shared" si="4"/>
        <v>a</v>
      </c>
      <c r="J70" s="1" t="s">
        <v>29</v>
      </c>
      <c r="K70" s="1">
        <v>4672336.2450000001</v>
      </c>
      <c r="L70" s="1">
        <v>357895.402</v>
      </c>
      <c r="M70" s="1">
        <v>1.7330000000000001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2">
      <c r="A71" t="s">
        <v>27</v>
      </c>
      <c r="C71" s="3"/>
      <c r="E71" s="1">
        <v>131</v>
      </c>
      <c r="F71" s="1">
        <v>467</v>
      </c>
      <c r="G71" s="1" t="s">
        <v>13</v>
      </c>
      <c r="H71" t="str">
        <f t="shared" si="3"/>
        <v>09</v>
      </c>
      <c r="I71" t="str">
        <f t="shared" si="4"/>
        <v>a</v>
      </c>
      <c r="J71" s="1" t="s">
        <v>29</v>
      </c>
      <c r="K71" s="1">
        <v>4672337.5080000004</v>
      </c>
      <c r="L71" s="1">
        <v>357894.54599999997</v>
      </c>
      <c r="M71" s="1">
        <v>1.86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2">
      <c r="A72" t="s">
        <v>27</v>
      </c>
      <c r="C72" s="3"/>
      <c r="E72" s="1">
        <v>132</v>
      </c>
      <c r="F72" s="1">
        <v>468</v>
      </c>
      <c r="G72" s="1" t="s">
        <v>18</v>
      </c>
      <c r="H72" t="str">
        <f t="shared" si="3"/>
        <v>08</v>
      </c>
      <c r="I72" t="str">
        <f t="shared" si="4"/>
        <v>a</v>
      </c>
      <c r="J72" s="1" t="s">
        <v>29</v>
      </c>
      <c r="K72" s="1">
        <v>4672336.9970000004</v>
      </c>
      <c r="L72" s="1">
        <v>357892.89899999998</v>
      </c>
      <c r="M72" s="1">
        <v>1.69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2">
      <c r="A73" t="s">
        <v>27</v>
      </c>
      <c r="C73" s="3"/>
      <c r="E73" s="1">
        <v>132</v>
      </c>
      <c r="F73" s="1">
        <v>469</v>
      </c>
      <c r="G73" s="1" t="s">
        <v>18</v>
      </c>
      <c r="H73" t="str">
        <f t="shared" si="3"/>
        <v>08</v>
      </c>
      <c r="I73" t="str">
        <f t="shared" si="4"/>
        <v>a</v>
      </c>
      <c r="J73" s="1" t="s">
        <v>29</v>
      </c>
      <c r="K73" s="1">
        <v>4672300.523</v>
      </c>
      <c r="L73" s="1">
        <v>357903.27600000001</v>
      </c>
      <c r="M73" s="1">
        <v>1.6719999999999999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2">
      <c r="A74" t="s">
        <v>27</v>
      </c>
      <c r="C74" s="3"/>
      <c r="E74" s="1">
        <v>132</v>
      </c>
      <c r="F74" s="1">
        <v>470</v>
      </c>
      <c r="G74" s="1" t="s">
        <v>18</v>
      </c>
      <c r="H74" t="str">
        <f t="shared" si="3"/>
        <v>08</v>
      </c>
      <c r="I74" t="str">
        <f t="shared" si="4"/>
        <v>a</v>
      </c>
      <c r="J74" s="1" t="s">
        <v>29</v>
      </c>
      <c r="K74" s="1">
        <v>4672298.2019999996</v>
      </c>
      <c r="L74" s="1">
        <v>357903.65700000001</v>
      </c>
      <c r="M74" s="1">
        <v>1.649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2">
      <c r="A75" t="s">
        <v>27</v>
      </c>
      <c r="C75" s="3"/>
      <c r="E75" s="1">
        <v>133</v>
      </c>
      <c r="F75" s="1">
        <v>471</v>
      </c>
      <c r="G75" s="1" t="s">
        <v>10</v>
      </c>
      <c r="H75" t="str">
        <f t="shared" si="3"/>
        <v>06</v>
      </c>
      <c r="I75" t="str">
        <f t="shared" si="4"/>
        <v>a</v>
      </c>
      <c r="J75" s="1" t="s">
        <v>29</v>
      </c>
      <c r="K75" s="1">
        <v>4672296.6220000004</v>
      </c>
      <c r="L75" s="1">
        <v>357903.81</v>
      </c>
      <c r="M75" s="1">
        <v>1.623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2">
      <c r="A76" t="s">
        <v>27</v>
      </c>
      <c r="C76" s="3"/>
      <c r="E76" s="1">
        <v>133</v>
      </c>
      <c r="F76" s="1">
        <v>472</v>
      </c>
      <c r="G76" s="1" t="s">
        <v>10</v>
      </c>
      <c r="H76" t="str">
        <f t="shared" si="3"/>
        <v>06</v>
      </c>
      <c r="I76" t="str">
        <f t="shared" si="4"/>
        <v>a</v>
      </c>
      <c r="J76" s="1" t="s">
        <v>29</v>
      </c>
      <c r="K76" s="1">
        <v>4672289.3130000001</v>
      </c>
      <c r="L76" s="1">
        <v>357905.52</v>
      </c>
      <c r="M76" s="1">
        <v>1.6040000000000001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2">
      <c r="A77" t="s">
        <v>27</v>
      </c>
      <c r="C77" s="3"/>
      <c r="E77" s="1">
        <v>134</v>
      </c>
      <c r="F77" s="1">
        <v>473</v>
      </c>
      <c r="G77" s="1" t="s">
        <v>19</v>
      </c>
      <c r="H77" t="str">
        <f t="shared" si="3"/>
        <v>4a</v>
      </c>
      <c r="I77" t="str">
        <f t="shared" si="4"/>
        <v/>
      </c>
      <c r="J77" s="1" t="s">
        <v>29</v>
      </c>
      <c r="K77" s="1">
        <v>4672287.1979999999</v>
      </c>
      <c r="L77" s="1">
        <v>357906.68099999998</v>
      </c>
      <c r="M77" s="1">
        <v>1.623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2">
      <c r="A78" t="s">
        <v>27</v>
      </c>
      <c r="C78" s="3"/>
      <c r="E78" s="1">
        <v>134</v>
      </c>
      <c r="F78" s="1">
        <v>474</v>
      </c>
      <c r="G78" s="1" t="s">
        <v>14</v>
      </c>
      <c r="H78" t="str">
        <f t="shared" si="3"/>
        <v>04</v>
      </c>
      <c r="I78" t="str">
        <f t="shared" si="4"/>
        <v>a</v>
      </c>
      <c r="J78" s="1" t="s">
        <v>29</v>
      </c>
      <c r="K78" s="1">
        <v>4672286.7989999996</v>
      </c>
      <c r="L78" s="1">
        <v>357903.98599999998</v>
      </c>
      <c r="M78" s="1">
        <v>1.6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2">
      <c r="A79" t="s">
        <v>27</v>
      </c>
      <c r="C79" s="3"/>
      <c r="E79" s="1">
        <v>135</v>
      </c>
      <c r="F79" s="1">
        <v>475</v>
      </c>
      <c r="G79" s="1" t="s">
        <v>10</v>
      </c>
      <c r="H79" t="str">
        <f t="shared" si="3"/>
        <v>06</v>
      </c>
      <c r="I79" t="str">
        <f t="shared" si="4"/>
        <v>a</v>
      </c>
      <c r="J79" s="1" t="s">
        <v>29</v>
      </c>
      <c r="K79" s="1">
        <v>4672288.3629999999</v>
      </c>
      <c r="L79" s="1">
        <v>357903.67700000003</v>
      </c>
      <c r="M79" s="1">
        <v>1.61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2">
      <c r="A80" t="s">
        <v>27</v>
      </c>
      <c r="C80" s="3"/>
      <c r="E80" s="1">
        <v>135</v>
      </c>
      <c r="F80" s="1">
        <v>476</v>
      </c>
      <c r="G80" s="1" t="s">
        <v>10</v>
      </c>
      <c r="H80" t="str">
        <f t="shared" ref="H80:H83" si="5">LEFT(G80,2)</f>
        <v>06</v>
      </c>
      <c r="I80" t="str">
        <f t="shared" si="4"/>
        <v>a</v>
      </c>
      <c r="J80" s="1" t="s">
        <v>29</v>
      </c>
      <c r="K80" s="1">
        <v>4672294.8820000002</v>
      </c>
      <c r="L80" s="1">
        <v>357901.73300000001</v>
      </c>
      <c r="M80" s="1">
        <v>1.619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2">
      <c r="A81" t="s">
        <v>27</v>
      </c>
      <c r="C81" s="3"/>
      <c r="E81" s="1">
        <v>136</v>
      </c>
      <c r="F81" s="1">
        <v>477</v>
      </c>
      <c r="G81" s="1">
        <v>8</v>
      </c>
      <c r="H81" t="str">
        <f t="shared" si="5"/>
        <v>8</v>
      </c>
      <c r="I81" t="str">
        <f t="shared" si="4"/>
        <v/>
      </c>
      <c r="J81" s="1" t="s">
        <v>29</v>
      </c>
      <c r="K81" s="1">
        <v>4672296.2110000001</v>
      </c>
      <c r="L81" s="1">
        <v>357901.32199999999</v>
      </c>
      <c r="M81" s="1">
        <v>1.6259999999999999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2">
      <c r="A82" t="s">
        <v>27</v>
      </c>
      <c r="C82" s="3"/>
      <c r="E82" s="1">
        <v>136</v>
      </c>
      <c r="F82" s="1">
        <v>478</v>
      </c>
      <c r="G82" s="1">
        <v>8</v>
      </c>
      <c r="H82" t="str">
        <f t="shared" si="5"/>
        <v>8</v>
      </c>
      <c r="I82" t="str">
        <f t="shared" si="4"/>
        <v/>
      </c>
      <c r="J82" s="1" t="s">
        <v>29</v>
      </c>
      <c r="K82" s="1">
        <v>4672346.0149999997</v>
      </c>
      <c r="L82" s="1">
        <v>357881.337</v>
      </c>
      <c r="M82" s="1">
        <v>1.67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2">
      <c r="A83" t="s">
        <v>27</v>
      </c>
      <c r="C83" s="3"/>
      <c r="E83" s="1">
        <v>137</v>
      </c>
      <c r="F83" s="1">
        <v>479</v>
      </c>
      <c r="G83" s="1" t="s">
        <v>11</v>
      </c>
      <c r="H83" t="str">
        <f t="shared" si="5"/>
        <v>06</v>
      </c>
      <c r="I83" t="str">
        <f t="shared" si="4"/>
        <v>b</v>
      </c>
      <c r="J83" s="1" t="s">
        <v>29</v>
      </c>
      <c r="K83" s="1">
        <v>4672348.0319999997</v>
      </c>
      <c r="L83" s="1">
        <v>357879.54399999999</v>
      </c>
      <c r="M83" s="1">
        <v>1.6359999999999999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2"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2"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2"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2"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2"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2"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2"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2"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2"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2"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2"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2"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2"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2"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2"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2"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2"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2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autoFilter ref="A1:M8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0DF6-A2D0-4EEE-822D-1957D9E8EF5C}">
  <dimension ref="A1:M11"/>
  <sheetViews>
    <sheetView workbookViewId="0">
      <selection activeCell="E15" sqref="E15"/>
    </sheetView>
  </sheetViews>
  <sheetFormatPr defaultRowHeight="12.75" x14ac:dyDescent="0.2"/>
  <sheetData>
    <row r="1" spans="1:13" x14ac:dyDescent="0.2">
      <c r="A1" t="s">
        <v>26</v>
      </c>
      <c r="B1" t="s">
        <v>20</v>
      </c>
      <c r="C1" t="s">
        <v>21</v>
      </c>
      <c r="D1" t="s">
        <v>22</v>
      </c>
      <c r="E1" t="s">
        <v>0</v>
      </c>
      <c r="F1" t="s">
        <v>1</v>
      </c>
      <c r="G1" t="s">
        <v>23</v>
      </c>
      <c r="H1" t="s">
        <v>2</v>
      </c>
      <c r="I1" t="s">
        <v>24</v>
      </c>
      <c r="J1" t="s">
        <v>25</v>
      </c>
      <c r="K1" t="s">
        <v>3</v>
      </c>
      <c r="L1" t="s">
        <v>4</v>
      </c>
      <c r="M1" t="s">
        <v>5</v>
      </c>
    </row>
    <row r="2" spans="1:13" x14ac:dyDescent="0.2">
      <c r="A2" t="s">
        <v>27</v>
      </c>
      <c r="C2" s="3"/>
      <c r="E2" s="1">
        <v>94</v>
      </c>
      <c r="F2" s="1">
        <v>380</v>
      </c>
      <c r="G2" s="1" t="s">
        <v>6</v>
      </c>
      <c r="H2" t="s">
        <v>30</v>
      </c>
      <c r="I2" t="s">
        <v>31</v>
      </c>
      <c r="J2" s="1" t="s">
        <v>28</v>
      </c>
      <c r="K2" s="1">
        <v>4672342.6550000003</v>
      </c>
      <c r="L2" s="1">
        <v>357970.728</v>
      </c>
      <c r="M2" s="1">
        <v>1.6220000000000001</v>
      </c>
    </row>
    <row r="3" spans="1:13" x14ac:dyDescent="0.2">
      <c r="A3" t="s">
        <v>27</v>
      </c>
      <c r="C3" s="3"/>
      <c r="E3" s="1">
        <v>96</v>
      </c>
      <c r="F3" s="1">
        <v>383</v>
      </c>
      <c r="G3" s="1" t="s">
        <v>7</v>
      </c>
      <c r="H3" t="s">
        <v>32</v>
      </c>
      <c r="I3" t="s">
        <v>31</v>
      </c>
      <c r="J3" s="1" t="s">
        <v>28</v>
      </c>
      <c r="K3" s="1">
        <v>4672343.4510000004</v>
      </c>
      <c r="L3" s="1">
        <v>357966.484</v>
      </c>
      <c r="M3" s="1">
        <v>1.431</v>
      </c>
    </row>
    <row r="4" spans="1:13" x14ac:dyDescent="0.2">
      <c r="A4" t="s">
        <v>27</v>
      </c>
      <c r="C4" s="3"/>
      <c r="E4" s="1">
        <v>97</v>
      </c>
      <c r="F4" s="1">
        <v>384</v>
      </c>
      <c r="G4" s="1" t="s">
        <v>8</v>
      </c>
      <c r="H4" t="s">
        <v>33</v>
      </c>
      <c r="I4" t="s">
        <v>31</v>
      </c>
      <c r="J4" s="1" t="s">
        <v>28</v>
      </c>
      <c r="K4" s="1">
        <v>4672344.4740000004</v>
      </c>
      <c r="L4" s="1">
        <v>357965.08899999998</v>
      </c>
      <c r="M4" s="1">
        <v>1.401</v>
      </c>
    </row>
    <row r="5" spans="1:13" x14ac:dyDescent="0.2">
      <c r="A5" t="s">
        <v>27</v>
      </c>
      <c r="C5" s="3"/>
      <c r="E5" s="1">
        <v>98</v>
      </c>
      <c r="F5" s="1">
        <v>385</v>
      </c>
      <c r="G5" s="1" t="s">
        <v>9</v>
      </c>
      <c r="H5" t="s">
        <v>34</v>
      </c>
      <c r="I5" t="s">
        <v>31</v>
      </c>
      <c r="J5" s="1" t="s">
        <v>28</v>
      </c>
      <c r="K5" s="1">
        <v>4672343.7429999998</v>
      </c>
      <c r="L5" s="1">
        <v>357963.74300000002</v>
      </c>
      <c r="M5" s="1">
        <v>1.413</v>
      </c>
    </row>
    <row r="6" spans="1:13" x14ac:dyDescent="0.2">
      <c r="A6" t="s">
        <v>27</v>
      </c>
      <c r="C6" s="3"/>
      <c r="E6" s="1">
        <v>100</v>
      </c>
      <c r="F6" s="1">
        <v>389</v>
      </c>
      <c r="G6" s="1" t="s">
        <v>9</v>
      </c>
      <c r="H6" t="s">
        <v>34</v>
      </c>
      <c r="I6" t="s">
        <v>31</v>
      </c>
      <c r="J6" s="1" t="s">
        <v>28</v>
      </c>
      <c r="K6" s="1">
        <v>4672340.7120000003</v>
      </c>
      <c r="L6" s="1">
        <v>357962.82500000001</v>
      </c>
      <c r="M6" s="1">
        <v>1.4870000000000001</v>
      </c>
    </row>
    <row r="7" spans="1:13" x14ac:dyDescent="0.2">
      <c r="A7" t="s">
        <v>27</v>
      </c>
      <c r="C7" s="3"/>
      <c r="E7" s="1">
        <v>102</v>
      </c>
      <c r="F7" s="1">
        <v>392</v>
      </c>
      <c r="G7" s="1" t="s">
        <v>11</v>
      </c>
      <c r="H7" t="s">
        <v>35</v>
      </c>
      <c r="I7" t="s">
        <v>36</v>
      </c>
      <c r="J7" s="1" t="s">
        <v>28</v>
      </c>
      <c r="K7" s="1">
        <v>4672335.7220000001</v>
      </c>
      <c r="L7" s="1">
        <v>357956.85399999999</v>
      </c>
      <c r="M7" s="1">
        <v>1.7210000000000001</v>
      </c>
    </row>
    <row r="8" spans="1:13" x14ac:dyDescent="0.2">
      <c r="A8" t="s">
        <v>27</v>
      </c>
      <c r="C8" s="3"/>
      <c r="E8" s="1">
        <v>104</v>
      </c>
      <c r="F8" s="1">
        <v>395</v>
      </c>
      <c r="G8" s="1" t="s">
        <v>12</v>
      </c>
      <c r="H8" t="s">
        <v>37</v>
      </c>
      <c r="I8" t="s">
        <v>38</v>
      </c>
      <c r="J8" s="1" t="s">
        <v>28</v>
      </c>
      <c r="K8" s="1">
        <v>4672330.3360000001</v>
      </c>
      <c r="L8" s="1">
        <v>357953.565</v>
      </c>
      <c r="M8" s="1">
        <v>1.9259999999999999</v>
      </c>
    </row>
    <row r="9" spans="1:13" x14ac:dyDescent="0.2">
      <c r="A9" t="s">
        <v>27</v>
      </c>
      <c r="C9" s="3"/>
      <c r="E9" s="1">
        <v>114</v>
      </c>
      <c r="F9" s="1">
        <v>420</v>
      </c>
      <c r="G9" s="1" t="s">
        <v>9</v>
      </c>
      <c r="H9" t="s">
        <v>34</v>
      </c>
      <c r="I9" t="s">
        <v>31</v>
      </c>
      <c r="J9" s="1" t="s">
        <v>28</v>
      </c>
      <c r="K9" s="1">
        <v>4672355.7019999996</v>
      </c>
      <c r="L9" s="1">
        <v>357930.66200000001</v>
      </c>
      <c r="M9" s="1">
        <v>1.0269999999999999</v>
      </c>
    </row>
    <row r="10" spans="1:13" x14ac:dyDescent="0.2">
      <c r="A10" t="s">
        <v>27</v>
      </c>
      <c r="C10" s="3"/>
      <c r="E10" s="1">
        <v>115</v>
      </c>
      <c r="F10" s="1">
        <v>421</v>
      </c>
      <c r="G10" s="1">
        <v>1</v>
      </c>
      <c r="H10" t="s">
        <v>39</v>
      </c>
      <c r="I10" t="s">
        <v>40</v>
      </c>
      <c r="J10" s="1" t="s">
        <v>28</v>
      </c>
      <c r="K10" s="1">
        <v>4672354.9230000004</v>
      </c>
      <c r="L10" s="1">
        <v>357929.94400000002</v>
      </c>
      <c r="M10" s="1">
        <v>1.0940000000000001</v>
      </c>
    </row>
    <row r="11" spans="1:13" x14ac:dyDescent="0.2">
      <c r="A11" t="s">
        <v>27</v>
      </c>
      <c r="C11" s="3"/>
      <c r="E11" s="1">
        <v>124</v>
      </c>
      <c r="F11" s="1">
        <v>456</v>
      </c>
      <c r="G11" s="1" t="s">
        <v>17</v>
      </c>
      <c r="H11" t="s">
        <v>41</v>
      </c>
      <c r="I11" t="s">
        <v>38</v>
      </c>
      <c r="J11" s="1" t="s">
        <v>28</v>
      </c>
      <c r="K11" s="1">
        <v>4672311.0530000003</v>
      </c>
      <c r="L11" s="1">
        <v>357914.44400000002</v>
      </c>
      <c r="M11" s="1">
        <v>1.6419999999999999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F2B8-3EBC-4178-819E-D4DB8BA58DDD}">
  <dimension ref="A1:M73"/>
  <sheetViews>
    <sheetView workbookViewId="0">
      <selection activeCell="I9" sqref="I9"/>
    </sheetView>
  </sheetViews>
  <sheetFormatPr defaultRowHeight="12.75" x14ac:dyDescent="0.2"/>
  <sheetData>
    <row r="1" spans="1:13" x14ac:dyDescent="0.2">
      <c r="A1" t="s">
        <v>26</v>
      </c>
      <c r="B1" t="s">
        <v>20</v>
      </c>
      <c r="C1" t="s">
        <v>21</v>
      </c>
      <c r="D1" t="s">
        <v>22</v>
      </c>
      <c r="E1" t="s">
        <v>0</v>
      </c>
      <c r="F1" t="s">
        <v>1</v>
      </c>
      <c r="G1" t="s">
        <v>23</v>
      </c>
      <c r="H1" t="s">
        <v>2</v>
      </c>
      <c r="I1" t="s">
        <v>24</v>
      </c>
      <c r="J1" t="s">
        <v>25</v>
      </c>
      <c r="K1" t="s">
        <v>3</v>
      </c>
      <c r="L1" t="s">
        <v>4</v>
      </c>
      <c r="M1" t="s">
        <v>5</v>
      </c>
    </row>
    <row r="2" spans="1:13" x14ac:dyDescent="0.2">
      <c r="A2" t="s">
        <v>27</v>
      </c>
      <c r="C2" s="3"/>
      <c r="E2" s="1">
        <v>95</v>
      </c>
      <c r="F2" s="1">
        <v>381</v>
      </c>
      <c r="G2" s="1">
        <v>32</v>
      </c>
      <c r="H2" t="s">
        <v>42</v>
      </c>
      <c r="I2" t="s">
        <v>40</v>
      </c>
      <c r="J2" s="1" t="s">
        <v>29</v>
      </c>
      <c r="K2" s="1">
        <v>4672342.5829999996</v>
      </c>
      <c r="L2" s="1">
        <v>357969.67599999998</v>
      </c>
      <c r="M2" s="1">
        <v>1.8560000000000001</v>
      </c>
    </row>
    <row r="3" spans="1:13" x14ac:dyDescent="0.2">
      <c r="A3" t="s">
        <v>27</v>
      </c>
      <c r="C3" s="3"/>
      <c r="E3" s="1">
        <v>95</v>
      </c>
      <c r="F3" s="1">
        <v>382</v>
      </c>
      <c r="G3" s="1">
        <v>32</v>
      </c>
      <c r="H3" t="s">
        <v>42</v>
      </c>
      <c r="I3" t="s">
        <v>40</v>
      </c>
      <c r="J3" s="1" t="s">
        <v>29</v>
      </c>
      <c r="K3" s="1">
        <v>4672343.307</v>
      </c>
      <c r="L3" s="1">
        <v>357967.45400000003</v>
      </c>
      <c r="M3" s="1">
        <v>1.5129999999999999</v>
      </c>
    </row>
    <row r="4" spans="1:13" x14ac:dyDescent="0.2">
      <c r="A4" t="s">
        <v>27</v>
      </c>
      <c r="C4" s="3"/>
      <c r="E4" s="1">
        <v>99</v>
      </c>
      <c r="F4" s="1">
        <v>386</v>
      </c>
      <c r="G4" s="1" t="s">
        <v>10</v>
      </c>
      <c r="H4" t="s">
        <v>35</v>
      </c>
      <c r="I4" t="s">
        <v>31</v>
      </c>
      <c r="J4" s="1" t="s">
        <v>29</v>
      </c>
      <c r="K4" s="1">
        <v>4672344.0719999997</v>
      </c>
      <c r="L4" s="1">
        <v>357962.64</v>
      </c>
      <c r="M4" s="1">
        <v>1.383</v>
      </c>
    </row>
    <row r="5" spans="1:13" x14ac:dyDescent="0.2">
      <c r="A5" t="s">
        <v>27</v>
      </c>
      <c r="C5" s="3"/>
      <c r="E5" s="1">
        <v>99</v>
      </c>
      <c r="F5" s="1">
        <v>387</v>
      </c>
      <c r="G5" s="1" t="s">
        <v>10</v>
      </c>
      <c r="H5" t="s">
        <v>35</v>
      </c>
      <c r="I5" t="s">
        <v>31</v>
      </c>
      <c r="J5" s="1" t="s">
        <v>29</v>
      </c>
      <c r="K5" s="1">
        <v>4672342.3619999997</v>
      </c>
      <c r="L5" s="1">
        <v>357960.74900000001</v>
      </c>
      <c r="M5" s="1">
        <v>1.401</v>
      </c>
    </row>
    <row r="6" spans="1:13" x14ac:dyDescent="0.2">
      <c r="A6" t="s">
        <v>27</v>
      </c>
      <c r="C6" s="3"/>
      <c r="E6" s="1">
        <v>99</v>
      </c>
      <c r="F6" s="1">
        <v>388</v>
      </c>
      <c r="G6" s="1" t="s">
        <v>10</v>
      </c>
      <c r="H6" t="s">
        <v>35</v>
      </c>
      <c r="I6" t="s">
        <v>31</v>
      </c>
      <c r="J6" s="1" t="s">
        <v>29</v>
      </c>
      <c r="K6" s="1">
        <v>4672341.693</v>
      </c>
      <c r="L6" s="1">
        <v>357961.85</v>
      </c>
      <c r="M6" s="1">
        <v>1.4770000000000001</v>
      </c>
    </row>
    <row r="7" spans="1:13" x14ac:dyDescent="0.2">
      <c r="A7" t="s">
        <v>27</v>
      </c>
      <c r="C7" s="3"/>
      <c r="E7" s="1">
        <v>101</v>
      </c>
      <c r="F7" s="1">
        <v>390</v>
      </c>
      <c r="G7" s="1">
        <v>31</v>
      </c>
      <c r="H7" t="s">
        <v>41</v>
      </c>
      <c r="I7" t="s">
        <v>40</v>
      </c>
      <c r="J7" s="1" t="s">
        <v>29</v>
      </c>
      <c r="K7" s="1">
        <v>4672340.2980000004</v>
      </c>
      <c r="L7" s="1">
        <v>357961.88</v>
      </c>
      <c r="M7" s="1">
        <v>1.522</v>
      </c>
    </row>
    <row r="8" spans="1:13" x14ac:dyDescent="0.2">
      <c r="A8" t="s">
        <v>27</v>
      </c>
      <c r="C8" s="3"/>
      <c r="E8" s="1">
        <v>101</v>
      </c>
      <c r="F8" s="1">
        <v>391</v>
      </c>
      <c r="G8" s="1">
        <v>31</v>
      </c>
      <c r="H8" t="s">
        <v>41</v>
      </c>
      <c r="I8" t="s">
        <v>40</v>
      </c>
      <c r="J8" s="1" t="s">
        <v>29</v>
      </c>
      <c r="K8" s="1">
        <v>4672336.4890000001</v>
      </c>
      <c r="L8" s="1">
        <v>357957.625</v>
      </c>
      <c r="M8" s="1">
        <v>1.629</v>
      </c>
    </row>
    <row r="9" spans="1:13" x14ac:dyDescent="0.2">
      <c r="A9" t="s">
        <v>27</v>
      </c>
      <c r="C9" s="3"/>
      <c r="E9" s="1">
        <v>103</v>
      </c>
      <c r="F9" s="1">
        <v>393</v>
      </c>
      <c r="G9" s="1">
        <v>31</v>
      </c>
      <c r="H9" t="s">
        <v>41</v>
      </c>
      <c r="I9" t="s">
        <v>40</v>
      </c>
      <c r="J9" s="1" t="s">
        <v>29</v>
      </c>
      <c r="K9" s="1">
        <v>4672334.8810000001</v>
      </c>
      <c r="L9" s="1">
        <v>357956.549</v>
      </c>
      <c r="M9" s="1">
        <v>1.635</v>
      </c>
    </row>
    <row r="10" spans="1:13" x14ac:dyDescent="0.2">
      <c r="A10" t="s">
        <v>27</v>
      </c>
      <c r="C10" s="3"/>
      <c r="E10" s="1">
        <v>103</v>
      </c>
      <c r="F10" s="1">
        <v>394</v>
      </c>
      <c r="G10" s="1">
        <v>31</v>
      </c>
      <c r="H10" t="s">
        <v>41</v>
      </c>
      <c r="I10" t="s">
        <v>40</v>
      </c>
      <c r="J10" s="1" t="s">
        <v>29</v>
      </c>
      <c r="K10" s="1">
        <v>4672331.6840000004</v>
      </c>
      <c r="L10" s="1">
        <v>357953.83399999997</v>
      </c>
      <c r="M10" s="1">
        <v>1.728</v>
      </c>
    </row>
    <row r="11" spans="1:13" x14ac:dyDescent="0.2">
      <c r="A11" t="s">
        <v>27</v>
      </c>
      <c r="C11" s="3"/>
      <c r="E11" s="1">
        <v>105</v>
      </c>
      <c r="F11" s="1">
        <v>396</v>
      </c>
      <c r="G11" s="1" t="s">
        <v>9</v>
      </c>
      <c r="H11" t="s">
        <v>34</v>
      </c>
      <c r="I11" t="s">
        <v>31</v>
      </c>
      <c r="J11" s="1" t="s">
        <v>29</v>
      </c>
      <c r="K11" s="1">
        <v>4672328.7439999999</v>
      </c>
      <c r="L11" s="1">
        <v>357952.50199999998</v>
      </c>
      <c r="M11" s="1">
        <v>1.6819999999999999</v>
      </c>
    </row>
    <row r="12" spans="1:13" x14ac:dyDescent="0.2">
      <c r="A12" t="s">
        <v>27</v>
      </c>
      <c r="C12" s="3"/>
      <c r="E12" s="1">
        <v>105</v>
      </c>
      <c r="F12" s="1">
        <v>397</v>
      </c>
      <c r="G12" s="1" t="s">
        <v>9</v>
      </c>
      <c r="H12" t="s">
        <v>34</v>
      </c>
      <c r="I12" t="s">
        <v>31</v>
      </c>
      <c r="J12" s="1" t="s">
        <v>29</v>
      </c>
      <c r="K12" s="1">
        <v>4672326.8480000002</v>
      </c>
      <c r="L12" s="1">
        <v>357951.902</v>
      </c>
      <c r="M12" s="1">
        <v>1.6160000000000001</v>
      </c>
    </row>
    <row r="13" spans="1:13" x14ac:dyDescent="0.2">
      <c r="A13" t="s">
        <v>27</v>
      </c>
      <c r="C13" s="3"/>
      <c r="E13" s="1">
        <v>106</v>
      </c>
      <c r="F13" s="1">
        <v>398</v>
      </c>
      <c r="G13" s="1" t="s">
        <v>13</v>
      </c>
      <c r="H13" t="s">
        <v>37</v>
      </c>
      <c r="I13" t="s">
        <v>31</v>
      </c>
      <c r="J13" s="1" t="s">
        <v>29</v>
      </c>
      <c r="K13" s="1">
        <v>4672325.5250000004</v>
      </c>
      <c r="L13" s="1">
        <v>357951.15399999998</v>
      </c>
      <c r="M13" s="1">
        <v>1.879</v>
      </c>
    </row>
    <row r="14" spans="1:13" x14ac:dyDescent="0.2">
      <c r="A14" t="s">
        <v>27</v>
      </c>
      <c r="C14" s="3"/>
      <c r="E14" s="1">
        <v>106</v>
      </c>
      <c r="F14" s="1">
        <v>399</v>
      </c>
      <c r="G14" s="1" t="s">
        <v>13</v>
      </c>
      <c r="H14" t="s">
        <v>37</v>
      </c>
      <c r="I14" t="s">
        <v>31</v>
      </c>
      <c r="J14" s="1" t="s">
        <v>29</v>
      </c>
      <c r="K14" s="1">
        <v>4672320.4409999996</v>
      </c>
      <c r="L14" s="1">
        <v>357943.05200000003</v>
      </c>
      <c r="M14" s="1">
        <v>1.657</v>
      </c>
    </row>
    <row r="15" spans="1:13" x14ac:dyDescent="0.2">
      <c r="A15" t="s">
        <v>27</v>
      </c>
      <c r="C15" s="3"/>
      <c r="E15" s="1">
        <v>107</v>
      </c>
      <c r="F15" s="1">
        <v>400</v>
      </c>
      <c r="G15" s="1" t="s">
        <v>14</v>
      </c>
      <c r="H15" t="s">
        <v>43</v>
      </c>
      <c r="I15" t="s">
        <v>31</v>
      </c>
      <c r="J15" s="1" t="s">
        <v>29</v>
      </c>
      <c r="K15" s="1">
        <v>4672319.7580000004</v>
      </c>
      <c r="L15" s="1">
        <v>357942.15399999998</v>
      </c>
      <c r="M15" s="1">
        <v>1.5309999999999999</v>
      </c>
    </row>
    <row r="16" spans="1:13" x14ac:dyDescent="0.2">
      <c r="A16" t="s">
        <v>27</v>
      </c>
      <c r="C16" s="3"/>
      <c r="E16" s="1">
        <v>107</v>
      </c>
      <c r="F16" s="1">
        <v>401</v>
      </c>
      <c r="G16" s="1" t="s">
        <v>14</v>
      </c>
      <c r="H16" t="s">
        <v>43</v>
      </c>
      <c r="I16" t="s">
        <v>31</v>
      </c>
      <c r="J16" s="1" t="s">
        <v>29</v>
      </c>
      <c r="K16" s="1">
        <v>4672314.3509999998</v>
      </c>
      <c r="L16" s="1">
        <v>357933.68900000001</v>
      </c>
      <c r="M16" s="1">
        <v>1.5669999999999999</v>
      </c>
    </row>
    <row r="17" spans="1:13" x14ac:dyDescent="0.2">
      <c r="A17" t="s">
        <v>27</v>
      </c>
      <c r="C17" s="3"/>
      <c r="E17" s="1">
        <v>107</v>
      </c>
      <c r="F17" s="1">
        <v>402</v>
      </c>
      <c r="G17" s="1" t="s">
        <v>14</v>
      </c>
      <c r="H17" t="s">
        <v>43</v>
      </c>
      <c r="I17" t="s">
        <v>31</v>
      </c>
      <c r="J17" s="1" t="s">
        <v>29</v>
      </c>
      <c r="K17" s="1">
        <v>4672318.1339999996</v>
      </c>
      <c r="L17" s="1">
        <v>357929.55599999998</v>
      </c>
      <c r="M17" s="1">
        <v>1.5620000000000001</v>
      </c>
    </row>
    <row r="18" spans="1:13" x14ac:dyDescent="0.2">
      <c r="A18" t="s">
        <v>27</v>
      </c>
      <c r="C18" s="3"/>
      <c r="E18" s="1">
        <v>108</v>
      </c>
      <c r="F18" s="1">
        <v>403</v>
      </c>
      <c r="G18" s="1" t="s">
        <v>10</v>
      </c>
      <c r="H18" t="s">
        <v>35</v>
      </c>
      <c r="I18" t="s">
        <v>31</v>
      </c>
      <c r="J18" s="1" t="s">
        <v>29</v>
      </c>
      <c r="K18" s="1">
        <v>4672319.2659999998</v>
      </c>
      <c r="L18" s="1">
        <v>357928.55599999998</v>
      </c>
      <c r="M18" s="1">
        <v>1.5529999999999999</v>
      </c>
    </row>
    <row r="19" spans="1:13" x14ac:dyDescent="0.2">
      <c r="A19" t="s">
        <v>27</v>
      </c>
      <c r="C19" s="3"/>
      <c r="E19" s="1">
        <v>108</v>
      </c>
      <c r="F19" s="1">
        <v>404</v>
      </c>
      <c r="G19" s="1" t="s">
        <v>10</v>
      </c>
      <c r="H19" t="s">
        <v>35</v>
      </c>
      <c r="I19" t="s">
        <v>31</v>
      </c>
      <c r="J19" s="1" t="s">
        <v>29</v>
      </c>
      <c r="K19" s="1">
        <v>4672321.392</v>
      </c>
      <c r="L19" s="1">
        <v>357925.18099999998</v>
      </c>
      <c r="M19" s="1">
        <v>1.4430000000000001</v>
      </c>
    </row>
    <row r="20" spans="1:13" x14ac:dyDescent="0.2">
      <c r="A20" t="s">
        <v>27</v>
      </c>
      <c r="C20" s="3"/>
      <c r="E20" s="1">
        <v>109</v>
      </c>
      <c r="F20" s="1">
        <v>405</v>
      </c>
      <c r="G20" s="1" t="s">
        <v>8</v>
      </c>
      <c r="H20" t="s">
        <v>33</v>
      </c>
      <c r="I20" t="s">
        <v>31</v>
      </c>
      <c r="J20" s="1" t="s">
        <v>29</v>
      </c>
      <c r="K20" s="1">
        <v>4672321.9919999996</v>
      </c>
      <c r="L20" s="1">
        <v>357924.26799999998</v>
      </c>
      <c r="M20" s="1">
        <v>1.321</v>
      </c>
    </row>
    <row r="21" spans="1:13" x14ac:dyDescent="0.2">
      <c r="A21" t="s">
        <v>27</v>
      </c>
      <c r="C21" s="3"/>
      <c r="E21" s="1">
        <v>109</v>
      </c>
      <c r="F21" s="1">
        <v>406</v>
      </c>
      <c r="G21" s="1" t="s">
        <v>8</v>
      </c>
      <c r="H21" t="s">
        <v>33</v>
      </c>
      <c r="I21" t="s">
        <v>31</v>
      </c>
      <c r="J21" s="1" t="s">
        <v>29</v>
      </c>
      <c r="K21" s="1">
        <v>4672320.1100000003</v>
      </c>
      <c r="L21" s="1">
        <v>357920.76500000001</v>
      </c>
      <c r="M21" s="1">
        <v>1.2629999999999999</v>
      </c>
    </row>
    <row r="22" spans="1:13" x14ac:dyDescent="0.2">
      <c r="A22" t="s">
        <v>27</v>
      </c>
      <c r="C22" s="3"/>
      <c r="E22" s="1">
        <v>110</v>
      </c>
      <c r="F22" s="1">
        <v>407</v>
      </c>
      <c r="G22" s="1" t="s">
        <v>7</v>
      </c>
      <c r="H22" t="s">
        <v>32</v>
      </c>
      <c r="I22" t="s">
        <v>31</v>
      </c>
      <c r="J22" s="1" t="s">
        <v>29</v>
      </c>
      <c r="K22" s="1">
        <v>4672320.9579999996</v>
      </c>
      <c r="L22" s="1">
        <v>357920.337</v>
      </c>
      <c r="M22" s="1">
        <v>1.2569999999999999</v>
      </c>
    </row>
    <row r="23" spans="1:13" x14ac:dyDescent="0.2">
      <c r="A23" t="s">
        <v>27</v>
      </c>
      <c r="C23" s="3"/>
      <c r="E23" s="1">
        <v>110</v>
      </c>
      <c r="F23" s="1">
        <v>408</v>
      </c>
      <c r="G23" s="1" t="s">
        <v>7</v>
      </c>
      <c r="H23" t="s">
        <v>32</v>
      </c>
      <c r="I23" t="s">
        <v>31</v>
      </c>
      <c r="J23" s="1" t="s">
        <v>29</v>
      </c>
      <c r="K23" s="1">
        <v>4672321.983</v>
      </c>
      <c r="L23" s="1">
        <v>357918.82699999999</v>
      </c>
      <c r="M23" s="1">
        <v>1.1499999999999999</v>
      </c>
    </row>
    <row r="24" spans="1:13" x14ac:dyDescent="0.2">
      <c r="A24" t="s">
        <v>27</v>
      </c>
      <c r="C24" s="3"/>
      <c r="E24" s="1">
        <v>110</v>
      </c>
      <c r="F24" s="1">
        <v>409</v>
      </c>
      <c r="G24" s="1" t="s">
        <v>7</v>
      </c>
      <c r="H24" t="s">
        <v>32</v>
      </c>
      <c r="I24" t="s">
        <v>31</v>
      </c>
      <c r="J24" s="1" t="s">
        <v>29</v>
      </c>
      <c r="K24" s="1">
        <v>4672325.1459999997</v>
      </c>
      <c r="L24" s="1">
        <v>357916.87199999997</v>
      </c>
      <c r="M24" s="1">
        <v>1.046</v>
      </c>
    </row>
    <row r="25" spans="1:13" x14ac:dyDescent="0.2">
      <c r="A25" t="s">
        <v>27</v>
      </c>
      <c r="C25" s="3"/>
      <c r="E25" s="1">
        <v>110</v>
      </c>
      <c r="F25" s="1">
        <v>410</v>
      </c>
      <c r="G25" s="1" t="s">
        <v>7</v>
      </c>
      <c r="H25" t="s">
        <v>32</v>
      </c>
      <c r="I25" t="s">
        <v>31</v>
      </c>
      <c r="J25" s="1" t="s">
        <v>29</v>
      </c>
      <c r="K25" s="1">
        <v>4672329.6359999999</v>
      </c>
      <c r="L25" s="1">
        <v>357920.58299999998</v>
      </c>
      <c r="M25" s="1">
        <v>0.99399999999999999</v>
      </c>
    </row>
    <row r="26" spans="1:13" x14ac:dyDescent="0.2">
      <c r="A26" t="s">
        <v>27</v>
      </c>
      <c r="C26" s="3"/>
      <c r="E26" s="1">
        <v>111</v>
      </c>
      <c r="F26" s="1">
        <v>411</v>
      </c>
      <c r="G26" s="1" t="s">
        <v>8</v>
      </c>
      <c r="H26" t="s">
        <v>33</v>
      </c>
      <c r="I26" t="s">
        <v>31</v>
      </c>
      <c r="J26" s="1" t="s">
        <v>29</v>
      </c>
      <c r="K26" s="1">
        <v>4672330.8310000002</v>
      </c>
      <c r="L26" s="1">
        <v>357922.31800000003</v>
      </c>
      <c r="M26" s="1">
        <v>1.071</v>
      </c>
    </row>
    <row r="27" spans="1:13" x14ac:dyDescent="0.2">
      <c r="A27" t="s">
        <v>27</v>
      </c>
      <c r="C27" s="3"/>
      <c r="E27" s="1">
        <v>111</v>
      </c>
      <c r="F27" s="1">
        <v>412</v>
      </c>
      <c r="G27" s="1" t="s">
        <v>8</v>
      </c>
      <c r="H27" t="s">
        <v>33</v>
      </c>
      <c r="I27" t="s">
        <v>31</v>
      </c>
      <c r="J27" s="1" t="s">
        <v>29</v>
      </c>
      <c r="K27" s="1">
        <v>4672332.8890000004</v>
      </c>
      <c r="L27" s="1">
        <v>357923.897</v>
      </c>
      <c r="M27" s="1">
        <v>1.1439999999999999</v>
      </c>
    </row>
    <row r="28" spans="1:13" x14ac:dyDescent="0.2">
      <c r="A28" t="s">
        <v>27</v>
      </c>
      <c r="C28" s="3"/>
      <c r="E28" s="1">
        <v>112</v>
      </c>
      <c r="F28" s="1">
        <v>413</v>
      </c>
      <c r="G28" s="1" t="s">
        <v>10</v>
      </c>
      <c r="H28" t="s">
        <v>35</v>
      </c>
      <c r="I28" t="s">
        <v>31</v>
      </c>
      <c r="J28" s="1" t="s">
        <v>29</v>
      </c>
      <c r="K28" s="1">
        <v>4672333.6720000003</v>
      </c>
      <c r="L28" s="1">
        <v>357924.86700000003</v>
      </c>
      <c r="M28" s="1">
        <v>1.248</v>
      </c>
    </row>
    <row r="29" spans="1:13" x14ac:dyDescent="0.2">
      <c r="A29" t="s">
        <v>27</v>
      </c>
      <c r="C29" s="3"/>
      <c r="E29" s="1">
        <v>112</v>
      </c>
      <c r="F29" s="1">
        <v>414</v>
      </c>
      <c r="G29" s="1" t="s">
        <v>10</v>
      </c>
      <c r="H29" t="s">
        <v>35</v>
      </c>
      <c r="I29" t="s">
        <v>31</v>
      </c>
      <c r="J29" s="1" t="s">
        <v>29</v>
      </c>
      <c r="K29" s="1">
        <v>4672349.875</v>
      </c>
      <c r="L29" s="1">
        <v>357930.96500000003</v>
      </c>
      <c r="M29" s="1">
        <v>1.1739999999999999</v>
      </c>
    </row>
    <row r="30" spans="1:13" x14ac:dyDescent="0.2">
      <c r="A30" t="s">
        <v>27</v>
      </c>
      <c r="C30" s="3"/>
      <c r="E30" s="1">
        <v>113</v>
      </c>
      <c r="F30" s="1">
        <v>415</v>
      </c>
      <c r="G30" s="1" t="s">
        <v>7</v>
      </c>
      <c r="H30" t="s">
        <v>32</v>
      </c>
      <c r="I30" t="s">
        <v>31</v>
      </c>
      <c r="J30" s="1" t="s">
        <v>29</v>
      </c>
      <c r="K30" s="1">
        <v>4672351.3830000004</v>
      </c>
      <c r="L30" s="1">
        <v>357931.66399999999</v>
      </c>
      <c r="M30" s="1">
        <v>1.105</v>
      </c>
    </row>
    <row r="31" spans="1:13" x14ac:dyDescent="0.2">
      <c r="A31" t="s">
        <v>27</v>
      </c>
      <c r="C31" s="3"/>
      <c r="E31" s="1">
        <v>113</v>
      </c>
      <c r="F31" s="1">
        <v>416</v>
      </c>
      <c r="G31" s="1" t="s">
        <v>7</v>
      </c>
      <c r="H31" t="s">
        <v>32</v>
      </c>
      <c r="I31" t="s">
        <v>31</v>
      </c>
      <c r="J31" s="1" t="s">
        <v>29</v>
      </c>
      <c r="K31" s="1">
        <v>4672352.2290000003</v>
      </c>
      <c r="L31" s="1">
        <v>357933.337</v>
      </c>
      <c r="M31" s="1">
        <v>0.88100000000000001</v>
      </c>
    </row>
    <row r="32" spans="1:13" x14ac:dyDescent="0.2">
      <c r="A32" t="s">
        <v>27</v>
      </c>
      <c r="C32" s="3"/>
      <c r="E32" s="1">
        <v>113</v>
      </c>
      <c r="F32" s="1">
        <v>417</v>
      </c>
      <c r="G32" s="1" t="s">
        <v>7</v>
      </c>
      <c r="H32" t="s">
        <v>32</v>
      </c>
      <c r="I32" t="s">
        <v>31</v>
      </c>
      <c r="J32" s="1" t="s">
        <v>29</v>
      </c>
      <c r="K32" s="1">
        <v>4672359.3080000002</v>
      </c>
      <c r="L32" s="1">
        <v>357930.92</v>
      </c>
      <c r="M32" s="1">
        <v>0.85299999999999998</v>
      </c>
    </row>
    <row r="33" spans="1:13" x14ac:dyDescent="0.2">
      <c r="A33" t="s">
        <v>27</v>
      </c>
      <c r="C33" s="3"/>
      <c r="E33" s="1">
        <v>113</v>
      </c>
      <c r="F33" s="1">
        <v>418</v>
      </c>
      <c r="G33" s="1" t="s">
        <v>7</v>
      </c>
      <c r="H33" t="s">
        <v>32</v>
      </c>
      <c r="I33" t="s">
        <v>31</v>
      </c>
      <c r="J33" s="1" t="s">
        <v>29</v>
      </c>
      <c r="K33" s="1">
        <v>4672358.7920000004</v>
      </c>
      <c r="L33" s="1">
        <v>357928.83100000001</v>
      </c>
      <c r="M33" s="1">
        <v>1.0669999999999999</v>
      </c>
    </row>
    <row r="34" spans="1:13" x14ac:dyDescent="0.2">
      <c r="A34" t="s">
        <v>27</v>
      </c>
      <c r="C34" s="3"/>
      <c r="E34" s="1">
        <v>113</v>
      </c>
      <c r="F34" s="1">
        <v>419</v>
      </c>
      <c r="G34" s="1" t="s">
        <v>7</v>
      </c>
      <c r="H34" t="s">
        <v>32</v>
      </c>
      <c r="I34" t="s">
        <v>31</v>
      </c>
      <c r="J34" s="1" t="s">
        <v>29</v>
      </c>
      <c r="K34" s="1">
        <v>4672357.0549999997</v>
      </c>
      <c r="L34" s="1">
        <v>357930.13799999998</v>
      </c>
      <c r="M34" s="1">
        <v>1.0029999999999999</v>
      </c>
    </row>
    <row r="35" spans="1:13" x14ac:dyDescent="0.2">
      <c r="A35" t="s">
        <v>27</v>
      </c>
      <c r="C35" s="3"/>
      <c r="E35" s="1">
        <v>116</v>
      </c>
      <c r="F35" s="1">
        <v>422</v>
      </c>
      <c r="G35" s="1" t="s">
        <v>10</v>
      </c>
      <c r="H35" t="s">
        <v>35</v>
      </c>
      <c r="I35" t="s">
        <v>31</v>
      </c>
      <c r="J35" s="1" t="s">
        <v>29</v>
      </c>
      <c r="K35" s="1">
        <v>4672354.199</v>
      </c>
      <c r="L35" s="1">
        <v>357928.55499999999</v>
      </c>
      <c r="M35" s="1">
        <v>1.1619999999999999</v>
      </c>
    </row>
    <row r="36" spans="1:13" x14ac:dyDescent="0.2">
      <c r="A36" t="s">
        <v>27</v>
      </c>
      <c r="C36" s="3"/>
      <c r="E36" s="1">
        <v>116</v>
      </c>
      <c r="F36" s="1">
        <v>423</v>
      </c>
      <c r="G36" s="1" t="s">
        <v>10</v>
      </c>
      <c r="H36" t="s">
        <v>35</v>
      </c>
      <c r="I36" t="s">
        <v>31</v>
      </c>
      <c r="J36" s="1" t="s">
        <v>29</v>
      </c>
      <c r="K36" s="1">
        <v>4672358.4040000001</v>
      </c>
      <c r="L36" s="1">
        <v>357921.01799999998</v>
      </c>
      <c r="M36" s="1">
        <v>1.17</v>
      </c>
    </row>
    <row r="37" spans="1:13" x14ac:dyDescent="0.2">
      <c r="A37" t="s">
        <v>27</v>
      </c>
      <c r="C37" s="3"/>
      <c r="E37" s="1">
        <v>116</v>
      </c>
      <c r="F37" s="1">
        <v>424</v>
      </c>
      <c r="G37" s="1" t="s">
        <v>10</v>
      </c>
      <c r="H37" t="s">
        <v>35</v>
      </c>
      <c r="I37" t="s">
        <v>31</v>
      </c>
      <c r="J37" s="1" t="s">
        <v>29</v>
      </c>
      <c r="K37" s="1">
        <v>4672360.8140000002</v>
      </c>
      <c r="L37" s="1">
        <v>357920.31699999998</v>
      </c>
      <c r="M37" s="1">
        <v>1.1890000000000001</v>
      </c>
    </row>
    <row r="38" spans="1:13" x14ac:dyDescent="0.2">
      <c r="A38" t="s">
        <v>27</v>
      </c>
      <c r="C38" s="3"/>
      <c r="E38" s="1">
        <v>117</v>
      </c>
      <c r="F38" s="1">
        <v>425</v>
      </c>
      <c r="G38" s="1" t="s">
        <v>14</v>
      </c>
      <c r="H38" t="s">
        <v>43</v>
      </c>
      <c r="I38" t="s">
        <v>31</v>
      </c>
      <c r="J38" s="1" t="s">
        <v>29</v>
      </c>
      <c r="K38" s="1">
        <v>4672362.42</v>
      </c>
      <c r="L38" s="1">
        <v>357920.18400000001</v>
      </c>
      <c r="M38" s="1">
        <v>1.171</v>
      </c>
    </row>
    <row r="39" spans="1:13" x14ac:dyDescent="0.2">
      <c r="A39" t="s">
        <v>27</v>
      </c>
      <c r="C39" s="3"/>
      <c r="E39" s="1">
        <v>117</v>
      </c>
      <c r="F39" s="1">
        <v>426</v>
      </c>
      <c r="G39" s="1" t="s">
        <v>14</v>
      </c>
      <c r="H39" t="s">
        <v>43</v>
      </c>
      <c r="I39" t="s">
        <v>31</v>
      </c>
      <c r="J39" s="1" t="s">
        <v>29</v>
      </c>
      <c r="K39" s="1">
        <v>4672365.0279999999</v>
      </c>
      <c r="L39" s="1">
        <v>357919.98599999998</v>
      </c>
      <c r="M39" s="1">
        <v>1.1819999999999999</v>
      </c>
    </row>
    <row r="40" spans="1:13" x14ac:dyDescent="0.2">
      <c r="A40" t="s">
        <v>27</v>
      </c>
      <c r="C40" s="3"/>
      <c r="E40" s="1">
        <v>118</v>
      </c>
      <c r="F40" s="1">
        <v>427</v>
      </c>
      <c r="G40" s="1" t="s">
        <v>7</v>
      </c>
      <c r="H40" t="s">
        <v>32</v>
      </c>
      <c r="I40" t="s">
        <v>31</v>
      </c>
      <c r="J40" s="1" t="s">
        <v>29</v>
      </c>
      <c r="K40" s="1">
        <v>4672366.25</v>
      </c>
      <c r="L40" s="1">
        <v>357920.15600000002</v>
      </c>
      <c r="M40" s="1">
        <v>1.167</v>
      </c>
    </row>
    <row r="41" spans="1:13" x14ac:dyDescent="0.2">
      <c r="A41" t="s">
        <v>27</v>
      </c>
      <c r="C41" s="3"/>
      <c r="E41" s="1">
        <v>118</v>
      </c>
      <c r="F41" s="1">
        <v>428</v>
      </c>
      <c r="G41" s="1" t="s">
        <v>7</v>
      </c>
      <c r="H41" t="s">
        <v>32</v>
      </c>
      <c r="I41" t="s">
        <v>31</v>
      </c>
      <c r="J41" s="1" t="s">
        <v>29</v>
      </c>
      <c r="K41" s="1">
        <v>4672372.8150000004</v>
      </c>
      <c r="L41" s="1">
        <v>357915.77899999998</v>
      </c>
      <c r="M41" s="1">
        <v>0.94799999999999995</v>
      </c>
    </row>
    <row r="42" spans="1:13" x14ac:dyDescent="0.2">
      <c r="A42" t="s">
        <v>27</v>
      </c>
      <c r="C42" s="3"/>
      <c r="E42" s="1">
        <v>119</v>
      </c>
      <c r="F42" s="1">
        <v>429</v>
      </c>
      <c r="G42" s="1" t="s">
        <v>15</v>
      </c>
      <c r="H42" t="s">
        <v>32</v>
      </c>
      <c r="I42" t="s">
        <v>36</v>
      </c>
      <c r="J42" s="1" t="s">
        <v>29</v>
      </c>
      <c r="K42" s="1">
        <v>4672373.9790000003</v>
      </c>
      <c r="L42" s="1">
        <v>357914.86200000002</v>
      </c>
      <c r="M42" s="1">
        <v>0.57299999999999995</v>
      </c>
    </row>
    <row r="43" spans="1:13" x14ac:dyDescent="0.2">
      <c r="A43" t="s">
        <v>27</v>
      </c>
      <c r="C43" s="3"/>
      <c r="E43" s="1">
        <v>119</v>
      </c>
      <c r="F43" s="1">
        <v>430</v>
      </c>
      <c r="G43" s="1" t="s">
        <v>15</v>
      </c>
      <c r="H43" t="s">
        <v>32</v>
      </c>
      <c r="I43" t="s">
        <v>36</v>
      </c>
      <c r="J43" s="1" t="s">
        <v>29</v>
      </c>
      <c r="K43" s="1">
        <v>4672370.398</v>
      </c>
      <c r="L43" s="1">
        <v>357911.91399999999</v>
      </c>
      <c r="M43" s="1">
        <v>0.66900000000000004</v>
      </c>
    </row>
    <row r="44" spans="1:13" x14ac:dyDescent="0.2">
      <c r="A44" t="s">
        <v>27</v>
      </c>
      <c r="C44" s="3"/>
      <c r="E44" s="1">
        <v>120</v>
      </c>
      <c r="F44" s="1">
        <v>431</v>
      </c>
      <c r="G44" s="1">
        <v>27</v>
      </c>
      <c r="H44" t="s">
        <v>44</v>
      </c>
      <c r="I44" t="s">
        <v>40</v>
      </c>
      <c r="J44" s="1" t="s">
        <v>29</v>
      </c>
      <c r="K44" s="1">
        <v>4672369.5939999996</v>
      </c>
      <c r="L44" s="1">
        <v>357910.96899999998</v>
      </c>
      <c r="M44" s="1">
        <v>0.35</v>
      </c>
    </row>
    <row r="45" spans="1:13" x14ac:dyDescent="0.2">
      <c r="A45" t="s">
        <v>27</v>
      </c>
      <c r="C45" s="3"/>
      <c r="E45" s="1">
        <v>120</v>
      </c>
      <c r="F45" s="1">
        <v>432</v>
      </c>
      <c r="G45" s="1">
        <v>27</v>
      </c>
      <c r="H45" t="s">
        <v>44</v>
      </c>
      <c r="I45" t="s">
        <v>40</v>
      </c>
      <c r="J45" s="1" t="s">
        <v>29</v>
      </c>
      <c r="K45" s="1">
        <v>4672365.8710000003</v>
      </c>
      <c r="L45" s="1">
        <v>357912.125</v>
      </c>
      <c r="M45" s="1">
        <v>0.42799999999999999</v>
      </c>
    </row>
    <row r="46" spans="1:13" x14ac:dyDescent="0.2">
      <c r="A46" t="s">
        <v>27</v>
      </c>
      <c r="C46" s="3"/>
      <c r="E46" s="1">
        <v>120</v>
      </c>
      <c r="F46" s="1">
        <v>433</v>
      </c>
      <c r="G46" s="1">
        <v>27</v>
      </c>
      <c r="H46" t="s">
        <v>44</v>
      </c>
      <c r="I46" t="s">
        <v>40</v>
      </c>
      <c r="J46" s="1" t="s">
        <v>29</v>
      </c>
      <c r="K46" s="1">
        <v>4672366.2960000001</v>
      </c>
      <c r="L46" s="1">
        <v>357913.141</v>
      </c>
      <c r="M46" s="1">
        <v>0.64200000000000002</v>
      </c>
    </row>
    <row r="47" spans="1:13" x14ac:dyDescent="0.2">
      <c r="A47" t="s">
        <v>27</v>
      </c>
      <c r="C47" s="3"/>
      <c r="E47" s="1">
        <v>121</v>
      </c>
      <c r="F47" s="1">
        <v>434</v>
      </c>
      <c r="G47" s="1" t="s">
        <v>7</v>
      </c>
      <c r="H47" t="s">
        <v>32</v>
      </c>
      <c r="I47" t="s">
        <v>31</v>
      </c>
      <c r="J47" s="1" t="s">
        <v>29</v>
      </c>
      <c r="K47" s="1">
        <v>4672366.5930000003</v>
      </c>
      <c r="L47" s="1">
        <v>357914.45500000002</v>
      </c>
      <c r="M47" s="1">
        <v>0.95299999999999996</v>
      </c>
    </row>
    <row r="48" spans="1:13" x14ac:dyDescent="0.2">
      <c r="A48" t="s">
        <v>27</v>
      </c>
      <c r="C48" s="3"/>
      <c r="E48" s="1">
        <v>121</v>
      </c>
      <c r="F48" s="1">
        <v>435</v>
      </c>
      <c r="G48" s="1" t="s">
        <v>7</v>
      </c>
      <c r="H48" t="s">
        <v>32</v>
      </c>
      <c r="I48" t="s">
        <v>31</v>
      </c>
      <c r="J48" s="1" t="s">
        <v>29</v>
      </c>
      <c r="K48" s="1">
        <v>4672349.5379999997</v>
      </c>
      <c r="L48" s="1">
        <v>357922.44199999998</v>
      </c>
      <c r="M48" s="1">
        <v>0.84599999999999997</v>
      </c>
    </row>
    <row r="49" spans="1:13" x14ac:dyDescent="0.2">
      <c r="A49" t="s">
        <v>27</v>
      </c>
      <c r="C49" s="3"/>
      <c r="E49" s="1">
        <v>123</v>
      </c>
      <c r="F49" s="1">
        <v>454</v>
      </c>
      <c r="G49" s="1" t="s">
        <v>16</v>
      </c>
      <c r="H49" t="s">
        <v>32</v>
      </c>
      <c r="I49" t="s">
        <v>45</v>
      </c>
      <c r="J49" s="1" t="s">
        <v>29</v>
      </c>
      <c r="K49" s="1">
        <v>4672337.3619999997</v>
      </c>
      <c r="L49" s="1">
        <v>357947.81099999999</v>
      </c>
      <c r="M49" s="1">
        <v>0.96899999999999997</v>
      </c>
    </row>
    <row r="50" spans="1:13" x14ac:dyDescent="0.2">
      <c r="A50" t="s">
        <v>27</v>
      </c>
      <c r="C50" s="3"/>
      <c r="E50" s="1">
        <v>123</v>
      </c>
      <c r="F50" s="1">
        <v>455</v>
      </c>
      <c r="G50" s="1" t="s">
        <v>16</v>
      </c>
      <c r="H50" t="s">
        <v>32</v>
      </c>
      <c r="I50" t="s">
        <v>45</v>
      </c>
      <c r="J50" s="1" t="s">
        <v>29</v>
      </c>
      <c r="K50" s="1">
        <v>4672341.8389999997</v>
      </c>
      <c r="L50" s="1">
        <v>357943.19</v>
      </c>
      <c r="M50" s="1">
        <v>0.83899999999999997</v>
      </c>
    </row>
    <row r="51" spans="1:13" x14ac:dyDescent="0.2">
      <c r="A51" t="s">
        <v>27</v>
      </c>
      <c r="C51" s="3"/>
      <c r="E51" s="1">
        <v>125</v>
      </c>
      <c r="F51" s="1">
        <v>457</v>
      </c>
      <c r="G51" s="1" t="s">
        <v>9</v>
      </c>
      <c r="H51" t="s">
        <v>34</v>
      </c>
      <c r="I51" t="s">
        <v>31</v>
      </c>
      <c r="J51" s="1" t="s">
        <v>29</v>
      </c>
      <c r="K51" s="1">
        <v>4672312.7</v>
      </c>
      <c r="L51" s="1">
        <v>357914.05599999998</v>
      </c>
      <c r="M51" s="1">
        <v>1.575</v>
      </c>
    </row>
    <row r="52" spans="1:13" x14ac:dyDescent="0.2">
      <c r="A52" t="s">
        <v>27</v>
      </c>
      <c r="C52" s="3"/>
      <c r="E52" s="1">
        <v>125</v>
      </c>
      <c r="F52" s="1">
        <v>458</v>
      </c>
      <c r="G52" s="1" t="s">
        <v>9</v>
      </c>
      <c r="H52" t="s">
        <v>34</v>
      </c>
      <c r="I52" t="s">
        <v>31</v>
      </c>
      <c r="J52" s="1" t="s">
        <v>29</v>
      </c>
      <c r="K52" s="1">
        <v>4672312.557</v>
      </c>
      <c r="L52" s="1">
        <v>357912.33899999998</v>
      </c>
      <c r="M52" s="1">
        <v>1.59</v>
      </c>
    </row>
    <row r="53" spans="1:13" x14ac:dyDescent="0.2">
      <c r="A53" t="s">
        <v>27</v>
      </c>
      <c r="C53" s="3"/>
      <c r="E53" s="1">
        <v>126</v>
      </c>
      <c r="F53" s="1">
        <v>459</v>
      </c>
      <c r="G53" s="1" t="s">
        <v>6</v>
      </c>
      <c r="H53" t="s">
        <v>30</v>
      </c>
      <c r="I53" t="s">
        <v>31</v>
      </c>
      <c r="J53" s="1" t="s">
        <v>29</v>
      </c>
      <c r="K53" s="1">
        <v>4672311.5010000002</v>
      </c>
      <c r="L53" s="1">
        <v>357911.59499999997</v>
      </c>
      <c r="M53" s="1">
        <v>1.659</v>
      </c>
    </row>
    <row r="54" spans="1:13" x14ac:dyDescent="0.2">
      <c r="A54" t="s">
        <v>27</v>
      </c>
      <c r="C54" s="3"/>
      <c r="E54" s="1">
        <v>126</v>
      </c>
      <c r="F54" s="1">
        <v>460</v>
      </c>
      <c r="G54" s="1" t="s">
        <v>6</v>
      </c>
      <c r="H54" t="s">
        <v>30</v>
      </c>
      <c r="I54" t="s">
        <v>31</v>
      </c>
      <c r="J54" s="1" t="s">
        <v>29</v>
      </c>
      <c r="K54" s="1">
        <v>4672313.0530000003</v>
      </c>
      <c r="L54" s="1">
        <v>357903.72200000001</v>
      </c>
      <c r="M54" s="1">
        <v>1.778</v>
      </c>
    </row>
    <row r="55" spans="1:13" x14ac:dyDescent="0.2">
      <c r="A55" t="s">
        <v>27</v>
      </c>
      <c r="C55" s="3"/>
      <c r="E55" s="1">
        <v>126</v>
      </c>
      <c r="F55" s="1">
        <v>461</v>
      </c>
      <c r="G55" s="1" t="s">
        <v>6</v>
      </c>
      <c r="H55" t="s">
        <v>30</v>
      </c>
      <c r="I55" t="s">
        <v>31</v>
      </c>
      <c r="J55" s="1" t="s">
        <v>29</v>
      </c>
      <c r="K55" s="1">
        <v>4672324.74</v>
      </c>
      <c r="L55" s="1">
        <v>357901.29</v>
      </c>
      <c r="M55" s="1">
        <v>1.726</v>
      </c>
    </row>
    <row r="56" spans="1:13" x14ac:dyDescent="0.2">
      <c r="A56" t="s">
        <v>27</v>
      </c>
      <c r="C56" s="3"/>
      <c r="E56" s="1">
        <v>127</v>
      </c>
      <c r="F56" s="1">
        <v>462</v>
      </c>
      <c r="G56" s="1" t="s">
        <v>13</v>
      </c>
      <c r="H56" t="s">
        <v>37</v>
      </c>
      <c r="I56" t="s">
        <v>31</v>
      </c>
      <c r="J56" s="1" t="s">
        <v>29</v>
      </c>
      <c r="K56" s="1">
        <v>4672325.3329999996</v>
      </c>
      <c r="L56" s="1">
        <v>357898.89600000001</v>
      </c>
      <c r="M56" s="1">
        <v>1.875</v>
      </c>
    </row>
    <row r="57" spans="1:13" x14ac:dyDescent="0.2">
      <c r="A57" t="s">
        <v>27</v>
      </c>
      <c r="C57" s="3"/>
      <c r="E57" s="1">
        <v>127</v>
      </c>
      <c r="F57" s="1">
        <v>463</v>
      </c>
      <c r="G57" s="1" t="s">
        <v>13</v>
      </c>
      <c r="H57" t="s">
        <v>37</v>
      </c>
      <c r="I57" t="s">
        <v>31</v>
      </c>
      <c r="J57" s="1" t="s">
        <v>29</v>
      </c>
      <c r="K57" s="1">
        <v>4672333.0369999995</v>
      </c>
      <c r="L57" s="1">
        <v>357895.995</v>
      </c>
      <c r="M57" s="1">
        <v>1.7589999999999999</v>
      </c>
    </row>
    <row r="58" spans="1:13" x14ac:dyDescent="0.2">
      <c r="A58" t="s">
        <v>27</v>
      </c>
      <c r="C58" s="3"/>
      <c r="E58" s="1">
        <v>128</v>
      </c>
      <c r="F58" s="1">
        <v>464</v>
      </c>
      <c r="G58" s="1" t="s">
        <v>9</v>
      </c>
      <c r="H58" t="s">
        <v>34</v>
      </c>
      <c r="I58" t="s">
        <v>31</v>
      </c>
      <c r="J58" s="1" t="s">
        <v>29</v>
      </c>
      <c r="K58" s="1">
        <v>4672334.1519999998</v>
      </c>
      <c r="L58" s="1">
        <v>357896.755</v>
      </c>
      <c r="M58" s="1">
        <v>1.74</v>
      </c>
    </row>
    <row r="59" spans="1:13" x14ac:dyDescent="0.2">
      <c r="A59" t="s">
        <v>27</v>
      </c>
      <c r="C59" s="3"/>
      <c r="E59" s="1">
        <v>129</v>
      </c>
      <c r="F59" s="1">
        <v>465</v>
      </c>
      <c r="G59" s="1" t="s">
        <v>13</v>
      </c>
      <c r="H59" t="s">
        <v>37</v>
      </c>
      <c r="I59" t="s">
        <v>31</v>
      </c>
      <c r="J59" s="1" t="s">
        <v>29</v>
      </c>
      <c r="K59" s="1">
        <v>4672334.7810000004</v>
      </c>
      <c r="L59" s="1">
        <v>357895.85800000001</v>
      </c>
      <c r="M59" s="1">
        <v>1.798</v>
      </c>
    </row>
    <row r="60" spans="1:13" x14ac:dyDescent="0.2">
      <c r="A60" t="s">
        <v>27</v>
      </c>
      <c r="C60" s="3"/>
      <c r="E60" s="1">
        <v>130</v>
      </c>
      <c r="F60" s="1">
        <v>466</v>
      </c>
      <c r="G60" s="1" t="s">
        <v>9</v>
      </c>
      <c r="H60" t="s">
        <v>34</v>
      </c>
      <c r="I60" t="s">
        <v>31</v>
      </c>
      <c r="J60" s="1" t="s">
        <v>29</v>
      </c>
      <c r="K60" s="1">
        <v>4672336.2450000001</v>
      </c>
      <c r="L60" s="1">
        <v>357895.402</v>
      </c>
      <c r="M60" s="1">
        <v>1.7330000000000001</v>
      </c>
    </row>
    <row r="61" spans="1:13" x14ac:dyDescent="0.2">
      <c r="A61" t="s">
        <v>27</v>
      </c>
      <c r="C61" s="3"/>
      <c r="E61" s="1">
        <v>131</v>
      </c>
      <c r="F61" s="1">
        <v>467</v>
      </c>
      <c r="G61" s="1" t="s">
        <v>13</v>
      </c>
      <c r="H61" t="s">
        <v>37</v>
      </c>
      <c r="I61" t="s">
        <v>31</v>
      </c>
      <c r="J61" s="1" t="s">
        <v>29</v>
      </c>
      <c r="K61" s="1">
        <v>4672337.5080000004</v>
      </c>
      <c r="L61" s="1">
        <v>357894.54599999997</v>
      </c>
      <c r="M61" s="1">
        <v>1.86</v>
      </c>
    </row>
    <row r="62" spans="1:13" x14ac:dyDescent="0.2">
      <c r="A62" t="s">
        <v>27</v>
      </c>
      <c r="C62" s="3"/>
      <c r="E62" s="1">
        <v>132</v>
      </c>
      <c r="F62" s="1">
        <v>468</v>
      </c>
      <c r="G62" s="1" t="s">
        <v>18</v>
      </c>
      <c r="H62" t="s">
        <v>46</v>
      </c>
      <c r="I62" t="s">
        <v>31</v>
      </c>
      <c r="J62" s="1" t="s">
        <v>29</v>
      </c>
      <c r="K62" s="1">
        <v>4672336.9970000004</v>
      </c>
      <c r="L62" s="1">
        <v>357892.89899999998</v>
      </c>
      <c r="M62" s="1">
        <v>1.69</v>
      </c>
    </row>
    <row r="63" spans="1:13" x14ac:dyDescent="0.2">
      <c r="A63" t="s">
        <v>27</v>
      </c>
      <c r="C63" s="3"/>
      <c r="E63" s="1">
        <v>132</v>
      </c>
      <c r="F63" s="1">
        <v>469</v>
      </c>
      <c r="G63" s="1" t="s">
        <v>18</v>
      </c>
      <c r="H63" t="s">
        <v>46</v>
      </c>
      <c r="I63" t="s">
        <v>31</v>
      </c>
      <c r="J63" s="1" t="s">
        <v>29</v>
      </c>
      <c r="K63" s="1">
        <v>4672300.523</v>
      </c>
      <c r="L63" s="1">
        <v>357903.27600000001</v>
      </c>
      <c r="M63" s="1">
        <v>1.6719999999999999</v>
      </c>
    </row>
    <row r="64" spans="1:13" x14ac:dyDescent="0.2">
      <c r="A64" t="s">
        <v>27</v>
      </c>
      <c r="C64" s="3"/>
      <c r="E64" s="1">
        <v>132</v>
      </c>
      <c r="F64" s="1">
        <v>470</v>
      </c>
      <c r="G64" s="1" t="s">
        <v>18</v>
      </c>
      <c r="H64" t="s">
        <v>46</v>
      </c>
      <c r="I64" t="s">
        <v>31</v>
      </c>
      <c r="J64" s="1" t="s">
        <v>29</v>
      </c>
      <c r="K64" s="1">
        <v>4672298.2019999996</v>
      </c>
      <c r="L64" s="1">
        <v>357903.65700000001</v>
      </c>
      <c r="M64" s="1">
        <v>1.649</v>
      </c>
    </row>
    <row r="65" spans="1:13" x14ac:dyDescent="0.2">
      <c r="A65" t="s">
        <v>27</v>
      </c>
      <c r="C65" s="3"/>
      <c r="E65" s="1">
        <v>133</v>
      </c>
      <c r="F65" s="1">
        <v>471</v>
      </c>
      <c r="G65" s="1" t="s">
        <v>10</v>
      </c>
      <c r="H65" t="s">
        <v>35</v>
      </c>
      <c r="I65" t="s">
        <v>31</v>
      </c>
      <c r="J65" s="1" t="s">
        <v>29</v>
      </c>
      <c r="K65" s="1">
        <v>4672296.6220000004</v>
      </c>
      <c r="L65" s="1">
        <v>357903.81</v>
      </c>
      <c r="M65" s="1">
        <v>1.623</v>
      </c>
    </row>
    <row r="66" spans="1:13" x14ac:dyDescent="0.2">
      <c r="A66" t="s">
        <v>27</v>
      </c>
      <c r="C66" s="3"/>
      <c r="E66" s="1">
        <v>133</v>
      </c>
      <c r="F66" s="1">
        <v>472</v>
      </c>
      <c r="G66" s="1" t="s">
        <v>10</v>
      </c>
      <c r="H66" t="s">
        <v>35</v>
      </c>
      <c r="I66" t="s">
        <v>31</v>
      </c>
      <c r="J66" s="1" t="s">
        <v>29</v>
      </c>
      <c r="K66" s="1">
        <v>4672289.3130000001</v>
      </c>
      <c r="L66" s="1">
        <v>357905.52</v>
      </c>
      <c r="M66" s="1">
        <v>1.6040000000000001</v>
      </c>
    </row>
    <row r="67" spans="1:13" x14ac:dyDescent="0.2">
      <c r="A67" t="s">
        <v>27</v>
      </c>
      <c r="C67" s="3"/>
      <c r="E67" s="1">
        <v>134</v>
      </c>
      <c r="F67" s="1">
        <v>473</v>
      </c>
      <c r="G67" s="1" t="s">
        <v>19</v>
      </c>
      <c r="H67" t="s">
        <v>19</v>
      </c>
      <c r="I67" t="s">
        <v>40</v>
      </c>
      <c r="J67" s="1" t="s">
        <v>29</v>
      </c>
      <c r="K67" s="1">
        <v>4672287.1979999999</v>
      </c>
      <c r="L67" s="1">
        <v>357906.68099999998</v>
      </c>
      <c r="M67" s="1">
        <v>1.623</v>
      </c>
    </row>
    <row r="68" spans="1:13" x14ac:dyDescent="0.2">
      <c r="A68" t="s">
        <v>27</v>
      </c>
      <c r="C68" s="3"/>
      <c r="E68" s="1">
        <v>134</v>
      </c>
      <c r="F68" s="1">
        <v>474</v>
      </c>
      <c r="G68" s="1" t="s">
        <v>14</v>
      </c>
      <c r="H68" t="s">
        <v>43</v>
      </c>
      <c r="I68" t="s">
        <v>31</v>
      </c>
      <c r="J68" s="1" t="s">
        <v>29</v>
      </c>
      <c r="K68" s="1">
        <v>4672286.7989999996</v>
      </c>
      <c r="L68" s="1">
        <v>357903.98599999998</v>
      </c>
      <c r="M68" s="1">
        <v>1.6</v>
      </c>
    </row>
    <row r="69" spans="1:13" x14ac:dyDescent="0.2">
      <c r="A69" t="s">
        <v>27</v>
      </c>
      <c r="C69" s="3"/>
      <c r="E69" s="1">
        <v>135</v>
      </c>
      <c r="F69" s="1">
        <v>475</v>
      </c>
      <c r="G69" s="1" t="s">
        <v>10</v>
      </c>
      <c r="H69" t="s">
        <v>35</v>
      </c>
      <c r="I69" t="s">
        <v>31</v>
      </c>
      <c r="J69" s="1" t="s">
        <v>29</v>
      </c>
      <c r="K69" s="1">
        <v>4672288.3629999999</v>
      </c>
      <c r="L69" s="1">
        <v>357903.67700000003</v>
      </c>
      <c r="M69" s="1">
        <v>1.61</v>
      </c>
    </row>
    <row r="70" spans="1:13" x14ac:dyDescent="0.2">
      <c r="A70" t="s">
        <v>27</v>
      </c>
      <c r="C70" s="3"/>
      <c r="E70" s="1">
        <v>135</v>
      </c>
      <c r="F70" s="1">
        <v>476</v>
      </c>
      <c r="G70" s="1" t="s">
        <v>10</v>
      </c>
      <c r="H70" t="s">
        <v>35</v>
      </c>
      <c r="I70" t="s">
        <v>31</v>
      </c>
      <c r="J70" s="1" t="s">
        <v>29</v>
      </c>
      <c r="K70" s="1">
        <v>4672294.8820000002</v>
      </c>
      <c r="L70" s="1">
        <v>357901.73300000001</v>
      </c>
      <c r="M70" s="1">
        <v>1.619</v>
      </c>
    </row>
    <row r="71" spans="1:13" x14ac:dyDescent="0.2">
      <c r="A71" t="s">
        <v>27</v>
      </c>
      <c r="C71" s="3"/>
      <c r="E71" s="1">
        <v>136</v>
      </c>
      <c r="F71" s="1">
        <v>477</v>
      </c>
      <c r="G71" s="1">
        <v>8</v>
      </c>
      <c r="H71" t="s">
        <v>47</v>
      </c>
      <c r="I71" t="s">
        <v>40</v>
      </c>
      <c r="J71" s="1" t="s">
        <v>29</v>
      </c>
      <c r="K71" s="1">
        <v>4672296.2110000001</v>
      </c>
      <c r="L71" s="1">
        <v>357901.32199999999</v>
      </c>
      <c r="M71" s="1">
        <v>1.6259999999999999</v>
      </c>
    </row>
    <row r="72" spans="1:13" x14ac:dyDescent="0.2">
      <c r="A72" t="s">
        <v>27</v>
      </c>
      <c r="C72" s="3"/>
      <c r="E72" s="1">
        <v>136</v>
      </c>
      <c r="F72" s="1">
        <v>478</v>
      </c>
      <c r="G72" s="1">
        <v>8</v>
      </c>
      <c r="H72" t="s">
        <v>47</v>
      </c>
      <c r="I72" t="s">
        <v>40</v>
      </c>
      <c r="J72" s="1" t="s">
        <v>29</v>
      </c>
      <c r="K72" s="1">
        <v>4672346.0149999997</v>
      </c>
      <c r="L72" s="1">
        <v>357881.337</v>
      </c>
      <c r="M72" s="1">
        <v>1.67</v>
      </c>
    </row>
    <row r="73" spans="1:13" x14ac:dyDescent="0.2">
      <c r="A73" t="s">
        <v>27</v>
      </c>
      <c r="C73" s="3"/>
      <c r="E73" s="1">
        <v>137</v>
      </c>
      <c r="F73" s="1">
        <v>479</v>
      </c>
      <c r="G73" s="1" t="s">
        <v>11</v>
      </c>
      <c r="H73" t="s">
        <v>35</v>
      </c>
      <c r="I73" t="s">
        <v>36</v>
      </c>
      <c r="J73" s="1" t="s">
        <v>29</v>
      </c>
      <c r="K73" s="1">
        <v>4672348.0319999997</v>
      </c>
      <c r="L73" s="1">
        <v>357879.54399999999</v>
      </c>
      <c r="M73" s="1">
        <v>1.6359999999999999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E154-9AC5-4577-A61A-9E52DAE602E0}">
  <dimension ref="A1"/>
  <sheetViews>
    <sheetView workbookViewId="0">
      <selection activeCell="E9" sqref="E9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peggoty08oct2018</vt:lpstr>
      <vt:lpstr>MU</vt:lpstr>
      <vt:lpstr>Line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Wicks</cp:lastModifiedBy>
  <dcterms:modified xsi:type="dcterms:W3CDTF">2025-03-18T20:34:04Z</dcterms:modified>
</cp:coreProperties>
</file>